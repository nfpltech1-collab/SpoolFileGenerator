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2000" documentId="14_{05FEFCA0-69A0-4D77-A636-8F172097013E}" xr6:coauthVersionLast="47" xr6:coauthVersionMax="47" xr10:uidLastSave="{20887973-9BF2-4A69-8281-F13D6A1F9C13}"/>
  <bookViews>
    <workbookView xWindow="-120" yWindow="-120" windowWidth="29040" windowHeight="15720" firstSheet="20" activeTab="28" xr2:uid="{00000000-000D-0000-FFFF-FFFF00000000}"/>
  </bookViews>
  <sheets>
    <sheet name="01-11-2025" sheetId="1" r:id="rId1"/>
    <sheet name="03-11-2025" sheetId="4" r:id="rId2"/>
    <sheet name="04-11-2025" sheetId="5" r:id="rId3"/>
    <sheet name="05-11-2025" sheetId="6" r:id="rId4"/>
    <sheet name="06-11-2025" sheetId="7" r:id="rId5"/>
    <sheet name="07-11-2025" sheetId="8" r:id="rId6"/>
    <sheet name="08-11-2025" sheetId="9" r:id="rId7"/>
    <sheet name="10-11-2025" sheetId="10" r:id="rId8"/>
    <sheet name="11-11-2025" sheetId="11" r:id="rId9"/>
    <sheet name="12-11-2025" sheetId="12" r:id="rId10"/>
    <sheet name="13-11-2025" sheetId="13" r:id="rId11"/>
    <sheet name="14-11-2025" sheetId="15" r:id="rId12"/>
    <sheet name="14-11-2025 GJ RPDC" sheetId="16" r:id="rId13"/>
    <sheet name="15-11-2025" sheetId="17" r:id="rId14"/>
    <sheet name="17-11-2025" sheetId="18" r:id="rId15"/>
    <sheet name="17-11-2025 GJ EXPORT" sheetId="19" r:id="rId16"/>
    <sheet name="18-11-2025" sheetId="20" r:id="rId17"/>
    <sheet name="19-11-2025" sheetId="21" r:id="rId18"/>
    <sheet name="20-11-2025" sheetId="22" r:id="rId19"/>
    <sheet name="21-11-2025" sheetId="23" r:id="rId20"/>
    <sheet name="22-11-2025" sheetId="25" r:id="rId21"/>
    <sheet name="24-11-2025" sheetId="26" r:id="rId22"/>
    <sheet name="25-11-2025" sheetId="27" r:id="rId23"/>
    <sheet name="26-11-2025" sheetId="28" r:id="rId24"/>
    <sheet name="27-11-2025" sheetId="29" r:id="rId25"/>
    <sheet name="27-11-2025 GJ RPDC" sheetId="30" r:id="rId26"/>
    <sheet name="27-11-2025 GJ EXPORT" sheetId="31" r:id="rId27"/>
    <sheet name="28-11-2025" sheetId="33" r:id="rId28"/>
    <sheet name="29-11-2025" sheetId="34" r:id="rId29"/>
    <sheet name="Sheet2" sheetId="2" state="hidden" r:id="rId30"/>
  </sheets>
  <externalReferences>
    <externalReference r:id="rId31"/>
    <externalReference r:id="rId32"/>
  </externalReferences>
  <definedNames>
    <definedName name="_xlnm._FilterDatabase" localSheetId="0" hidden="1">'01-11-2025'!$A$3:$Q$52</definedName>
    <definedName name="_xlnm._FilterDatabase" localSheetId="1" hidden="1">'03-11-2025'!$A$3:$Q$47</definedName>
    <definedName name="_xlnm._FilterDatabase" localSheetId="2" hidden="1">'04-11-2025'!$A$3:$Q$50</definedName>
    <definedName name="_xlnm._FilterDatabase" localSheetId="3" hidden="1">'05-11-2025'!$A$3:$P$47</definedName>
    <definedName name="_xlnm._FilterDatabase" localSheetId="4" hidden="1">'06-11-2025'!$A$3:$P$40</definedName>
    <definedName name="_xlnm._FilterDatabase" localSheetId="5" hidden="1">'07-11-2025'!$A$3:$P$42</definedName>
    <definedName name="_xlnm._FilterDatabase" localSheetId="6" hidden="1">'08-11-2025'!$A$3:$S$3</definedName>
    <definedName name="_xlnm._FilterDatabase" localSheetId="7" hidden="1">'10-11-2025'!$A$3:$S$3</definedName>
    <definedName name="_xlnm._FilterDatabase" localSheetId="8" hidden="1">'11-11-2025'!$A$3:$S$3</definedName>
    <definedName name="_xlnm._FilterDatabase" localSheetId="9" hidden="1">'12-11-2025'!$A$3:$S$3</definedName>
    <definedName name="_xlnm._FilterDatabase" localSheetId="10" hidden="1">'13-11-2025'!$A$3:$S$3</definedName>
    <definedName name="_xlnm._FilterDatabase" localSheetId="11" hidden="1">'14-11-2025'!$A$3:$P$55</definedName>
    <definedName name="_xlnm._FilterDatabase" localSheetId="12" hidden="1">'14-11-2025 GJ RPDC'!$A$1:$S$1</definedName>
    <definedName name="_xlnm._FilterDatabase" localSheetId="13" hidden="1">'15-11-2025'!$A$3:$P$40</definedName>
    <definedName name="_xlnm._FilterDatabase" localSheetId="14" hidden="1">'17-11-2025'!$A$3:$P$50</definedName>
    <definedName name="_xlnm._FilterDatabase" localSheetId="16" hidden="1">'18-11-2025'!$A$3:$P$43</definedName>
    <definedName name="_xlnm._FilterDatabase" localSheetId="17" hidden="1">'19-11-2025'!$A$3:$P$57</definedName>
    <definedName name="_xlnm._FilterDatabase" localSheetId="18" hidden="1">'20-11-2025'!$A$3:$P$44</definedName>
    <definedName name="_xlnm._FilterDatabase" localSheetId="19" hidden="1">'21-11-2025'!$A$3:$P$46</definedName>
    <definedName name="_xlnm._FilterDatabase" localSheetId="20" hidden="1">'22-11-2025'!$A$3:$P$58</definedName>
    <definedName name="_xlnm._FilterDatabase" localSheetId="21" hidden="1">'24-11-2025'!$A$3:$P$46</definedName>
    <definedName name="_xlnm._FilterDatabase" localSheetId="22" hidden="1">'25-11-2025'!$A$3:$P$54</definedName>
    <definedName name="_xlnm._FilterDatabase" localSheetId="23" hidden="1">'26-11-2025'!$A$3:$P$49</definedName>
    <definedName name="_xlnm._FilterDatabase" localSheetId="24" hidden="1">'27-11-2025'!$A$3:$P$50</definedName>
    <definedName name="_xlnm._FilterDatabase" localSheetId="26" hidden="1">'27-11-2025 GJ EXPORT'!$A$2:$S$2</definedName>
    <definedName name="_xlnm._FilterDatabase" localSheetId="25" hidden="1">'27-11-2025 GJ RPDC'!$A$2:$S$2</definedName>
    <definedName name="_xlnm._FilterDatabase" localSheetId="27" hidden="1">'28-11-2025'!$A$3:$P$51</definedName>
    <definedName name="_xlnm._FilterDatabase" localSheetId="28" hidden="1">'29-11-2025'!$A$3:$P$47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34" l="1"/>
  <c r="D6" i="34"/>
  <c r="D7" i="34"/>
  <c r="D8" i="34"/>
  <c r="D9" i="34"/>
  <c r="D10" i="34"/>
  <c r="D11" i="34"/>
  <c r="D13" i="34"/>
  <c r="D14" i="34"/>
  <c r="D15" i="34"/>
  <c r="D16" i="34"/>
  <c r="D17" i="34"/>
  <c r="D18" i="34"/>
  <c r="D19" i="34"/>
  <c r="D20" i="34"/>
  <c r="D21" i="34"/>
  <c r="D22" i="34"/>
  <c r="D24" i="34"/>
  <c r="D25" i="34"/>
  <c r="D26" i="34"/>
  <c r="D27" i="34"/>
  <c r="D28" i="34"/>
  <c r="D29" i="34"/>
  <c r="D30" i="34"/>
  <c r="D31" i="34"/>
  <c r="D32" i="34"/>
  <c r="D34" i="34"/>
  <c r="D35" i="34"/>
  <c r="D36" i="34"/>
  <c r="D37" i="34"/>
  <c r="D39" i="34"/>
  <c r="D40" i="34"/>
  <c r="D41" i="34"/>
  <c r="D42" i="34"/>
  <c r="D43" i="34"/>
  <c r="D44" i="34"/>
  <c r="D45" i="34"/>
  <c r="D46" i="34"/>
  <c r="D4" i="34"/>
  <c r="K4" i="34"/>
  <c r="L4" i="34"/>
  <c r="K24" i="34"/>
  <c r="L24" i="34"/>
  <c r="K39" i="34"/>
  <c r="L39" i="34"/>
  <c r="K14" i="34"/>
  <c r="L14" i="34"/>
  <c r="K5" i="34"/>
  <c r="L5" i="34"/>
  <c r="K25" i="34"/>
  <c r="L25" i="34"/>
  <c r="K40" i="34"/>
  <c r="L40" i="34"/>
  <c r="K6" i="34"/>
  <c r="N6" i="34" s="1"/>
  <c r="L6" i="34"/>
  <c r="K7" i="34"/>
  <c r="N7" i="34" s="1"/>
  <c r="L7" i="34"/>
  <c r="K26" i="34"/>
  <c r="N26" i="34" s="1"/>
  <c r="L26" i="34"/>
  <c r="K34" i="34"/>
  <c r="N34" i="34" s="1"/>
  <c r="L34" i="34"/>
  <c r="K8" i="34"/>
  <c r="M8" i="34" s="1"/>
  <c r="L8" i="34"/>
  <c r="K9" i="34"/>
  <c r="M9" i="34" s="1"/>
  <c r="L9" i="34"/>
  <c r="K27" i="34"/>
  <c r="M27" i="34" s="1"/>
  <c r="L27" i="34"/>
  <c r="K35" i="34"/>
  <c r="M35" i="34" s="1"/>
  <c r="L35" i="34"/>
  <c r="K41" i="34"/>
  <c r="M41" i="34" s="1"/>
  <c r="L41" i="34"/>
  <c r="K10" i="34"/>
  <c r="M10" i="34" s="1"/>
  <c r="L10" i="34"/>
  <c r="K15" i="34"/>
  <c r="M15" i="34" s="1"/>
  <c r="L15" i="34"/>
  <c r="K28" i="34"/>
  <c r="M28" i="34" s="1"/>
  <c r="L28" i="34"/>
  <c r="K36" i="34"/>
  <c r="M36" i="34" s="1"/>
  <c r="L36" i="34"/>
  <c r="K42" i="34"/>
  <c r="M42" i="34" s="1"/>
  <c r="L42" i="34"/>
  <c r="K11" i="34"/>
  <c r="N11" i="34" s="1"/>
  <c r="L11" i="34"/>
  <c r="K16" i="34"/>
  <c r="N16" i="34" s="1"/>
  <c r="L16" i="34"/>
  <c r="K29" i="34"/>
  <c r="N29" i="34" s="1"/>
  <c r="L29" i="34"/>
  <c r="K43" i="34"/>
  <c r="N43" i="34" s="1"/>
  <c r="L43" i="34"/>
  <c r="K17" i="34"/>
  <c r="M17" i="34" s="1"/>
  <c r="L17" i="34"/>
  <c r="K18" i="34"/>
  <c r="M18" i="34" s="1"/>
  <c r="L18" i="34"/>
  <c r="K30" i="34"/>
  <c r="M30" i="34" s="1"/>
  <c r="L30" i="34"/>
  <c r="K44" i="34"/>
  <c r="M44" i="34" s="1"/>
  <c r="L44" i="34"/>
  <c r="K19" i="34"/>
  <c r="M19" i="34" s="1"/>
  <c r="L19" i="34"/>
  <c r="K20" i="34"/>
  <c r="M20" i="34" s="1"/>
  <c r="L20" i="34"/>
  <c r="K31" i="34"/>
  <c r="M31" i="34" s="1"/>
  <c r="L31" i="34"/>
  <c r="K45" i="34"/>
  <c r="M45" i="34" s="1"/>
  <c r="L45" i="34"/>
  <c r="K21" i="34"/>
  <c r="M21" i="34" s="1"/>
  <c r="L21" i="34"/>
  <c r="K22" i="34"/>
  <c r="M22" i="34" s="1"/>
  <c r="L22" i="34"/>
  <c r="K32" i="34"/>
  <c r="M32" i="34" s="1"/>
  <c r="L32" i="34"/>
  <c r="K37" i="34"/>
  <c r="M37" i="34" s="1"/>
  <c r="L37" i="34"/>
  <c r="K46" i="34"/>
  <c r="M46" i="34" s="1"/>
  <c r="L46" i="34"/>
  <c r="L13" i="34"/>
  <c r="K13" i="34"/>
  <c r="K6" i="33" l="1"/>
  <c r="L6" i="33"/>
  <c r="K23" i="33"/>
  <c r="L23" i="33"/>
  <c r="K33" i="33"/>
  <c r="L33" i="33"/>
  <c r="K43" i="33"/>
  <c r="L43" i="33"/>
  <c r="K5" i="33"/>
  <c r="L5" i="33"/>
  <c r="K7" i="33"/>
  <c r="L7" i="33"/>
  <c r="K24" i="33"/>
  <c r="L24" i="33"/>
  <c r="K34" i="33"/>
  <c r="L34" i="33"/>
  <c r="K44" i="33"/>
  <c r="L44" i="33"/>
  <c r="K8" i="33"/>
  <c r="N8" i="33" s="1"/>
  <c r="L8" i="33"/>
  <c r="K9" i="33"/>
  <c r="N9" i="33" s="1"/>
  <c r="L9" i="33"/>
  <c r="K25" i="33"/>
  <c r="N25" i="33" s="1"/>
  <c r="L25" i="33"/>
  <c r="K35" i="33"/>
  <c r="N35" i="33" s="1"/>
  <c r="L35" i="33"/>
  <c r="K10" i="33"/>
  <c r="M10" i="33" s="1"/>
  <c r="L10" i="33"/>
  <c r="K11" i="33"/>
  <c r="M11" i="33" s="1"/>
  <c r="L11" i="33"/>
  <c r="K26" i="33"/>
  <c r="M26" i="33" s="1"/>
  <c r="L26" i="33"/>
  <c r="K36" i="33"/>
  <c r="M36" i="33" s="1"/>
  <c r="L36" i="33"/>
  <c r="K45" i="33"/>
  <c r="M45" i="33" s="1"/>
  <c r="L45" i="33"/>
  <c r="K12" i="33"/>
  <c r="M12" i="33" s="1"/>
  <c r="L12" i="33"/>
  <c r="K13" i="33"/>
  <c r="M13" i="33" s="1"/>
  <c r="L13" i="33"/>
  <c r="K27" i="33"/>
  <c r="M27" i="33" s="1"/>
  <c r="L27" i="33"/>
  <c r="K37" i="33"/>
  <c r="M37" i="33" s="1"/>
  <c r="L37" i="33"/>
  <c r="K46" i="33"/>
  <c r="M46" i="33" s="1"/>
  <c r="L46" i="33"/>
  <c r="K14" i="33"/>
  <c r="N14" i="33" s="1"/>
  <c r="L14" i="33"/>
  <c r="K15" i="33"/>
  <c r="N15" i="33" s="1"/>
  <c r="L15" i="33"/>
  <c r="K28" i="33"/>
  <c r="N28" i="33" s="1"/>
  <c r="L28" i="33"/>
  <c r="K38" i="33"/>
  <c r="N38" i="33" s="1"/>
  <c r="L38" i="33"/>
  <c r="K47" i="33"/>
  <c r="N47" i="33" s="1"/>
  <c r="L47" i="33"/>
  <c r="K16" i="33"/>
  <c r="M16" i="33" s="1"/>
  <c r="L16" i="33"/>
  <c r="K17" i="33"/>
  <c r="M17" i="33" s="1"/>
  <c r="L17" i="33"/>
  <c r="K29" i="33"/>
  <c r="M29" i="33" s="1"/>
  <c r="L29" i="33"/>
  <c r="K39" i="33"/>
  <c r="M39" i="33" s="1"/>
  <c r="L39" i="33"/>
  <c r="K48" i="33"/>
  <c r="M48" i="33" s="1"/>
  <c r="L48" i="33"/>
  <c r="K18" i="33"/>
  <c r="M18" i="33" s="1"/>
  <c r="L18" i="33"/>
  <c r="K19" i="33"/>
  <c r="M19" i="33" s="1"/>
  <c r="L19" i="33"/>
  <c r="K30" i="33"/>
  <c r="M30" i="33" s="1"/>
  <c r="L30" i="33"/>
  <c r="K40" i="33"/>
  <c r="M40" i="33" s="1"/>
  <c r="L40" i="33"/>
  <c r="K49" i="33"/>
  <c r="M49" i="33" s="1"/>
  <c r="L49" i="33"/>
  <c r="K20" i="33"/>
  <c r="M20" i="33" s="1"/>
  <c r="L20" i="33"/>
  <c r="K21" i="33"/>
  <c r="M21" i="33" s="1"/>
  <c r="L21" i="33"/>
  <c r="K31" i="33"/>
  <c r="M31" i="33" s="1"/>
  <c r="L31" i="33"/>
  <c r="K41" i="33"/>
  <c r="M41" i="33" s="1"/>
  <c r="L41" i="33"/>
  <c r="K50" i="33"/>
  <c r="M50" i="33" s="1"/>
  <c r="L50" i="33"/>
  <c r="L4" i="33"/>
  <c r="K4" i="33"/>
  <c r="D6" i="33"/>
  <c r="D23" i="33"/>
  <c r="D33" i="33"/>
  <c r="D43" i="33"/>
  <c r="D5" i="33"/>
  <c r="D7" i="33"/>
  <c r="D24" i="33"/>
  <c r="D34" i="33"/>
  <c r="D44" i="33"/>
  <c r="D8" i="33"/>
  <c r="D9" i="33"/>
  <c r="D25" i="33"/>
  <c r="D35" i="33"/>
  <c r="D10" i="33"/>
  <c r="D11" i="33"/>
  <c r="D26" i="33"/>
  <c r="D36" i="33"/>
  <c r="D45" i="33"/>
  <c r="D12" i="33"/>
  <c r="D13" i="33"/>
  <c r="D27" i="33"/>
  <c r="D37" i="33"/>
  <c r="D46" i="33"/>
  <c r="D14" i="33"/>
  <c r="D15" i="33"/>
  <c r="D28" i="33"/>
  <c r="D38" i="33"/>
  <c r="D47" i="33"/>
  <c r="D16" i="33"/>
  <c r="D17" i="33"/>
  <c r="D29" i="33"/>
  <c r="D39" i="33"/>
  <c r="D48" i="33"/>
  <c r="D18" i="33"/>
  <c r="D19" i="33"/>
  <c r="D30" i="33"/>
  <c r="D40" i="33"/>
  <c r="D49" i="33"/>
  <c r="D20" i="33"/>
  <c r="D21" i="33"/>
  <c r="D31" i="33"/>
  <c r="D41" i="33"/>
  <c r="D50" i="33"/>
  <c r="D4" i="33"/>
  <c r="K20" i="29" l="1"/>
  <c r="L20" i="29"/>
  <c r="K30" i="29"/>
  <c r="L30" i="29"/>
  <c r="K40" i="29"/>
  <c r="L40" i="29"/>
  <c r="K5" i="29"/>
  <c r="L5" i="29"/>
  <c r="K21" i="29"/>
  <c r="L21" i="29"/>
  <c r="K31" i="29"/>
  <c r="L31" i="29"/>
  <c r="K41" i="29"/>
  <c r="L41" i="29"/>
  <c r="K6" i="29"/>
  <c r="N6" i="29" s="1"/>
  <c r="L6" i="29"/>
  <c r="K7" i="29"/>
  <c r="N7" i="29" s="1"/>
  <c r="L7" i="29"/>
  <c r="K22" i="29"/>
  <c r="N22" i="29" s="1"/>
  <c r="L22" i="29"/>
  <c r="K32" i="29"/>
  <c r="N32" i="29" s="1"/>
  <c r="L32" i="29"/>
  <c r="K42" i="29"/>
  <c r="N42" i="29" s="1"/>
  <c r="L42" i="29"/>
  <c r="K8" i="29"/>
  <c r="M8" i="29" s="1"/>
  <c r="L8" i="29"/>
  <c r="K9" i="29"/>
  <c r="M9" i="29" s="1"/>
  <c r="L9" i="29"/>
  <c r="K23" i="29"/>
  <c r="M23" i="29" s="1"/>
  <c r="L23" i="29"/>
  <c r="K33" i="29"/>
  <c r="M33" i="29" s="1"/>
  <c r="L33" i="29"/>
  <c r="K43" i="29"/>
  <c r="M43" i="29" s="1"/>
  <c r="L43" i="29"/>
  <c r="K10" i="29"/>
  <c r="M10" i="29" s="1"/>
  <c r="L10" i="29"/>
  <c r="K11" i="29"/>
  <c r="M11" i="29" s="1"/>
  <c r="L11" i="29"/>
  <c r="K24" i="29"/>
  <c r="M24" i="29" s="1"/>
  <c r="L24" i="29"/>
  <c r="K34" i="29"/>
  <c r="M34" i="29" s="1"/>
  <c r="L34" i="29"/>
  <c r="K44" i="29"/>
  <c r="M44" i="29" s="1"/>
  <c r="L44" i="29"/>
  <c r="K12" i="29"/>
  <c r="N12" i="29" s="1"/>
  <c r="L12" i="29"/>
  <c r="K25" i="29"/>
  <c r="N25" i="29" s="1"/>
  <c r="L25" i="29"/>
  <c r="K35" i="29"/>
  <c r="N35" i="29" s="1"/>
  <c r="L35" i="29"/>
  <c r="K45" i="29"/>
  <c r="N45" i="29" s="1"/>
  <c r="L45" i="29"/>
  <c r="K13" i="29"/>
  <c r="M13" i="29" s="1"/>
  <c r="L13" i="29"/>
  <c r="K14" i="29"/>
  <c r="M14" i="29" s="1"/>
  <c r="L14" i="29"/>
  <c r="K26" i="29"/>
  <c r="M26" i="29" s="1"/>
  <c r="L26" i="29"/>
  <c r="K36" i="29"/>
  <c r="M36" i="29" s="1"/>
  <c r="L36" i="29"/>
  <c r="K46" i="29"/>
  <c r="M46" i="29" s="1"/>
  <c r="L46" i="29"/>
  <c r="K15" i="29"/>
  <c r="M15" i="29" s="1"/>
  <c r="L15" i="29"/>
  <c r="K16" i="29"/>
  <c r="M16" i="29" s="1"/>
  <c r="L16" i="29"/>
  <c r="K27" i="29"/>
  <c r="M27" i="29" s="1"/>
  <c r="L27" i="29"/>
  <c r="K37" i="29"/>
  <c r="M37" i="29" s="1"/>
  <c r="L37" i="29"/>
  <c r="K47" i="29"/>
  <c r="M47" i="29" s="1"/>
  <c r="L47" i="29"/>
  <c r="K17" i="29"/>
  <c r="M17" i="29" s="1"/>
  <c r="L17" i="29"/>
  <c r="K18" i="29"/>
  <c r="M18" i="29" s="1"/>
  <c r="L18" i="29"/>
  <c r="K28" i="29"/>
  <c r="M28" i="29" s="1"/>
  <c r="L28" i="29"/>
  <c r="K38" i="29"/>
  <c r="M38" i="29" s="1"/>
  <c r="L38" i="29"/>
  <c r="K48" i="29"/>
  <c r="M48" i="29" s="1"/>
  <c r="L48" i="29"/>
  <c r="L4" i="29"/>
  <c r="K4" i="29"/>
  <c r="D20" i="29"/>
  <c r="D30" i="29"/>
  <c r="D40" i="29"/>
  <c r="D5" i="29"/>
  <c r="D21" i="29"/>
  <c r="D31" i="29"/>
  <c r="D41" i="29"/>
  <c r="D6" i="29"/>
  <c r="D7" i="29"/>
  <c r="D22" i="29"/>
  <c r="D32" i="29"/>
  <c r="D42" i="29"/>
  <c r="D8" i="29"/>
  <c r="D9" i="29"/>
  <c r="D23" i="29"/>
  <c r="D33" i="29"/>
  <c r="D43" i="29"/>
  <c r="D10" i="29"/>
  <c r="D11" i="29"/>
  <c r="D24" i="29"/>
  <c r="D34" i="29"/>
  <c r="D44" i="29"/>
  <c r="D12" i="29"/>
  <c r="D25" i="29"/>
  <c r="D35" i="29"/>
  <c r="D45" i="29"/>
  <c r="D13" i="29"/>
  <c r="D14" i="29"/>
  <c r="D26" i="29"/>
  <c r="D36" i="29"/>
  <c r="D46" i="29"/>
  <c r="D15" i="29"/>
  <c r="D16" i="29"/>
  <c r="D27" i="29"/>
  <c r="D37" i="29"/>
  <c r="D47" i="29"/>
  <c r="D17" i="29"/>
  <c r="D18" i="29"/>
  <c r="D28" i="29"/>
  <c r="D38" i="29"/>
  <c r="D48" i="29"/>
  <c r="D4" i="29"/>
  <c r="D44" i="28" l="1"/>
  <c r="D45" i="28"/>
  <c r="D46" i="28"/>
  <c r="D47" i="28"/>
  <c r="D48" i="28"/>
  <c r="D43" i="28"/>
  <c r="D34" i="28"/>
  <c r="D35" i="28"/>
  <c r="D36" i="28"/>
  <c r="D37" i="28"/>
  <c r="D38" i="28"/>
  <c r="D39" i="28"/>
  <c r="D40" i="28"/>
  <c r="D41" i="28"/>
  <c r="D33" i="28"/>
  <c r="D24" i="28"/>
  <c r="D25" i="28"/>
  <c r="D26" i="28"/>
  <c r="D27" i="28"/>
  <c r="D28" i="28"/>
  <c r="D29" i="28"/>
  <c r="D30" i="28"/>
  <c r="D31" i="28"/>
  <c r="D23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4" i="28"/>
  <c r="K6" i="28"/>
  <c r="L6" i="28"/>
  <c r="K23" i="28"/>
  <c r="L23" i="28"/>
  <c r="K33" i="28"/>
  <c r="L33" i="28"/>
  <c r="K5" i="28"/>
  <c r="L5" i="28"/>
  <c r="K7" i="28"/>
  <c r="L7" i="28"/>
  <c r="K24" i="28"/>
  <c r="L24" i="28"/>
  <c r="K34" i="28"/>
  <c r="L34" i="28"/>
  <c r="K8" i="28"/>
  <c r="N8" i="28" s="1"/>
  <c r="L8" i="28"/>
  <c r="K9" i="28"/>
  <c r="N9" i="28" s="1"/>
  <c r="L9" i="28"/>
  <c r="K25" i="28"/>
  <c r="N25" i="28" s="1"/>
  <c r="L25" i="28"/>
  <c r="K35" i="28"/>
  <c r="N35" i="28" s="1"/>
  <c r="L35" i="28"/>
  <c r="K43" i="28"/>
  <c r="N43" i="28" s="1"/>
  <c r="L43" i="28"/>
  <c r="K10" i="28"/>
  <c r="M10" i="28" s="1"/>
  <c r="L10" i="28"/>
  <c r="K11" i="28"/>
  <c r="M11" i="28" s="1"/>
  <c r="L11" i="28"/>
  <c r="K26" i="28"/>
  <c r="M26" i="28" s="1"/>
  <c r="L26" i="28"/>
  <c r="K36" i="28"/>
  <c r="M36" i="28" s="1"/>
  <c r="L36" i="28"/>
  <c r="K44" i="28"/>
  <c r="M44" i="28" s="1"/>
  <c r="L44" i="28"/>
  <c r="K12" i="28"/>
  <c r="M12" i="28" s="1"/>
  <c r="L12" i="28"/>
  <c r="K13" i="28"/>
  <c r="M13" i="28" s="1"/>
  <c r="L13" i="28"/>
  <c r="K27" i="28"/>
  <c r="M27" i="28" s="1"/>
  <c r="L27" i="28"/>
  <c r="K37" i="28"/>
  <c r="M37" i="28" s="1"/>
  <c r="L37" i="28"/>
  <c r="K45" i="28"/>
  <c r="M45" i="28" s="1"/>
  <c r="L45" i="28"/>
  <c r="K14" i="28"/>
  <c r="N14" i="28" s="1"/>
  <c r="L14" i="28"/>
  <c r="K15" i="28"/>
  <c r="N15" i="28" s="1"/>
  <c r="L15" i="28"/>
  <c r="K28" i="28"/>
  <c r="N28" i="28" s="1"/>
  <c r="L28" i="28"/>
  <c r="K38" i="28"/>
  <c r="N38" i="28" s="1"/>
  <c r="L38" i="28"/>
  <c r="K46" i="28"/>
  <c r="N46" i="28" s="1"/>
  <c r="L46" i="28"/>
  <c r="K16" i="28"/>
  <c r="M16" i="28" s="1"/>
  <c r="L16" i="28"/>
  <c r="K17" i="28"/>
  <c r="M17" i="28" s="1"/>
  <c r="L17" i="28"/>
  <c r="K29" i="28"/>
  <c r="M29" i="28" s="1"/>
  <c r="L29" i="28"/>
  <c r="K39" i="28"/>
  <c r="M39" i="28" s="1"/>
  <c r="L39" i="28"/>
  <c r="K47" i="28"/>
  <c r="M47" i="28" s="1"/>
  <c r="L47" i="28"/>
  <c r="K18" i="28"/>
  <c r="M18" i="28" s="1"/>
  <c r="L18" i="28"/>
  <c r="K19" i="28"/>
  <c r="M19" i="28" s="1"/>
  <c r="L19" i="28"/>
  <c r="K30" i="28"/>
  <c r="M30" i="28" s="1"/>
  <c r="L30" i="28"/>
  <c r="K40" i="28"/>
  <c r="M40" i="28" s="1"/>
  <c r="L40" i="28"/>
  <c r="K48" i="28"/>
  <c r="M48" i="28" s="1"/>
  <c r="L48" i="28"/>
  <c r="K20" i="28"/>
  <c r="M20" i="28" s="1"/>
  <c r="L20" i="28"/>
  <c r="K21" i="28"/>
  <c r="M21" i="28" s="1"/>
  <c r="L21" i="28"/>
  <c r="K31" i="28"/>
  <c r="M31" i="28" s="1"/>
  <c r="L31" i="28"/>
  <c r="K41" i="28"/>
  <c r="M41" i="28" s="1"/>
  <c r="L41" i="28"/>
  <c r="L4" i="28"/>
  <c r="K4" i="28"/>
  <c r="D49" i="27"/>
  <c r="D50" i="27"/>
  <c r="D51" i="27"/>
  <c r="D52" i="27"/>
  <c r="D53" i="27"/>
  <c r="D48" i="27"/>
  <c r="M52" i="27"/>
  <c r="M53" i="27"/>
  <c r="K49" i="27"/>
  <c r="M49" i="27" s="1"/>
  <c r="L49" i="27"/>
  <c r="K50" i="27"/>
  <c r="M50" i="27" s="1"/>
  <c r="L50" i="27"/>
  <c r="K51" i="27"/>
  <c r="M51" i="27" s="1"/>
  <c r="L51" i="27"/>
  <c r="K52" i="27"/>
  <c r="L52" i="27"/>
  <c r="K53" i="27"/>
  <c r="L53" i="27"/>
  <c r="L48" i="27"/>
  <c r="K48" i="27"/>
  <c r="K20" i="27" l="1"/>
  <c r="L20" i="27"/>
  <c r="K30" i="27"/>
  <c r="L30" i="27"/>
  <c r="K40" i="27"/>
  <c r="L40" i="27"/>
  <c r="K5" i="27"/>
  <c r="L5" i="27"/>
  <c r="K21" i="27"/>
  <c r="L21" i="27"/>
  <c r="K31" i="27"/>
  <c r="L31" i="27"/>
  <c r="K41" i="27"/>
  <c r="L41" i="27"/>
  <c r="K6" i="27"/>
  <c r="N6" i="27" s="1"/>
  <c r="L6" i="27"/>
  <c r="K22" i="27"/>
  <c r="N22" i="27" s="1"/>
  <c r="L22" i="27"/>
  <c r="K32" i="27"/>
  <c r="N32" i="27" s="1"/>
  <c r="L32" i="27"/>
  <c r="K42" i="27"/>
  <c r="N42" i="27" s="1"/>
  <c r="L42" i="27"/>
  <c r="K7" i="27"/>
  <c r="M7" i="27" s="1"/>
  <c r="L7" i="27"/>
  <c r="K8" i="27"/>
  <c r="M8" i="27" s="1"/>
  <c r="L8" i="27"/>
  <c r="K23" i="27"/>
  <c r="M23" i="27" s="1"/>
  <c r="L23" i="27"/>
  <c r="K33" i="27"/>
  <c r="M33" i="27" s="1"/>
  <c r="L33" i="27"/>
  <c r="K43" i="27"/>
  <c r="M43" i="27" s="1"/>
  <c r="L43" i="27"/>
  <c r="K9" i="27"/>
  <c r="M9" i="27" s="1"/>
  <c r="L9" i="27"/>
  <c r="K10" i="27"/>
  <c r="M10" i="27" s="1"/>
  <c r="L10" i="27"/>
  <c r="K24" i="27"/>
  <c r="M24" i="27" s="1"/>
  <c r="L24" i="27"/>
  <c r="K34" i="27"/>
  <c r="M34" i="27" s="1"/>
  <c r="L34" i="27"/>
  <c r="K44" i="27"/>
  <c r="M44" i="27" s="1"/>
  <c r="L44" i="27"/>
  <c r="K11" i="27"/>
  <c r="N11" i="27" s="1"/>
  <c r="L11" i="27"/>
  <c r="K12" i="27"/>
  <c r="N12" i="27" s="1"/>
  <c r="L12" i="27"/>
  <c r="K25" i="27"/>
  <c r="N25" i="27" s="1"/>
  <c r="L25" i="27"/>
  <c r="K35" i="27"/>
  <c r="N35" i="27" s="1"/>
  <c r="L35" i="27"/>
  <c r="K13" i="27"/>
  <c r="M13" i="27" s="1"/>
  <c r="L13" i="27"/>
  <c r="K14" i="27"/>
  <c r="M14" i="27" s="1"/>
  <c r="L14" i="27"/>
  <c r="K26" i="27"/>
  <c r="M26" i="27" s="1"/>
  <c r="L26" i="27"/>
  <c r="K36" i="27"/>
  <c r="M36" i="27" s="1"/>
  <c r="L36" i="27"/>
  <c r="K45" i="27"/>
  <c r="M45" i="27" s="1"/>
  <c r="L45" i="27"/>
  <c r="K15" i="27"/>
  <c r="M15" i="27" s="1"/>
  <c r="L15" i="27"/>
  <c r="K16" i="27"/>
  <c r="M16" i="27" s="1"/>
  <c r="L16" i="27"/>
  <c r="K27" i="27"/>
  <c r="M27" i="27" s="1"/>
  <c r="L27" i="27"/>
  <c r="K37" i="27"/>
  <c r="M37" i="27" s="1"/>
  <c r="L37" i="27"/>
  <c r="K46" i="27"/>
  <c r="M46" i="27" s="1"/>
  <c r="L46" i="27"/>
  <c r="K17" i="27"/>
  <c r="M17" i="27" s="1"/>
  <c r="L17" i="27"/>
  <c r="K18" i="27"/>
  <c r="M18" i="27" s="1"/>
  <c r="L18" i="27"/>
  <c r="K28" i="27"/>
  <c r="M28" i="27" s="1"/>
  <c r="L28" i="27"/>
  <c r="K38" i="27"/>
  <c r="M38" i="27" s="1"/>
  <c r="L38" i="27"/>
  <c r="K47" i="27"/>
  <c r="M47" i="27" s="1"/>
  <c r="L47" i="27"/>
  <c r="L4" i="27"/>
  <c r="K4" i="27"/>
  <c r="D20" i="27"/>
  <c r="D30" i="27"/>
  <c r="D40" i="27"/>
  <c r="D5" i="27"/>
  <c r="D21" i="27"/>
  <c r="D31" i="27"/>
  <c r="D41" i="27"/>
  <c r="D6" i="27"/>
  <c r="D22" i="27"/>
  <c r="D32" i="27"/>
  <c r="D42" i="27"/>
  <c r="D7" i="27"/>
  <c r="D8" i="27"/>
  <c r="D23" i="27"/>
  <c r="D33" i="27"/>
  <c r="D43" i="27"/>
  <c r="D9" i="27"/>
  <c r="D10" i="27"/>
  <c r="D24" i="27"/>
  <c r="D34" i="27"/>
  <c r="D44" i="27"/>
  <c r="D11" i="27"/>
  <c r="D12" i="27"/>
  <c r="D25" i="27"/>
  <c r="D35" i="27"/>
  <c r="D13" i="27"/>
  <c r="D14" i="27"/>
  <c r="D26" i="27"/>
  <c r="D36" i="27"/>
  <c r="D45" i="27"/>
  <c r="D15" i="27"/>
  <c r="D16" i="27"/>
  <c r="D27" i="27"/>
  <c r="D37" i="27"/>
  <c r="D46" i="27"/>
  <c r="D17" i="27"/>
  <c r="D18" i="27"/>
  <c r="D28" i="27"/>
  <c r="D38" i="27"/>
  <c r="D47" i="27"/>
  <c r="D4" i="27"/>
  <c r="K17" i="26"/>
  <c r="L17" i="26"/>
  <c r="K26" i="26"/>
  <c r="L26" i="26"/>
  <c r="K36" i="26"/>
  <c r="L36" i="26"/>
  <c r="K5" i="26"/>
  <c r="L5" i="26"/>
  <c r="K18" i="26"/>
  <c r="L18" i="26"/>
  <c r="K27" i="26"/>
  <c r="L27" i="26"/>
  <c r="K37" i="26"/>
  <c r="L37" i="26"/>
  <c r="K6" i="26"/>
  <c r="N6" i="26" s="1"/>
  <c r="L6" i="26"/>
  <c r="K19" i="26"/>
  <c r="N19" i="26" s="1"/>
  <c r="L19" i="26"/>
  <c r="K28" i="26"/>
  <c r="N28" i="26" s="1"/>
  <c r="L28" i="26"/>
  <c r="K38" i="26"/>
  <c r="N38" i="26" s="1"/>
  <c r="L38" i="26"/>
  <c r="K7" i="26"/>
  <c r="M7" i="26" s="1"/>
  <c r="L7" i="26"/>
  <c r="K8" i="26"/>
  <c r="M8" i="26" s="1"/>
  <c r="L8" i="26"/>
  <c r="K20" i="26"/>
  <c r="M20" i="26" s="1"/>
  <c r="L20" i="26"/>
  <c r="K29" i="26"/>
  <c r="M29" i="26" s="1"/>
  <c r="L29" i="26"/>
  <c r="K39" i="26"/>
  <c r="M39" i="26" s="1"/>
  <c r="L39" i="26"/>
  <c r="K9" i="26"/>
  <c r="M9" i="26" s="1"/>
  <c r="L9" i="26"/>
  <c r="K10" i="26"/>
  <c r="M10" i="26" s="1"/>
  <c r="L10" i="26"/>
  <c r="K21" i="26"/>
  <c r="M21" i="26" s="1"/>
  <c r="L21" i="26"/>
  <c r="K30" i="26"/>
  <c r="M30" i="26" s="1"/>
  <c r="L30" i="26"/>
  <c r="K40" i="26"/>
  <c r="M40" i="26" s="1"/>
  <c r="L40" i="26"/>
  <c r="K11" i="26"/>
  <c r="N11" i="26" s="1"/>
  <c r="L11" i="26"/>
  <c r="K22" i="26"/>
  <c r="N22" i="26" s="1"/>
  <c r="L22" i="26"/>
  <c r="K31" i="26"/>
  <c r="N31" i="26" s="1"/>
  <c r="L31" i="26"/>
  <c r="K41" i="26"/>
  <c r="N41" i="26" s="1"/>
  <c r="L41" i="26"/>
  <c r="K12" i="26"/>
  <c r="M12" i="26" s="1"/>
  <c r="L12" i="26"/>
  <c r="K23" i="26"/>
  <c r="M23" i="26" s="1"/>
  <c r="L23" i="26"/>
  <c r="K32" i="26"/>
  <c r="M32" i="26" s="1"/>
  <c r="L32" i="26"/>
  <c r="K42" i="26"/>
  <c r="M42" i="26" s="1"/>
  <c r="L42" i="26"/>
  <c r="K13" i="26"/>
  <c r="M13" i="26" s="1"/>
  <c r="L13" i="26"/>
  <c r="K14" i="26"/>
  <c r="M14" i="26" s="1"/>
  <c r="L14" i="26"/>
  <c r="K24" i="26"/>
  <c r="M24" i="26" s="1"/>
  <c r="L24" i="26"/>
  <c r="K33" i="26"/>
  <c r="M33" i="26" s="1"/>
  <c r="L33" i="26"/>
  <c r="K43" i="26"/>
  <c r="M43" i="26" s="1"/>
  <c r="L43" i="26"/>
  <c r="K15" i="26"/>
  <c r="M15" i="26" s="1"/>
  <c r="L15" i="26"/>
  <c r="K25" i="26"/>
  <c r="M25" i="26" s="1"/>
  <c r="L25" i="26"/>
  <c r="K34" i="26"/>
  <c r="M34" i="26" s="1"/>
  <c r="L34" i="26"/>
  <c r="K44" i="26"/>
  <c r="M44" i="26" s="1"/>
  <c r="L44" i="26"/>
  <c r="L4" i="26"/>
  <c r="K4" i="26"/>
  <c r="D17" i="26"/>
  <c r="D26" i="26"/>
  <c r="D36" i="26"/>
  <c r="D5" i="26"/>
  <c r="D18" i="26"/>
  <c r="D27" i="26"/>
  <c r="D37" i="26"/>
  <c r="D6" i="26"/>
  <c r="D19" i="26"/>
  <c r="D28" i="26"/>
  <c r="D38" i="26"/>
  <c r="D7" i="26"/>
  <c r="D8" i="26"/>
  <c r="D20" i="26"/>
  <c r="D29" i="26"/>
  <c r="D39" i="26"/>
  <c r="D9" i="26"/>
  <c r="D10" i="26"/>
  <c r="D21" i="26"/>
  <c r="D30" i="26"/>
  <c r="D40" i="26"/>
  <c r="D11" i="26"/>
  <c r="D22" i="26"/>
  <c r="D31" i="26"/>
  <c r="D41" i="26"/>
  <c r="D12" i="26"/>
  <c r="D23" i="26"/>
  <c r="D32" i="26"/>
  <c r="D42" i="26"/>
  <c r="D13" i="26"/>
  <c r="D14" i="26"/>
  <c r="D24" i="26"/>
  <c r="D33" i="26"/>
  <c r="D43" i="26"/>
  <c r="D15" i="26"/>
  <c r="D25" i="26"/>
  <c r="D34" i="26"/>
  <c r="D44" i="26"/>
  <c r="D4" i="26"/>
  <c r="K30" i="25" l="1"/>
  <c r="M30" i="25" s="1"/>
  <c r="L30" i="25"/>
  <c r="D30" i="25"/>
  <c r="K29" i="25"/>
  <c r="M29" i="25" s="1"/>
  <c r="L29" i="25"/>
  <c r="D29" i="25"/>
  <c r="L22" i="25"/>
  <c r="L21" i="25"/>
  <c r="K22" i="25"/>
  <c r="M22" i="25" s="1"/>
  <c r="K21" i="25"/>
  <c r="M21" i="25" s="1"/>
  <c r="D22" i="25"/>
  <c r="D21" i="25"/>
  <c r="K11" i="25"/>
  <c r="L11" i="25"/>
  <c r="K32" i="25"/>
  <c r="L32" i="25"/>
  <c r="K42" i="25"/>
  <c r="L42" i="25"/>
  <c r="K10" i="25"/>
  <c r="L10" i="25"/>
  <c r="K12" i="25"/>
  <c r="L12" i="25"/>
  <c r="K33" i="25"/>
  <c r="L33" i="25"/>
  <c r="K43" i="25"/>
  <c r="L43" i="25"/>
  <c r="K4" i="25"/>
  <c r="N4" i="25" s="1"/>
  <c r="L4" i="25"/>
  <c r="K13" i="25"/>
  <c r="N13" i="25" s="1"/>
  <c r="L13" i="25"/>
  <c r="K20" i="25"/>
  <c r="N20" i="25" s="1"/>
  <c r="L20" i="25"/>
  <c r="K34" i="25"/>
  <c r="N34" i="25" s="1"/>
  <c r="L34" i="25"/>
  <c r="K44" i="25"/>
  <c r="N44" i="25" s="1"/>
  <c r="L44" i="25"/>
  <c r="K51" i="25"/>
  <c r="N51" i="25" s="1"/>
  <c r="L51" i="25"/>
  <c r="K5" i="25"/>
  <c r="M5" i="25" s="1"/>
  <c r="L5" i="25"/>
  <c r="K14" i="25"/>
  <c r="M14" i="25" s="1"/>
  <c r="L14" i="25"/>
  <c r="K15" i="25"/>
  <c r="M15" i="25" s="1"/>
  <c r="L15" i="25"/>
  <c r="K35" i="25"/>
  <c r="M35" i="25" s="1"/>
  <c r="L35" i="25"/>
  <c r="K45" i="25"/>
  <c r="M45" i="25" s="1"/>
  <c r="L45" i="25"/>
  <c r="K52" i="25"/>
  <c r="M52" i="25" s="1"/>
  <c r="L52" i="25"/>
  <c r="K6" i="25"/>
  <c r="M6" i="25" s="1"/>
  <c r="L6" i="25"/>
  <c r="K16" i="25"/>
  <c r="M16" i="25" s="1"/>
  <c r="L16" i="25"/>
  <c r="K17" i="25"/>
  <c r="M17" i="25" s="1"/>
  <c r="L17" i="25"/>
  <c r="K36" i="25"/>
  <c r="M36" i="25" s="1"/>
  <c r="L36" i="25"/>
  <c r="K46" i="25"/>
  <c r="M46" i="25" s="1"/>
  <c r="L46" i="25"/>
  <c r="K53" i="25"/>
  <c r="M53" i="25" s="1"/>
  <c r="L53" i="25"/>
  <c r="K18" i="25"/>
  <c r="N18" i="25" s="1"/>
  <c r="L18" i="25"/>
  <c r="K19" i="25"/>
  <c r="N19" i="25" s="1"/>
  <c r="L19" i="25"/>
  <c r="K37" i="25"/>
  <c r="N37" i="25" s="1"/>
  <c r="L37" i="25"/>
  <c r="K47" i="25"/>
  <c r="N47" i="25" s="1"/>
  <c r="L47" i="25"/>
  <c r="K54" i="25"/>
  <c r="N54" i="25" s="1"/>
  <c r="L54" i="25"/>
  <c r="K7" i="25"/>
  <c r="M7" i="25" s="1"/>
  <c r="L7" i="25"/>
  <c r="K23" i="25"/>
  <c r="M23" i="25" s="1"/>
  <c r="L23" i="25"/>
  <c r="K28" i="25"/>
  <c r="M28" i="25" s="1"/>
  <c r="L28" i="25"/>
  <c r="K38" i="25"/>
  <c r="M38" i="25" s="1"/>
  <c r="L38" i="25"/>
  <c r="K48" i="25"/>
  <c r="M48" i="25" s="1"/>
  <c r="L48" i="25"/>
  <c r="K55" i="25"/>
  <c r="M55" i="25" s="1"/>
  <c r="L55" i="25"/>
  <c r="K24" i="25"/>
  <c r="M24" i="25" s="1"/>
  <c r="L24" i="25"/>
  <c r="K25" i="25"/>
  <c r="M25" i="25" s="1"/>
  <c r="L25" i="25"/>
  <c r="K39" i="25"/>
  <c r="M39" i="25" s="1"/>
  <c r="L39" i="25"/>
  <c r="K49" i="25"/>
  <c r="M49" i="25" s="1"/>
  <c r="L49" i="25"/>
  <c r="K56" i="25"/>
  <c r="M56" i="25" s="1"/>
  <c r="L56" i="25"/>
  <c r="K8" i="25"/>
  <c r="M8" i="25" s="1"/>
  <c r="L8" i="25"/>
  <c r="K26" i="25"/>
  <c r="M26" i="25" s="1"/>
  <c r="L26" i="25"/>
  <c r="K27" i="25"/>
  <c r="M27" i="25" s="1"/>
  <c r="L27" i="25"/>
  <c r="K40" i="25"/>
  <c r="M40" i="25" s="1"/>
  <c r="L40" i="25"/>
  <c r="K50" i="25"/>
  <c r="M50" i="25" s="1"/>
  <c r="L50" i="25"/>
  <c r="K57" i="25"/>
  <c r="M57" i="25" s="1"/>
  <c r="L57" i="25"/>
  <c r="L9" i="25"/>
  <c r="K9" i="25"/>
  <c r="D11" i="25"/>
  <c r="D32" i="25"/>
  <c r="D42" i="25"/>
  <c r="D10" i="25"/>
  <c r="D12" i="25"/>
  <c r="D33" i="25"/>
  <c r="D43" i="25"/>
  <c r="D4" i="25"/>
  <c r="D13" i="25"/>
  <c r="D20" i="25"/>
  <c r="D34" i="25"/>
  <c r="D44" i="25"/>
  <c r="D51" i="25"/>
  <c r="D5" i="25"/>
  <c r="D14" i="25"/>
  <c r="D15" i="25"/>
  <c r="D35" i="25"/>
  <c r="D45" i="25"/>
  <c r="D52" i="25"/>
  <c r="D6" i="25"/>
  <c r="D16" i="25"/>
  <c r="D17" i="25"/>
  <c r="D36" i="25"/>
  <c r="D46" i="25"/>
  <c r="D53" i="25"/>
  <c r="D18" i="25"/>
  <c r="D19" i="25"/>
  <c r="D37" i="25"/>
  <c r="D47" i="25"/>
  <c r="D54" i="25"/>
  <c r="D7" i="25"/>
  <c r="D23" i="25"/>
  <c r="D28" i="25"/>
  <c r="D38" i="25"/>
  <c r="D48" i="25"/>
  <c r="D55" i="25"/>
  <c r="D24" i="25"/>
  <c r="D25" i="25"/>
  <c r="D39" i="25"/>
  <c r="D49" i="25"/>
  <c r="D56" i="25"/>
  <c r="D8" i="25"/>
  <c r="D26" i="25"/>
  <c r="D27" i="25"/>
  <c r="D40" i="25"/>
  <c r="D50" i="25"/>
  <c r="D57" i="25"/>
  <c r="D9" i="25"/>
  <c r="K6" i="23" l="1"/>
  <c r="L6" i="23"/>
  <c r="K22" i="23"/>
  <c r="L22" i="23"/>
  <c r="K32" i="23"/>
  <c r="L32" i="23"/>
  <c r="K41" i="23"/>
  <c r="L41" i="23"/>
  <c r="K5" i="23"/>
  <c r="L5" i="23"/>
  <c r="K7" i="23"/>
  <c r="L7" i="23"/>
  <c r="K23" i="23"/>
  <c r="L23" i="23"/>
  <c r="K33" i="23"/>
  <c r="L33" i="23"/>
  <c r="K42" i="23"/>
  <c r="L42" i="23"/>
  <c r="K8" i="23"/>
  <c r="N8" i="23" s="1"/>
  <c r="L8" i="23"/>
  <c r="K9" i="23"/>
  <c r="N9" i="23" s="1"/>
  <c r="L9" i="23"/>
  <c r="K24" i="23"/>
  <c r="N24" i="23" s="1"/>
  <c r="L24" i="23"/>
  <c r="K34" i="23"/>
  <c r="N34" i="23" s="1"/>
  <c r="L34" i="23"/>
  <c r="K10" i="23"/>
  <c r="M10" i="23" s="1"/>
  <c r="L10" i="23"/>
  <c r="K11" i="23"/>
  <c r="M11" i="23" s="1"/>
  <c r="L11" i="23"/>
  <c r="K25" i="23"/>
  <c r="M25" i="23" s="1"/>
  <c r="L25" i="23"/>
  <c r="K35" i="23"/>
  <c r="M35" i="23" s="1"/>
  <c r="L35" i="23"/>
  <c r="K12" i="23"/>
  <c r="M12" i="23" s="1"/>
  <c r="L12" i="23"/>
  <c r="K13" i="23"/>
  <c r="M13" i="23" s="1"/>
  <c r="L13" i="23"/>
  <c r="K26" i="23"/>
  <c r="M26" i="23" s="1"/>
  <c r="L26" i="23"/>
  <c r="K36" i="23"/>
  <c r="M36" i="23" s="1"/>
  <c r="L36" i="23"/>
  <c r="K14" i="23"/>
  <c r="N14" i="23" s="1"/>
  <c r="L14" i="23"/>
  <c r="K27" i="23"/>
  <c r="N27" i="23" s="1"/>
  <c r="L27" i="23"/>
  <c r="K37" i="23"/>
  <c r="N37" i="23" s="1"/>
  <c r="L37" i="23"/>
  <c r="K43" i="23"/>
  <c r="N43" i="23" s="1"/>
  <c r="L43" i="23"/>
  <c r="K15" i="23"/>
  <c r="M15" i="23" s="1"/>
  <c r="L15" i="23"/>
  <c r="K16" i="23"/>
  <c r="M16" i="23" s="1"/>
  <c r="L16" i="23"/>
  <c r="K28" i="23"/>
  <c r="M28" i="23" s="1"/>
  <c r="L28" i="23"/>
  <c r="K38" i="23"/>
  <c r="M38" i="23" s="1"/>
  <c r="L38" i="23"/>
  <c r="K17" i="23"/>
  <c r="M17" i="23" s="1"/>
  <c r="L17" i="23"/>
  <c r="K18" i="23"/>
  <c r="M18" i="23" s="1"/>
  <c r="L18" i="23"/>
  <c r="K29" i="23"/>
  <c r="M29" i="23" s="1"/>
  <c r="L29" i="23"/>
  <c r="K39" i="23"/>
  <c r="M39" i="23" s="1"/>
  <c r="L39" i="23"/>
  <c r="K44" i="23"/>
  <c r="M44" i="23" s="1"/>
  <c r="L44" i="23"/>
  <c r="K19" i="23"/>
  <c r="M19" i="23" s="1"/>
  <c r="L19" i="23"/>
  <c r="K20" i="23"/>
  <c r="M20" i="23" s="1"/>
  <c r="L20" i="23"/>
  <c r="K30" i="23"/>
  <c r="M30" i="23" s="1"/>
  <c r="L30" i="23"/>
  <c r="K40" i="23"/>
  <c r="M40" i="23" s="1"/>
  <c r="L40" i="23"/>
  <c r="L4" i="23"/>
  <c r="K4" i="23"/>
  <c r="D6" i="23"/>
  <c r="D22" i="23"/>
  <c r="D32" i="23"/>
  <c r="D41" i="23"/>
  <c r="D5" i="23"/>
  <c r="D7" i="23"/>
  <c r="D23" i="23"/>
  <c r="D33" i="23"/>
  <c r="D42" i="23"/>
  <c r="D8" i="23"/>
  <c r="D9" i="23"/>
  <c r="D24" i="23"/>
  <c r="D34" i="23"/>
  <c r="D10" i="23"/>
  <c r="D11" i="23"/>
  <c r="D25" i="23"/>
  <c r="D35" i="23"/>
  <c r="D12" i="23"/>
  <c r="D13" i="23"/>
  <c r="D26" i="23"/>
  <c r="D36" i="23"/>
  <c r="D14" i="23"/>
  <c r="D27" i="23"/>
  <c r="D37" i="23"/>
  <c r="D43" i="23"/>
  <c r="D15" i="23"/>
  <c r="D16" i="23"/>
  <c r="D28" i="23"/>
  <c r="D38" i="23"/>
  <c r="D17" i="23"/>
  <c r="D18" i="23"/>
  <c r="D29" i="23"/>
  <c r="D39" i="23"/>
  <c r="D44" i="23"/>
  <c r="D19" i="23"/>
  <c r="D20" i="23"/>
  <c r="D30" i="23"/>
  <c r="D40" i="23"/>
  <c r="D4" i="23"/>
  <c r="K16" i="22"/>
  <c r="L16" i="22"/>
  <c r="K25" i="22"/>
  <c r="L25" i="22"/>
  <c r="K35" i="22"/>
  <c r="L35" i="22"/>
  <c r="K5" i="22"/>
  <c r="L5" i="22"/>
  <c r="K17" i="22"/>
  <c r="L17" i="22"/>
  <c r="K26" i="22"/>
  <c r="L26" i="22"/>
  <c r="K36" i="22"/>
  <c r="L36" i="22"/>
  <c r="K6" i="22"/>
  <c r="N6" i="22" s="1"/>
  <c r="L6" i="22"/>
  <c r="K18" i="22"/>
  <c r="N18" i="22" s="1"/>
  <c r="L18" i="22"/>
  <c r="K27" i="22"/>
  <c r="N27" i="22" s="1"/>
  <c r="L27" i="22"/>
  <c r="K37" i="22"/>
  <c r="N37" i="22" s="1"/>
  <c r="L37" i="22"/>
  <c r="K7" i="22"/>
  <c r="M7" i="22" s="1"/>
  <c r="L7" i="22"/>
  <c r="K19" i="22"/>
  <c r="M19" i="22" s="1"/>
  <c r="L19" i="22"/>
  <c r="K28" i="22"/>
  <c r="M28" i="22" s="1"/>
  <c r="L28" i="22"/>
  <c r="K38" i="22"/>
  <c r="M38" i="22" s="1"/>
  <c r="L38" i="22"/>
  <c r="K8" i="22"/>
  <c r="M8" i="22" s="1"/>
  <c r="L8" i="22"/>
  <c r="K20" i="22"/>
  <c r="M20" i="22" s="1"/>
  <c r="L20" i="22"/>
  <c r="K29" i="22"/>
  <c r="M29" i="22" s="1"/>
  <c r="L29" i="22"/>
  <c r="K39" i="22"/>
  <c r="M39" i="22" s="1"/>
  <c r="L39" i="22"/>
  <c r="K9" i="22"/>
  <c r="N9" i="22" s="1"/>
  <c r="L9" i="22"/>
  <c r="K21" i="22"/>
  <c r="N21" i="22" s="1"/>
  <c r="L21" i="22"/>
  <c r="K30" i="22"/>
  <c r="N30" i="22" s="1"/>
  <c r="L30" i="22"/>
  <c r="K40" i="22"/>
  <c r="N40" i="22" s="1"/>
  <c r="L40" i="22"/>
  <c r="K10" i="22"/>
  <c r="M10" i="22" s="1"/>
  <c r="L10" i="22"/>
  <c r="K11" i="22"/>
  <c r="M11" i="22" s="1"/>
  <c r="L11" i="22"/>
  <c r="K22" i="22"/>
  <c r="M22" i="22" s="1"/>
  <c r="L22" i="22"/>
  <c r="K31" i="22"/>
  <c r="M31" i="22" s="1"/>
  <c r="L31" i="22"/>
  <c r="K41" i="22"/>
  <c r="M41" i="22" s="1"/>
  <c r="L41" i="22"/>
  <c r="K12" i="22"/>
  <c r="M12" i="22" s="1"/>
  <c r="L12" i="22"/>
  <c r="K23" i="22"/>
  <c r="M23" i="22" s="1"/>
  <c r="L23" i="22"/>
  <c r="K32" i="22"/>
  <c r="M32" i="22" s="1"/>
  <c r="L32" i="22"/>
  <c r="K42" i="22"/>
  <c r="M42" i="22" s="1"/>
  <c r="L42" i="22"/>
  <c r="K13" i="22"/>
  <c r="M13" i="22" s="1"/>
  <c r="L13" i="22"/>
  <c r="K14" i="22"/>
  <c r="M14" i="22" s="1"/>
  <c r="L14" i="22"/>
  <c r="K24" i="22"/>
  <c r="M24" i="22" s="1"/>
  <c r="L24" i="22"/>
  <c r="K33" i="22"/>
  <c r="M33" i="22" s="1"/>
  <c r="L33" i="22"/>
  <c r="K43" i="22"/>
  <c r="M43" i="22" s="1"/>
  <c r="L43" i="22"/>
  <c r="L4" i="22"/>
  <c r="K4" i="22"/>
  <c r="D16" i="22"/>
  <c r="D25" i="22"/>
  <c r="D35" i="22"/>
  <c r="D5" i="22"/>
  <c r="D17" i="22"/>
  <c r="D26" i="22"/>
  <c r="D36" i="22"/>
  <c r="D6" i="22"/>
  <c r="D18" i="22"/>
  <c r="D27" i="22"/>
  <c r="D37" i="22"/>
  <c r="D7" i="22"/>
  <c r="D19" i="22"/>
  <c r="D28" i="22"/>
  <c r="D38" i="22"/>
  <c r="D8" i="22"/>
  <c r="D20" i="22"/>
  <c r="D29" i="22"/>
  <c r="D39" i="22"/>
  <c r="D9" i="22"/>
  <c r="D21" i="22"/>
  <c r="D30" i="22"/>
  <c r="D40" i="22"/>
  <c r="D10" i="22"/>
  <c r="D11" i="22"/>
  <c r="D22" i="22"/>
  <c r="D31" i="22"/>
  <c r="D41" i="22"/>
  <c r="D12" i="22"/>
  <c r="D23" i="22"/>
  <c r="D32" i="22"/>
  <c r="D42" i="22"/>
  <c r="D13" i="22"/>
  <c r="D14" i="22"/>
  <c r="D24" i="22"/>
  <c r="D33" i="22"/>
  <c r="D43" i="22"/>
  <c r="D4" i="22"/>
  <c r="K54" i="21" l="1"/>
  <c r="M54" i="21" s="1"/>
  <c r="D44" i="18"/>
  <c r="K44" i="18"/>
  <c r="M44" i="18" s="1"/>
  <c r="L44" i="18"/>
  <c r="D45" i="18"/>
  <c r="K45" i="18"/>
  <c r="M45" i="18" s="1"/>
  <c r="L45" i="18"/>
  <c r="D46" i="18"/>
  <c r="K46" i="18"/>
  <c r="L46" i="18"/>
  <c r="N46" i="18"/>
  <c r="D47" i="18"/>
  <c r="K47" i="18"/>
  <c r="L47" i="18"/>
  <c r="M47" i="18"/>
  <c r="D48" i="18"/>
  <c r="K48" i="18"/>
  <c r="L48" i="18"/>
  <c r="M48" i="18"/>
  <c r="D49" i="18"/>
  <c r="K49" i="18"/>
  <c r="M49" i="18" s="1"/>
  <c r="L49" i="18"/>
  <c r="K5" i="21"/>
  <c r="L5" i="21"/>
  <c r="K6" i="21"/>
  <c r="N6" i="21" s="1"/>
  <c r="L6" i="21"/>
  <c r="K7" i="21"/>
  <c r="M7" i="21" s="1"/>
  <c r="L7" i="21"/>
  <c r="K8" i="21"/>
  <c r="M8" i="21" s="1"/>
  <c r="L8" i="21"/>
  <c r="K9" i="21"/>
  <c r="N9" i="21" s="1"/>
  <c r="L9" i="21"/>
  <c r="K10" i="21"/>
  <c r="M10" i="21" s="1"/>
  <c r="L10" i="21"/>
  <c r="K11" i="21"/>
  <c r="M11" i="21" s="1"/>
  <c r="L11" i="21"/>
  <c r="K13" i="21"/>
  <c r="L13" i="21"/>
  <c r="K15" i="21"/>
  <c r="L15" i="21"/>
  <c r="K14" i="21"/>
  <c r="L14" i="21"/>
  <c r="K16" i="21"/>
  <c r="L16" i="21"/>
  <c r="K17" i="21"/>
  <c r="N17" i="21" s="1"/>
  <c r="L17" i="21"/>
  <c r="K18" i="21"/>
  <c r="N18" i="21" s="1"/>
  <c r="L18" i="21"/>
  <c r="K19" i="21"/>
  <c r="M19" i="21" s="1"/>
  <c r="L19" i="21"/>
  <c r="K20" i="21"/>
  <c r="M20" i="21" s="1"/>
  <c r="L20" i="21"/>
  <c r="K21" i="21"/>
  <c r="M21" i="21" s="1"/>
  <c r="L21" i="21"/>
  <c r="K22" i="21"/>
  <c r="M22" i="21" s="1"/>
  <c r="L22" i="21"/>
  <c r="K23" i="21"/>
  <c r="N23" i="21" s="1"/>
  <c r="L23" i="21"/>
  <c r="K24" i="21"/>
  <c r="N24" i="21" s="1"/>
  <c r="L24" i="21"/>
  <c r="K25" i="21"/>
  <c r="M25" i="21" s="1"/>
  <c r="L25" i="21"/>
  <c r="K26" i="21"/>
  <c r="M26" i="21" s="1"/>
  <c r="L26" i="21"/>
  <c r="K27" i="21"/>
  <c r="M27" i="21" s="1"/>
  <c r="L27" i="21"/>
  <c r="K28" i="21"/>
  <c r="M28" i="21" s="1"/>
  <c r="L28" i="21"/>
  <c r="K29" i="21"/>
  <c r="M29" i="21" s="1"/>
  <c r="L29" i="21"/>
  <c r="K30" i="21"/>
  <c r="M30" i="21" s="1"/>
  <c r="L30" i="21"/>
  <c r="K32" i="21"/>
  <c r="L32" i="21"/>
  <c r="K33" i="21"/>
  <c r="L33" i="21"/>
  <c r="K34" i="21"/>
  <c r="N34" i="21" s="1"/>
  <c r="L34" i="21"/>
  <c r="K35" i="21"/>
  <c r="M35" i="21" s="1"/>
  <c r="L35" i="21"/>
  <c r="K36" i="21"/>
  <c r="M36" i="21" s="1"/>
  <c r="L36" i="21"/>
  <c r="K37" i="21"/>
  <c r="N37" i="21" s="1"/>
  <c r="L37" i="21"/>
  <c r="K38" i="21"/>
  <c r="M38" i="21" s="1"/>
  <c r="L38" i="21"/>
  <c r="K39" i="21"/>
  <c r="M39" i="21" s="1"/>
  <c r="L39" i="21"/>
  <c r="K40" i="21"/>
  <c r="M40" i="21" s="1"/>
  <c r="L40" i="21"/>
  <c r="K41" i="21"/>
  <c r="L41" i="21"/>
  <c r="K42" i="21"/>
  <c r="L42" i="21"/>
  <c r="K43" i="21"/>
  <c r="N43" i="21" s="1"/>
  <c r="L43" i="21"/>
  <c r="K44" i="21"/>
  <c r="M44" i="21" s="1"/>
  <c r="L44" i="21"/>
  <c r="K45" i="21"/>
  <c r="M45" i="21" s="1"/>
  <c r="L45" i="21"/>
  <c r="K46" i="21"/>
  <c r="N46" i="21" s="1"/>
  <c r="L46" i="21"/>
  <c r="K47" i="21"/>
  <c r="M47" i="21" s="1"/>
  <c r="L47" i="21"/>
  <c r="K48" i="21"/>
  <c r="M48" i="21" s="1"/>
  <c r="L48" i="21"/>
  <c r="K49" i="21"/>
  <c r="M49" i="21" s="1"/>
  <c r="L49" i="21"/>
  <c r="K50" i="21"/>
  <c r="L50" i="21"/>
  <c r="K51" i="21"/>
  <c r="L51" i="21"/>
  <c r="K52" i="21"/>
  <c r="M52" i="21" s="1"/>
  <c r="L52" i="21"/>
  <c r="K53" i="21"/>
  <c r="M53" i="21" s="1"/>
  <c r="L53" i="21"/>
  <c r="L54" i="21"/>
  <c r="K55" i="21"/>
  <c r="M55" i="21" s="1"/>
  <c r="L55" i="21"/>
  <c r="K56" i="21"/>
  <c r="M56" i="21" s="1"/>
  <c r="L56" i="21"/>
  <c r="L4" i="21"/>
  <c r="K4" i="21"/>
  <c r="D5" i="21"/>
  <c r="D6" i="21"/>
  <c r="D7" i="21"/>
  <c r="D8" i="21"/>
  <c r="D9" i="21"/>
  <c r="D10" i="21"/>
  <c r="D11" i="21"/>
  <c r="D13" i="21"/>
  <c r="D15" i="21"/>
  <c r="D14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4" i="21"/>
  <c r="K6" i="20" l="1"/>
  <c r="L6" i="20"/>
  <c r="K5" i="20"/>
  <c r="L5" i="20"/>
  <c r="K7" i="20"/>
  <c r="L7" i="20"/>
  <c r="K8" i="20"/>
  <c r="N8" i="20" s="1"/>
  <c r="L8" i="20"/>
  <c r="K9" i="20"/>
  <c r="N9" i="20" s="1"/>
  <c r="L9" i="20"/>
  <c r="K10" i="20"/>
  <c r="M10" i="20" s="1"/>
  <c r="L10" i="20"/>
  <c r="K11" i="20"/>
  <c r="M11" i="20" s="1"/>
  <c r="L11" i="20"/>
  <c r="K12" i="20"/>
  <c r="M12" i="20" s="1"/>
  <c r="L12" i="20"/>
  <c r="K13" i="20"/>
  <c r="M13" i="20" s="1"/>
  <c r="L13" i="20"/>
  <c r="K14" i="20"/>
  <c r="N14" i="20" s="1"/>
  <c r="L14" i="20"/>
  <c r="K15" i="20"/>
  <c r="N15" i="20" s="1"/>
  <c r="L15" i="20"/>
  <c r="K16" i="20"/>
  <c r="M16" i="20" s="1"/>
  <c r="L16" i="20"/>
  <c r="K17" i="20"/>
  <c r="M17" i="20" s="1"/>
  <c r="L17" i="20"/>
  <c r="K18" i="20"/>
  <c r="M18" i="20" s="1"/>
  <c r="L18" i="20"/>
  <c r="K19" i="20"/>
  <c r="M19" i="20" s="1"/>
  <c r="L19" i="20"/>
  <c r="K20" i="20"/>
  <c r="M20" i="20" s="1"/>
  <c r="L20" i="20"/>
  <c r="K21" i="20"/>
  <c r="M21" i="20" s="1"/>
  <c r="L21" i="20"/>
  <c r="K23" i="20"/>
  <c r="L23" i="20"/>
  <c r="K24" i="20"/>
  <c r="L24" i="20"/>
  <c r="K25" i="20"/>
  <c r="N25" i="20" s="1"/>
  <c r="L25" i="20"/>
  <c r="K26" i="20"/>
  <c r="M26" i="20" s="1"/>
  <c r="L26" i="20"/>
  <c r="K27" i="20"/>
  <c r="M27" i="20" s="1"/>
  <c r="L27" i="20"/>
  <c r="K28" i="20"/>
  <c r="N28" i="20" s="1"/>
  <c r="L28" i="20"/>
  <c r="K29" i="20"/>
  <c r="M29" i="20" s="1"/>
  <c r="L29" i="20"/>
  <c r="K30" i="20"/>
  <c r="M30" i="20" s="1"/>
  <c r="L30" i="20"/>
  <c r="K31" i="20"/>
  <c r="M31" i="20" s="1"/>
  <c r="L31" i="20"/>
  <c r="K33" i="20"/>
  <c r="L33" i="20"/>
  <c r="K34" i="20"/>
  <c r="L34" i="20"/>
  <c r="K35" i="20"/>
  <c r="N35" i="20" s="1"/>
  <c r="L35" i="20"/>
  <c r="K36" i="20"/>
  <c r="M36" i="20" s="1"/>
  <c r="L36" i="20"/>
  <c r="K37" i="20"/>
  <c r="M37" i="20" s="1"/>
  <c r="L37" i="20"/>
  <c r="K38" i="20"/>
  <c r="N38" i="20" s="1"/>
  <c r="L38" i="20"/>
  <c r="K39" i="20"/>
  <c r="M39" i="20" s="1"/>
  <c r="L39" i="20"/>
  <c r="K40" i="20"/>
  <c r="M40" i="20" s="1"/>
  <c r="L40" i="20"/>
  <c r="K41" i="20"/>
  <c r="M41" i="20" s="1"/>
  <c r="L41" i="20"/>
  <c r="K42" i="20"/>
  <c r="M42" i="20" s="1"/>
  <c r="L42" i="20"/>
  <c r="L4" i="20"/>
  <c r="K4" i="20"/>
  <c r="D6" i="20"/>
  <c r="D5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3" i="20"/>
  <c r="D24" i="20"/>
  <c r="D25" i="20"/>
  <c r="D26" i="20"/>
  <c r="D27" i="20"/>
  <c r="D28" i="20"/>
  <c r="D29" i="20"/>
  <c r="D30" i="20"/>
  <c r="D31" i="20"/>
  <c r="D33" i="20"/>
  <c r="D34" i="20"/>
  <c r="D35" i="20"/>
  <c r="D36" i="20"/>
  <c r="D37" i="20"/>
  <c r="D38" i="20"/>
  <c r="D39" i="20"/>
  <c r="D40" i="20"/>
  <c r="D41" i="20"/>
  <c r="D42" i="20"/>
  <c r="D4" i="20"/>
  <c r="K6" i="18" l="1"/>
  <c r="L6" i="18"/>
  <c r="K22" i="18"/>
  <c r="L22" i="18"/>
  <c r="K32" i="18"/>
  <c r="L32" i="18"/>
  <c r="K41" i="18"/>
  <c r="L41" i="18"/>
  <c r="K5" i="18"/>
  <c r="L5" i="18"/>
  <c r="K7" i="18"/>
  <c r="L7" i="18"/>
  <c r="K23" i="18"/>
  <c r="L23" i="18"/>
  <c r="K33" i="18"/>
  <c r="L33" i="18"/>
  <c r="K42" i="18"/>
  <c r="L42" i="18"/>
  <c r="K8" i="18"/>
  <c r="N8" i="18" s="1"/>
  <c r="L8" i="18"/>
  <c r="K9" i="18"/>
  <c r="N9" i="18" s="1"/>
  <c r="L9" i="18"/>
  <c r="K24" i="18"/>
  <c r="N24" i="18" s="1"/>
  <c r="L24" i="18"/>
  <c r="K34" i="18"/>
  <c r="N34" i="18" s="1"/>
  <c r="L34" i="18"/>
  <c r="K43" i="18"/>
  <c r="N43" i="18" s="1"/>
  <c r="L43" i="18"/>
  <c r="K10" i="18"/>
  <c r="M10" i="18" s="1"/>
  <c r="L10" i="18"/>
  <c r="K11" i="18"/>
  <c r="M11" i="18" s="1"/>
  <c r="L11" i="18"/>
  <c r="K25" i="18"/>
  <c r="M25" i="18" s="1"/>
  <c r="L25" i="18"/>
  <c r="K35" i="18"/>
  <c r="M35" i="18" s="1"/>
  <c r="L35" i="18"/>
  <c r="K12" i="18"/>
  <c r="M12" i="18" s="1"/>
  <c r="L12" i="18"/>
  <c r="K13" i="18"/>
  <c r="M13" i="18" s="1"/>
  <c r="L13" i="18"/>
  <c r="K26" i="18"/>
  <c r="M26" i="18" s="1"/>
  <c r="L26" i="18"/>
  <c r="K36" i="18"/>
  <c r="M36" i="18" s="1"/>
  <c r="L36" i="18"/>
  <c r="K14" i="18"/>
  <c r="N14" i="18" s="1"/>
  <c r="L14" i="18"/>
  <c r="K27" i="18"/>
  <c r="N27" i="18" s="1"/>
  <c r="L27" i="18"/>
  <c r="K37" i="18"/>
  <c r="N37" i="18" s="1"/>
  <c r="L37" i="18"/>
  <c r="K15" i="18"/>
  <c r="M15" i="18" s="1"/>
  <c r="L15" i="18"/>
  <c r="K16" i="18"/>
  <c r="M16" i="18" s="1"/>
  <c r="L16" i="18"/>
  <c r="K28" i="18"/>
  <c r="M28" i="18" s="1"/>
  <c r="L28" i="18"/>
  <c r="K38" i="18"/>
  <c r="M38" i="18" s="1"/>
  <c r="L38" i="18"/>
  <c r="K17" i="18"/>
  <c r="M17" i="18" s="1"/>
  <c r="L17" i="18"/>
  <c r="K18" i="18"/>
  <c r="M18" i="18" s="1"/>
  <c r="L18" i="18"/>
  <c r="K29" i="18"/>
  <c r="M29" i="18" s="1"/>
  <c r="L29" i="18"/>
  <c r="K39" i="18"/>
  <c r="M39" i="18" s="1"/>
  <c r="L39" i="18"/>
  <c r="K19" i="18"/>
  <c r="M19" i="18" s="1"/>
  <c r="L19" i="18"/>
  <c r="K20" i="18"/>
  <c r="M20" i="18" s="1"/>
  <c r="L20" i="18"/>
  <c r="K30" i="18"/>
  <c r="M30" i="18" s="1"/>
  <c r="L30" i="18"/>
  <c r="K40" i="18"/>
  <c r="M40" i="18" s="1"/>
  <c r="L40" i="18"/>
  <c r="L4" i="18"/>
  <c r="K4" i="18"/>
  <c r="D6" i="18"/>
  <c r="D22" i="18"/>
  <c r="D32" i="18"/>
  <c r="D41" i="18"/>
  <c r="D5" i="18"/>
  <c r="D7" i="18"/>
  <c r="D23" i="18"/>
  <c r="D33" i="18"/>
  <c r="D42" i="18"/>
  <c r="D8" i="18"/>
  <c r="D9" i="18"/>
  <c r="D24" i="18"/>
  <c r="D34" i="18"/>
  <c r="D43" i="18"/>
  <c r="D10" i="18"/>
  <c r="D11" i="18"/>
  <c r="D25" i="18"/>
  <c r="D35" i="18"/>
  <c r="D12" i="18"/>
  <c r="D13" i="18"/>
  <c r="D26" i="18"/>
  <c r="D36" i="18"/>
  <c r="D14" i="18"/>
  <c r="D27" i="18"/>
  <c r="D37" i="18"/>
  <c r="D15" i="18"/>
  <c r="D16" i="18"/>
  <c r="D28" i="18"/>
  <c r="D38" i="18"/>
  <c r="D17" i="18"/>
  <c r="D18" i="18"/>
  <c r="D29" i="18"/>
  <c r="D39" i="18"/>
  <c r="D19" i="18"/>
  <c r="D20" i="18"/>
  <c r="D30" i="18"/>
  <c r="D40" i="18"/>
  <c r="D4" i="18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" i="17"/>
  <c r="K18" i="17"/>
  <c r="L18" i="17"/>
  <c r="K27" i="17"/>
  <c r="L27" i="17"/>
  <c r="K34" i="17"/>
  <c r="L34" i="17"/>
  <c r="K5" i="17"/>
  <c r="L5" i="17"/>
  <c r="K19" i="17"/>
  <c r="L19" i="17"/>
  <c r="K28" i="17"/>
  <c r="L28" i="17"/>
  <c r="K35" i="17"/>
  <c r="L35" i="17"/>
  <c r="K6" i="17"/>
  <c r="N6" i="17" s="1"/>
  <c r="L6" i="17"/>
  <c r="K20" i="17"/>
  <c r="N20" i="17" s="1"/>
  <c r="L20" i="17"/>
  <c r="K29" i="17"/>
  <c r="N29" i="17" s="1"/>
  <c r="L29" i="17"/>
  <c r="K36" i="17"/>
  <c r="N36" i="17" s="1"/>
  <c r="L36" i="17"/>
  <c r="K7" i="17"/>
  <c r="M7" i="17" s="1"/>
  <c r="L7" i="17"/>
  <c r="K8" i="17"/>
  <c r="M8" i="17" s="1"/>
  <c r="L8" i="17"/>
  <c r="K21" i="17"/>
  <c r="M21" i="17" s="1"/>
  <c r="L21" i="17"/>
  <c r="K9" i="17"/>
  <c r="M9" i="17" s="1"/>
  <c r="L9" i="17"/>
  <c r="K10" i="17"/>
  <c r="M10" i="17" s="1"/>
  <c r="L10" i="17"/>
  <c r="K22" i="17"/>
  <c r="M22" i="17" s="1"/>
  <c r="L22" i="17"/>
  <c r="K30" i="17"/>
  <c r="M30" i="17" s="1"/>
  <c r="L30" i="17"/>
  <c r="K11" i="17"/>
  <c r="N11" i="17" s="1"/>
  <c r="L11" i="17"/>
  <c r="K12" i="17"/>
  <c r="M12" i="17" s="1"/>
  <c r="L12" i="17"/>
  <c r="K13" i="17"/>
  <c r="M13" i="17" s="1"/>
  <c r="L13" i="17"/>
  <c r="K23" i="17"/>
  <c r="M23" i="17" s="1"/>
  <c r="L23" i="17"/>
  <c r="K31" i="17"/>
  <c r="M31" i="17" s="1"/>
  <c r="L31" i="17"/>
  <c r="K37" i="17"/>
  <c r="M37" i="17" s="1"/>
  <c r="L37" i="17"/>
  <c r="K14" i="17"/>
  <c r="M14" i="17" s="1"/>
  <c r="L14" i="17"/>
  <c r="K15" i="17"/>
  <c r="M15" i="17" s="1"/>
  <c r="L15" i="17"/>
  <c r="K24" i="17"/>
  <c r="M24" i="17" s="1"/>
  <c r="L24" i="17"/>
  <c r="K32" i="17"/>
  <c r="M32" i="17" s="1"/>
  <c r="L32" i="17"/>
  <c r="K38" i="17"/>
  <c r="M38" i="17" s="1"/>
  <c r="L38" i="17"/>
  <c r="K16" i="17"/>
  <c r="M16" i="17" s="1"/>
  <c r="L16" i="17"/>
  <c r="K17" i="17"/>
  <c r="M17" i="17" s="1"/>
  <c r="L17" i="17"/>
  <c r="K25" i="17"/>
  <c r="M25" i="17" s="1"/>
  <c r="L25" i="17"/>
  <c r="K33" i="17"/>
  <c r="M33" i="17" s="1"/>
  <c r="L33" i="17"/>
  <c r="K39" i="17"/>
  <c r="M39" i="17" s="1"/>
  <c r="L39" i="17"/>
  <c r="L4" i="17"/>
  <c r="K4" i="17"/>
  <c r="L51" i="15" l="1"/>
  <c r="K51" i="15"/>
  <c r="N51" i="15" s="1"/>
  <c r="D51" i="15"/>
  <c r="K59" i="13"/>
  <c r="L59" i="13"/>
  <c r="L58" i="13"/>
  <c r="K58" i="13"/>
  <c r="D6" i="15"/>
  <c r="D5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6" i="15"/>
  <c r="D27" i="15"/>
  <c r="D28" i="15"/>
  <c r="D29" i="15"/>
  <c r="D30" i="15"/>
  <c r="D31" i="15"/>
  <c r="D32" i="15"/>
  <c r="D33" i="15"/>
  <c r="D34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2" i="15"/>
  <c r="D53" i="15"/>
  <c r="D54" i="15"/>
  <c r="D4" i="15"/>
  <c r="K6" i="15"/>
  <c r="L6" i="15"/>
  <c r="K26" i="15"/>
  <c r="L26" i="15"/>
  <c r="K36" i="15"/>
  <c r="L36" i="15"/>
  <c r="K45" i="15"/>
  <c r="L45" i="15"/>
  <c r="K5" i="15"/>
  <c r="L5" i="15"/>
  <c r="K7" i="15"/>
  <c r="L7" i="15"/>
  <c r="K27" i="15"/>
  <c r="L27" i="15"/>
  <c r="K37" i="15"/>
  <c r="L37" i="15"/>
  <c r="K46" i="15"/>
  <c r="L46" i="15"/>
  <c r="K8" i="15"/>
  <c r="N8" i="15" s="1"/>
  <c r="L8" i="15"/>
  <c r="K9" i="15"/>
  <c r="N9" i="15" s="1"/>
  <c r="L9" i="15"/>
  <c r="K28" i="15"/>
  <c r="N28" i="15" s="1"/>
  <c r="L28" i="15"/>
  <c r="K38" i="15"/>
  <c r="N38" i="15" s="1"/>
  <c r="L38" i="15"/>
  <c r="K47" i="15"/>
  <c r="N47" i="15" s="1"/>
  <c r="L47" i="15"/>
  <c r="K10" i="15"/>
  <c r="M10" i="15" s="1"/>
  <c r="L10" i="15"/>
  <c r="K11" i="15"/>
  <c r="M11" i="15" s="1"/>
  <c r="L11" i="15"/>
  <c r="K12" i="15"/>
  <c r="M12" i="15" s="1"/>
  <c r="L12" i="15"/>
  <c r="K29" i="15"/>
  <c r="M29" i="15" s="1"/>
  <c r="L29" i="15"/>
  <c r="K39" i="15"/>
  <c r="M39" i="15" s="1"/>
  <c r="L39" i="15"/>
  <c r="K48" i="15"/>
  <c r="M48" i="15" s="1"/>
  <c r="L48" i="15"/>
  <c r="K13" i="15"/>
  <c r="M13" i="15" s="1"/>
  <c r="L13" i="15"/>
  <c r="K14" i="15"/>
  <c r="M14" i="15" s="1"/>
  <c r="L14" i="15"/>
  <c r="K15" i="15"/>
  <c r="M15" i="15" s="1"/>
  <c r="L15" i="15"/>
  <c r="K30" i="15"/>
  <c r="M30" i="15" s="1"/>
  <c r="L30" i="15"/>
  <c r="K40" i="15"/>
  <c r="M40" i="15" s="1"/>
  <c r="L40" i="15"/>
  <c r="K49" i="15"/>
  <c r="M49" i="15" s="1"/>
  <c r="L49" i="15"/>
  <c r="K16" i="15"/>
  <c r="N16" i="15" s="1"/>
  <c r="L16" i="15"/>
  <c r="K31" i="15"/>
  <c r="N31" i="15" s="1"/>
  <c r="L31" i="15"/>
  <c r="K41" i="15"/>
  <c r="N41" i="15" s="1"/>
  <c r="L41" i="15"/>
  <c r="K50" i="15"/>
  <c r="N50" i="15" s="1"/>
  <c r="L50" i="15"/>
  <c r="K17" i="15"/>
  <c r="M17" i="15" s="1"/>
  <c r="L17" i="15"/>
  <c r="K18" i="15"/>
  <c r="M18" i="15" s="1"/>
  <c r="L18" i="15"/>
  <c r="K32" i="15"/>
  <c r="M32" i="15" s="1"/>
  <c r="L32" i="15"/>
  <c r="K42" i="15"/>
  <c r="M42" i="15" s="1"/>
  <c r="L42" i="15"/>
  <c r="K52" i="15"/>
  <c r="M52" i="15" s="1"/>
  <c r="L52" i="15"/>
  <c r="K19" i="15"/>
  <c r="M19" i="15" s="1"/>
  <c r="L19" i="15"/>
  <c r="K20" i="15"/>
  <c r="M20" i="15" s="1"/>
  <c r="L20" i="15"/>
  <c r="K21" i="15"/>
  <c r="M21" i="15" s="1"/>
  <c r="L21" i="15"/>
  <c r="K33" i="15"/>
  <c r="M33" i="15" s="1"/>
  <c r="L33" i="15"/>
  <c r="K43" i="15"/>
  <c r="M43" i="15" s="1"/>
  <c r="L43" i="15"/>
  <c r="K53" i="15"/>
  <c r="M53" i="15" s="1"/>
  <c r="L53" i="15"/>
  <c r="K22" i="15"/>
  <c r="M22" i="15" s="1"/>
  <c r="L22" i="15"/>
  <c r="K23" i="15"/>
  <c r="M23" i="15" s="1"/>
  <c r="L23" i="15"/>
  <c r="K24" i="15"/>
  <c r="M24" i="15" s="1"/>
  <c r="L24" i="15"/>
  <c r="K34" i="15"/>
  <c r="M34" i="15" s="1"/>
  <c r="L34" i="15"/>
  <c r="K44" i="15"/>
  <c r="M44" i="15" s="1"/>
  <c r="L44" i="15"/>
  <c r="K54" i="15"/>
  <c r="M54" i="15" s="1"/>
  <c r="L54" i="15"/>
  <c r="L4" i="15"/>
  <c r="K4" i="15"/>
  <c r="D59" i="13"/>
  <c r="D58" i="13"/>
  <c r="K29" i="13"/>
  <c r="L29" i="13"/>
  <c r="K30" i="13"/>
  <c r="L30" i="13"/>
  <c r="K31" i="13"/>
  <c r="M31" i="13" s="1"/>
  <c r="L31" i="13"/>
  <c r="K32" i="13"/>
  <c r="M32" i="13" s="1"/>
  <c r="L32" i="13"/>
  <c r="K33" i="13"/>
  <c r="L33" i="13"/>
  <c r="K34" i="13"/>
  <c r="M34" i="13" s="1"/>
  <c r="L34" i="13"/>
  <c r="K35" i="13"/>
  <c r="M35" i="13" s="1"/>
  <c r="L35" i="13"/>
  <c r="K36" i="13"/>
  <c r="M36" i="13" s="1"/>
  <c r="L36" i="13"/>
  <c r="D29" i="13"/>
  <c r="D30" i="13"/>
  <c r="D31" i="13"/>
  <c r="D32" i="13"/>
  <c r="D33" i="13"/>
  <c r="D34" i="13"/>
  <c r="D35" i="13"/>
  <c r="D36" i="13"/>
  <c r="K13" i="13"/>
  <c r="L13" i="13"/>
  <c r="K37" i="13"/>
  <c r="L37" i="13"/>
  <c r="K47" i="13"/>
  <c r="L47" i="13"/>
  <c r="K5" i="13"/>
  <c r="L5" i="13"/>
  <c r="K14" i="13"/>
  <c r="L14" i="13"/>
  <c r="K38" i="13"/>
  <c r="L38" i="13"/>
  <c r="K48" i="13"/>
  <c r="L48" i="13"/>
  <c r="K6" i="13"/>
  <c r="N6" i="13" s="1"/>
  <c r="L6" i="13"/>
  <c r="K15" i="13"/>
  <c r="N15" i="13" s="1"/>
  <c r="L15" i="13"/>
  <c r="K23" i="13"/>
  <c r="N23" i="13" s="1"/>
  <c r="L23" i="13"/>
  <c r="K39" i="13"/>
  <c r="N39" i="13" s="1"/>
  <c r="L39" i="13"/>
  <c r="K49" i="13"/>
  <c r="N49" i="13" s="1"/>
  <c r="L49" i="13"/>
  <c r="K7" i="13"/>
  <c r="M7" i="13" s="1"/>
  <c r="L7" i="13"/>
  <c r="K16" i="13"/>
  <c r="M16" i="13" s="1"/>
  <c r="L16" i="13"/>
  <c r="K24" i="13"/>
  <c r="M24" i="13" s="1"/>
  <c r="L24" i="13"/>
  <c r="K40" i="13"/>
  <c r="M40" i="13" s="1"/>
  <c r="L40" i="13"/>
  <c r="K50" i="13"/>
  <c r="M50" i="13" s="1"/>
  <c r="L50" i="13"/>
  <c r="K8" i="13"/>
  <c r="M8" i="13" s="1"/>
  <c r="L8" i="13"/>
  <c r="K17" i="13"/>
  <c r="M17" i="13" s="1"/>
  <c r="L17" i="13"/>
  <c r="K25" i="13"/>
  <c r="M25" i="13" s="1"/>
  <c r="L25" i="13"/>
  <c r="K41" i="13"/>
  <c r="M41" i="13" s="1"/>
  <c r="L41" i="13"/>
  <c r="K51" i="13"/>
  <c r="M51" i="13" s="1"/>
  <c r="L51" i="13"/>
  <c r="K9" i="13"/>
  <c r="N9" i="13" s="1"/>
  <c r="L9" i="13"/>
  <c r="K18" i="13"/>
  <c r="N18" i="13" s="1"/>
  <c r="L18" i="13"/>
  <c r="K42" i="13"/>
  <c r="N42" i="13" s="1"/>
  <c r="L42" i="13"/>
  <c r="K52" i="13"/>
  <c r="N52" i="13" s="1"/>
  <c r="L52" i="13"/>
  <c r="K10" i="13"/>
  <c r="M10" i="13" s="1"/>
  <c r="L10" i="13"/>
  <c r="K19" i="13"/>
  <c r="M19" i="13" s="1"/>
  <c r="L19" i="13"/>
  <c r="K26" i="13"/>
  <c r="M26" i="13" s="1"/>
  <c r="L26" i="13"/>
  <c r="K43" i="13"/>
  <c r="M43" i="13" s="1"/>
  <c r="L43" i="13"/>
  <c r="K53" i="13"/>
  <c r="M53" i="13" s="1"/>
  <c r="L53" i="13"/>
  <c r="K11" i="13"/>
  <c r="M11" i="13" s="1"/>
  <c r="L11" i="13"/>
  <c r="K20" i="13"/>
  <c r="M20" i="13" s="1"/>
  <c r="L20" i="13"/>
  <c r="K27" i="13"/>
  <c r="M27" i="13" s="1"/>
  <c r="L27" i="13"/>
  <c r="K44" i="13"/>
  <c r="M44" i="13" s="1"/>
  <c r="L44" i="13"/>
  <c r="K54" i="13"/>
  <c r="M54" i="13" s="1"/>
  <c r="L54" i="13"/>
  <c r="K12" i="13"/>
  <c r="M12" i="13" s="1"/>
  <c r="L12" i="13"/>
  <c r="K21" i="13"/>
  <c r="M21" i="13" s="1"/>
  <c r="L21" i="13"/>
  <c r="K28" i="13"/>
  <c r="M28" i="13" s="1"/>
  <c r="L28" i="13"/>
  <c r="K45" i="13"/>
  <c r="M45" i="13" s="1"/>
  <c r="L45" i="13"/>
  <c r="K55" i="13"/>
  <c r="M55" i="13" s="1"/>
  <c r="L55" i="13"/>
  <c r="L4" i="13"/>
  <c r="K4" i="13"/>
  <c r="D13" i="13"/>
  <c r="D37" i="13"/>
  <c r="D47" i="13"/>
  <c r="D5" i="13"/>
  <c r="D14" i="13"/>
  <c r="D38" i="13"/>
  <c r="D48" i="13"/>
  <c r="D6" i="13"/>
  <c r="D15" i="13"/>
  <c r="D23" i="13"/>
  <c r="D39" i="13"/>
  <c r="D49" i="13"/>
  <c r="D7" i="13"/>
  <c r="D16" i="13"/>
  <c r="D24" i="13"/>
  <c r="D40" i="13"/>
  <c r="D50" i="13"/>
  <c r="D8" i="13"/>
  <c r="D17" i="13"/>
  <c r="D25" i="13"/>
  <c r="D41" i="13"/>
  <c r="D51" i="13"/>
  <c r="D9" i="13"/>
  <c r="D18" i="13"/>
  <c r="D42" i="13"/>
  <c r="D52" i="13"/>
  <c r="D10" i="13"/>
  <c r="D19" i="13"/>
  <c r="D26" i="13"/>
  <c r="D43" i="13"/>
  <c r="D53" i="13"/>
  <c r="D11" i="13"/>
  <c r="D20" i="13"/>
  <c r="D27" i="13"/>
  <c r="D44" i="13"/>
  <c r="D54" i="13"/>
  <c r="D12" i="13"/>
  <c r="D21" i="13"/>
  <c r="D28" i="13"/>
  <c r="D45" i="13"/>
  <c r="D55" i="13"/>
  <c r="D4" i="13"/>
  <c r="D9" i="12"/>
  <c r="K13" i="12" l="1"/>
  <c r="L13" i="12"/>
  <c r="K22" i="12"/>
  <c r="L22" i="12"/>
  <c r="K30" i="12"/>
  <c r="L30" i="12"/>
  <c r="K39" i="12"/>
  <c r="L39" i="12"/>
  <c r="K5" i="12"/>
  <c r="L5" i="12"/>
  <c r="K14" i="12"/>
  <c r="L14" i="12"/>
  <c r="K23" i="12"/>
  <c r="L23" i="12"/>
  <c r="K31" i="12"/>
  <c r="L31" i="12"/>
  <c r="K40" i="12"/>
  <c r="L40" i="12"/>
  <c r="K6" i="12"/>
  <c r="N6" i="12" s="1"/>
  <c r="L6" i="12"/>
  <c r="K15" i="12"/>
  <c r="N15" i="12" s="1"/>
  <c r="L15" i="12"/>
  <c r="K32" i="12"/>
  <c r="N32" i="12" s="1"/>
  <c r="L32" i="12"/>
  <c r="K41" i="12"/>
  <c r="N41" i="12" s="1"/>
  <c r="L41" i="12"/>
  <c r="K7" i="12"/>
  <c r="M7" i="12" s="1"/>
  <c r="L7" i="12"/>
  <c r="K16" i="12"/>
  <c r="M16" i="12" s="1"/>
  <c r="L16" i="12"/>
  <c r="K24" i="12"/>
  <c r="M24" i="12" s="1"/>
  <c r="L24" i="12"/>
  <c r="K33" i="12"/>
  <c r="M33" i="12" s="1"/>
  <c r="L33" i="12"/>
  <c r="K42" i="12"/>
  <c r="M42" i="12" s="1"/>
  <c r="L42" i="12"/>
  <c r="K8" i="12"/>
  <c r="M8" i="12" s="1"/>
  <c r="L8" i="12"/>
  <c r="K17" i="12"/>
  <c r="M17" i="12" s="1"/>
  <c r="L17" i="12"/>
  <c r="K25" i="12"/>
  <c r="M25" i="12" s="1"/>
  <c r="L25" i="12"/>
  <c r="K34" i="12"/>
  <c r="M34" i="12" s="1"/>
  <c r="L34" i="12"/>
  <c r="K43" i="12"/>
  <c r="M43" i="12" s="1"/>
  <c r="L43" i="12"/>
  <c r="K9" i="12"/>
  <c r="N9" i="12" s="1"/>
  <c r="L9" i="12"/>
  <c r="K18" i="12"/>
  <c r="N18" i="12" s="1"/>
  <c r="L18" i="12"/>
  <c r="K35" i="12"/>
  <c r="N35" i="12" s="1"/>
  <c r="L35" i="12"/>
  <c r="K44" i="12"/>
  <c r="N44" i="12" s="1"/>
  <c r="L44" i="12"/>
  <c r="K10" i="12"/>
  <c r="M10" i="12" s="1"/>
  <c r="L10" i="12"/>
  <c r="K19" i="12"/>
  <c r="M19" i="12" s="1"/>
  <c r="L19" i="12"/>
  <c r="K26" i="12"/>
  <c r="M26" i="12" s="1"/>
  <c r="L26" i="12"/>
  <c r="K36" i="12"/>
  <c r="M36" i="12" s="1"/>
  <c r="L36" i="12"/>
  <c r="K45" i="12"/>
  <c r="M45" i="12" s="1"/>
  <c r="L45" i="12"/>
  <c r="K11" i="12"/>
  <c r="M11" i="12" s="1"/>
  <c r="L11" i="12"/>
  <c r="K20" i="12"/>
  <c r="M20" i="12" s="1"/>
  <c r="L20" i="12"/>
  <c r="K27" i="12"/>
  <c r="M27" i="12" s="1"/>
  <c r="L27" i="12"/>
  <c r="K37" i="12"/>
  <c r="M37" i="12" s="1"/>
  <c r="L37" i="12"/>
  <c r="K46" i="12"/>
  <c r="M46" i="12" s="1"/>
  <c r="L46" i="12"/>
  <c r="K12" i="12"/>
  <c r="M12" i="12" s="1"/>
  <c r="L12" i="12"/>
  <c r="K21" i="12"/>
  <c r="M21" i="12" s="1"/>
  <c r="L21" i="12"/>
  <c r="K28" i="12"/>
  <c r="M28" i="12" s="1"/>
  <c r="L28" i="12"/>
  <c r="K38" i="12"/>
  <c r="M38" i="12" s="1"/>
  <c r="L38" i="12"/>
  <c r="K47" i="12"/>
  <c r="M47" i="12" s="1"/>
  <c r="L47" i="12"/>
  <c r="L4" i="12"/>
  <c r="K4" i="12"/>
  <c r="D13" i="12"/>
  <c r="D22" i="12"/>
  <c r="D30" i="12"/>
  <c r="D39" i="12"/>
  <c r="D5" i="12"/>
  <c r="D14" i="12"/>
  <c r="D23" i="12"/>
  <c r="D31" i="12"/>
  <c r="D40" i="12"/>
  <c r="D6" i="12"/>
  <c r="D15" i="12"/>
  <c r="D32" i="12"/>
  <c r="D41" i="12"/>
  <c r="D7" i="12"/>
  <c r="D16" i="12"/>
  <c r="D24" i="12"/>
  <c r="D33" i="12"/>
  <c r="D42" i="12"/>
  <c r="D8" i="12"/>
  <c r="D17" i="12"/>
  <c r="D25" i="12"/>
  <c r="D34" i="12"/>
  <c r="D43" i="12"/>
  <c r="D18" i="12"/>
  <c r="D35" i="12"/>
  <c r="D44" i="12"/>
  <c r="D10" i="12"/>
  <c r="D19" i="12"/>
  <c r="D26" i="12"/>
  <c r="D36" i="12"/>
  <c r="D45" i="12"/>
  <c r="D11" i="12"/>
  <c r="D20" i="12"/>
  <c r="D27" i="12"/>
  <c r="D37" i="12"/>
  <c r="D46" i="12"/>
  <c r="D12" i="12"/>
  <c r="D21" i="12"/>
  <c r="D28" i="12"/>
  <c r="D38" i="12"/>
  <c r="D47" i="12"/>
  <c r="D4" i="12"/>
  <c r="D12" i="11"/>
  <c r="K5" i="11"/>
  <c r="L5" i="11"/>
  <c r="K6" i="11"/>
  <c r="N6" i="11" s="1"/>
  <c r="L6" i="11"/>
  <c r="K7" i="11"/>
  <c r="M7" i="11" s="1"/>
  <c r="L7" i="11"/>
  <c r="K8" i="11"/>
  <c r="M8" i="11" s="1"/>
  <c r="L8" i="11"/>
  <c r="K9" i="11"/>
  <c r="N9" i="11" s="1"/>
  <c r="L9" i="11"/>
  <c r="K10" i="11"/>
  <c r="M10" i="11" s="1"/>
  <c r="L10" i="11"/>
  <c r="K11" i="11"/>
  <c r="M11" i="11" s="1"/>
  <c r="L11" i="11"/>
  <c r="K12" i="11"/>
  <c r="M12" i="11" s="1"/>
  <c r="L12" i="11"/>
  <c r="K14" i="11"/>
  <c r="L14" i="11"/>
  <c r="K15" i="11"/>
  <c r="L15" i="11"/>
  <c r="K16" i="11"/>
  <c r="N16" i="11" s="1"/>
  <c r="L16" i="11"/>
  <c r="K17" i="11"/>
  <c r="M17" i="11" s="1"/>
  <c r="L17" i="11"/>
  <c r="K18" i="11"/>
  <c r="M18" i="11" s="1"/>
  <c r="L18" i="11"/>
  <c r="K19" i="11"/>
  <c r="N19" i="11" s="1"/>
  <c r="L19" i="11"/>
  <c r="K20" i="11"/>
  <c r="M20" i="11" s="1"/>
  <c r="L20" i="11"/>
  <c r="K21" i="11"/>
  <c r="M21" i="11" s="1"/>
  <c r="L21" i="11"/>
  <c r="K22" i="11"/>
  <c r="M22" i="11" s="1"/>
  <c r="L22" i="11"/>
  <c r="K23" i="11"/>
  <c r="L23" i="11"/>
  <c r="K24" i="11"/>
  <c r="L24" i="11"/>
  <c r="K25" i="11"/>
  <c r="M25" i="11" s="1"/>
  <c r="L25" i="11"/>
  <c r="K26" i="11"/>
  <c r="M26" i="11" s="1"/>
  <c r="L26" i="11"/>
  <c r="K27" i="11"/>
  <c r="M27" i="11" s="1"/>
  <c r="L27" i="11"/>
  <c r="K28" i="11"/>
  <c r="M28" i="11" s="1"/>
  <c r="L28" i="11"/>
  <c r="K29" i="11"/>
  <c r="M29" i="11" s="1"/>
  <c r="L29" i="11"/>
  <c r="K31" i="11"/>
  <c r="L31" i="11"/>
  <c r="K32" i="11"/>
  <c r="L32" i="11"/>
  <c r="K33" i="11"/>
  <c r="N33" i="11" s="1"/>
  <c r="L33" i="11"/>
  <c r="K34" i="11"/>
  <c r="M34" i="11" s="1"/>
  <c r="L34" i="11"/>
  <c r="K35" i="11"/>
  <c r="M35" i="11" s="1"/>
  <c r="L35" i="11"/>
  <c r="K36" i="11"/>
  <c r="N36" i="11" s="1"/>
  <c r="L36" i="11"/>
  <c r="K37" i="11"/>
  <c r="M37" i="11" s="1"/>
  <c r="L37" i="11"/>
  <c r="K38" i="11"/>
  <c r="M38" i="11" s="1"/>
  <c r="L38" i="11"/>
  <c r="K39" i="11"/>
  <c r="M39" i="11" s="1"/>
  <c r="L39" i="11"/>
  <c r="K40" i="11"/>
  <c r="N40" i="11" s="1"/>
  <c r="L40" i="11"/>
  <c r="K41" i="11"/>
  <c r="M41" i="11" s="1"/>
  <c r="L41" i="11"/>
  <c r="K42" i="11"/>
  <c r="M42" i="11" s="1"/>
  <c r="L42" i="11"/>
  <c r="K43" i="11"/>
  <c r="N43" i="11" s="1"/>
  <c r="L43" i="11"/>
  <c r="K44" i="11"/>
  <c r="M44" i="11" s="1"/>
  <c r="L44" i="11"/>
  <c r="K45" i="11"/>
  <c r="M45" i="11" s="1"/>
  <c r="L45" i="11"/>
  <c r="K46" i="11"/>
  <c r="M46" i="11" s="1"/>
  <c r="L46" i="11"/>
  <c r="L4" i="11"/>
  <c r="K4" i="11"/>
  <c r="D5" i="11"/>
  <c r="D6" i="11"/>
  <c r="D7" i="11"/>
  <c r="D8" i="11"/>
  <c r="D9" i="11"/>
  <c r="D10" i="11"/>
  <c r="D11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" i="11"/>
  <c r="K6" i="10" l="1"/>
  <c r="L6" i="10"/>
  <c r="K23" i="10"/>
  <c r="L23" i="10"/>
  <c r="K33" i="10"/>
  <c r="L33" i="10"/>
  <c r="K42" i="10"/>
  <c r="L42" i="10"/>
  <c r="K5" i="10"/>
  <c r="L5" i="10"/>
  <c r="K7" i="10"/>
  <c r="L7" i="10"/>
  <c r="K24" i="10"/>
  <c r="L24" i="10"/>
  <c r="K34" i="10"/>
  <c r="L34" i="10"/>
  <c r="K43" i="10"/>
  <c r="L43" i="10"/>
  <c r="K8" i="10"/>
  <c r="N8" i="10" s="1"/>
  <c r="L8" i="10"/>
  <c r="K9" i="10"/>
  <c r="N9" i="10" s="1"/>
  <c r="L9" i="10"/>
  <c r="K25" i="10"/>
  <c r="N25" i="10" s="1"/>
  <c r="L25" i="10"/>
  <c r="K35" i="10"/>
  <c r="N35" i="10" s="1"/>
  <c r="L35" i="10"/>
  <c r="K44" i="10"/>
  <c r="N44" i="10" s="1"/>
  <c r="L44" i="10"/>
  <c r="K10" i="10"/>
  <c r="M10" i="10" s="1"/>
  <c r="L10" i="10"/>
  <c r="K11" i="10"/>
  <c r="M11" i="10" s="1"/>
  <c r="L11" i="10"/>
  <c r="K26" i="10"/>
  <c r="M26" i="10" s="1"/>
  <c r="L26" i="10"/>
  <c r="K36" i="10"/>
  <c r="M36" i="10" s="1"/>
  <c r="L36" i="10"/>
  <c r="K45" i="10"/>
  <c r="M45" i="10" s="1"/>
  <c r="L45" i="10"/>
  <c r="K12" i="10"/>
  <c r="M12" i="10" s="1"/>
  <c r="L12" i="10"/>
  <c r="K13" i="10"/>
  <c r="M13" i="10" s="1"/>
  <c r="L13" i="10"/>
  <c r="K27" i="10"/>
  <c r="M27" i="10" s="1"/>
  <c r="L27" i="10"/>
  <c r="K37" i="10"/>
  <c r="M37" i="10" s="1"/>
  <c r="L37" i="10"/>
  <c r="K46" i="10"/>
  <c r="M46" i="10" s="1"/>
  <c r="L46" i="10"/>
  <c r="K14" i="10"/>
  <c r="N14" i="10" s="1"/>
  <c r="L14" i="10"/>
  <c r="K15" i="10"/>
  <c r="N15" i="10" s="1"/>
  <c r="L15" i="10"/>
  <c r="K28" i="10"/>
  <c r="N28" i="10" s="1"/>
  <c r="L28" i="10"/>
  <c r="K38" i="10"/>
  <c r="N38" i="10" s="1"/>
  <c r="L38" i="10"/>
  <c r="K47" i="10"/>
  <c r="N47" i="10" s="1"/>
  <c r="L47" i="10"/>
  <c r="K16" i="10"/>
  <c r="M16" i="10" s="1"/>
  <c r="L16" i="10"/>
  <c r="K17" i="10"/>
  <c r="M17" i="10" s="1"/>
  <c r="L17" i="10"/>
  <c r="K29" i="10"/>
  <c r="M29" i="10" s="1"/>
  <c r="L29" i="10"/>
  <c r="K39" i="10"/>
  <c r="M39" i="10" s="1"/>
  <c r="L39" i="10"/>
  <c r="K48" i="10"/>
  <c r="M48" i="10" s="1"/>
  <c r="L48" i="10"/>
  <c r="K18" i="10"/>
  <c r="M18" i="10" s="1"/>
  <c r="L18" i="10"/>
  <c r="K19" i="10"/>
  <c r="M19" i="10" s="1"/>
  <c r="L19" i="10"/>
  <c r="K30" i="10"/>
  <c r="M30" i="10" s="1"/>
  <c r="L30" i="10"/>
  <c r="K40" i="10"/>
  <c r="M40" i="10" s="1"/>
  <c r="L40" i="10"/>
  <c r="K49" i="10"/>
  <c r="M49" i="10" s="1"/>
  <c r="L49" i="10"/>
  <c r="K20" i="10"/>
  <c r="M20" i="10" s="1"/>
  <c r="L20" i="10"/>
  <c r="K21" i="10"/>
  <c r="M21" i="10" s="1"/>
  <c r="L21" i="10"/>
  <c r="K31" i="10"/>
  <c r="M31" i="10" s="1"/>
  <c r="L31" i="10"/>
  <c r="K41" i="10"/>
  <c r="M41" i="10" s="1"/>
  <c r="L41" i="10"/>
  <c r="K50" i="10"/>
  <c r="M50" i="10" s="1"/>
  <c r="L50" i="10"/>
  <c r="L4" i="10"/>
  <c r="K4" i="10"/>
  <c r="D6" i="10"/>
  <c r="D23" i="10"/>
  <c r="D33" i="10"/>
  <c r="D42" i="10"/>
  <c r="D5" i="10"/>
  <c r="D7" i="10"/>
  <c r="D24" i="10"/>
  <c r="D34" i="10"/>
  <c r="D43" i="10"/>
  <c r="D8" i="10"/>
  <c r="D9" i="10"/>
  <c r="D25" i="10"/>
  <c r="D35" i="10"/>
  <c r="D44" i="10"/>
  <c r="D10" i="10"/>
  <c r="D11" i="10"/>
  <c r="D26" i="10"/>
  <c r="D36" i="10"/>
  <c r="D45" i="10"/>
  <c r="D12" i="10"/>
  <c r="D13" i="10"/>
  <c r="D27" i="10"/>
  <c r="D37" i="10"/>
  <c r="D46" i="10"/>
  <c r="D14" i="10"/>
  <c r="D15" i="10"/>
  <c r="D28" i="10"/>
  <c r="D38" i="10"/>
  <c r="D47" i="10"/>
  <c r="D16" i="10"/>
  <c r="D17" i="10"/>
  <c r="D29" i="10"/>
  <c r="D39" i="10"/>
  <c r="D48" i="10"/>
  <c r="D18" i="10"/>
  <c r="D19" i="10"/>
  <c r="D30" i="10"/>
  <c r="D40" i="10"/>
  <c r="D49" i="10"/>
  <c r="D20" i="10"/>
  <c r="D21" i="10"/>
  <c r="D31" i="10"/>
  <c r="D41" i="10"/>
  <c r="D50" i="10"/>
  <c r="D4" i="10"/>
  <c r="D51" i="9"/>
  <c r="L51" i="9"/>
  <c r="K51" i="9"/>
  <c r="N51" i="9" s="1"/>
  <c r="K6" i="9"/>
  <c r="L6" i="9"/>
  <c r="K5" i="9"/>
  <c r="L5" i="9"/>
  <c r="K7" i="9"/>
  <c r="L7" i="9"/>
  <c r="K8" i="9"/>
  <c r="N8" i="9" s="1"/>
  <c r="L8" i="9"/>
  <c r="K9" i="9"/>
  <c r="N9" i="9" s="1"/>
  <c r="L9" i="9"/>
  <c r="K10" i="9"/>
  <c r="M10" i="9" s="1"/>
  <c r="L10" i="9"/>
  <c r="K11" i="9"/>
  <c r="M11" i="9" s="1"/>
  <c r="L11" i="9"/>
  <c r="K12" i="9"/>
  <c r="M12" i="9" s="1"/>
  <c r="L12" i="9"/>
  <c r="K13" i="9"/>
  <c r="M13" i="9" s="1"/>
  <c r="L13" i="9"/>
  <c r="K14" i="9"/>
  <c r="N14" i="9" s="1"/>
  <c r="L14" i="9"/>
  <c r="K15" i="9"/>
  <c r="N15" i="9" s="1"/>
  <c r="L15" i="9"/>
  <c r="K16" i="9"/>
  <c r="M16" i="9" s="1"/>
  <c r="L16" i="9"/>
  <c r="K17" i="9"/>
  <c r="M17" i="9" s="1"/>
  <c r="L17" i="9"/>
  <c r="K18" i="9"/>
  <c r="M18" i="9" s="1"/>
  <c r="L18" i="9"/>
  <c r="K19" i="9"/>
  <c r="M19" i="9" s="1"/>
  <c r="L19" i="9"/>
  <c r="K20" i="9"/>
  <c r="M20" i="9" s="1"/>
  <c r="L20" i="9"/>
  <c r="K21" i="9"/>
  <c r="M21" i="9" s="1"/>
  <c r="L21" i="9"/>
  <c r="K23" i="9"/>
  <c r="L23" i="9"/>
  <c r="K25" i="9"/>
  <c r="L25" i="9"/>
  <c r="K24" i="9"/>
  <c r="L24" i="9"/>
  <c r="K26" i="9"/>
  <c r="L26" i="9"/>
  <c r="K27" i="9"/>
  <c r="N27" i="9" s="1"/>
  <c r="L27" i="9"/>
  <c r="K28" i="9"/>
  <c r="M28" i="9" s="1"/>
  <c r="L28" i="9"/>
  <c r="K29" i="9"/>
  <c r="M29" i="9" s="1"/>
  <c r="L29" i="9"/>
  <c r="K30" i="9"/>
  <c r="M30" i="9" s="1"/>
  <c r="L30" i="9"/>
  <c r="K31" i="9"/>
  <c r="M31" i="9" s="1"/>
  <c r="L31" i="9"/>
  <c r="K32" i="9"/>
  <c r="N32" i="9" s="1"/>
  <c r="L32" i="9"/>
  <c r="K33" i="9"/>
  <c r="N33" i="9" s="1"/>
  <c r="L33" i="9"/>
  <c r="K34" i="9"/>
  <c r="M34" i="9" s="1"/>
  <c r="L34" i="9"/>
  <c r="K35" i="9"/>
  <c r="M35" i="9" s="1"/>
  <c r="L35" i="9"/>
  <c r="K36" i="9"/>
  <c r="M36" i="9" s="1"/>
  <c r="L36" i="9"/>
  <c r="K37" i="9"/>
  <c r="M37" i="9" s="1"/>
  <c r="L37" i="9"/>
  <c r="K38" i="9"/>
  <c r="M38" i="9" s="1"/>
  <c r="L38" i="9"/>
  <c r="K39" i="9"/>
  <c r="M39" i="9" s="1"/>
  <c r="L39" i="9"/>
  <c r="K41" i="9"/>
  <c r="L41" i="9"/>
  <c r="K42" i="9"/>
  <c r="L42" i="9"/>
  <c r="K43" i="9"/>
  <c r="N43" i="9" s="1"/>
  <c r="L43" i="9"/>
  <c r="K44" i="9"/>
  <c r="M44" i="9" s="1"/>
  <c r="L44" i="9"/>
  <c r="K45" i="9"/>
  <c r="M45" i="9" s="1"/>
  <c r="L45" i="9"/>
  <c r="K46" i="9"/>
  <c r="N46" i="9" s="1"/>
  <c r="L46" i="9"/>
  <c r="K47" i="9"/>
  <c r="M47" i="9" s="1"/>
  <c r="L47" i="9"/>
  <c r="K48" i="9"/>
  <c r="M48" i="9" s="1"/>
  <c r="L48" i="9"/>
  <c r="K49" i="9"/>
  <c r="M49" i="9" s="1"/>
  <c r="L49" i="9"/>
  <c r="L4" i="9"/>
  <c r="K4" i="9"/>
  <c r="D6" i="9"/>
  <c r="D5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3" i="9"/>
  <c r="D25" i="9"/>
  <c r="D24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1" i="9"/>
  <c r="D42" i="9"/>
  <c r="D43" i="9"/>
  <c r="D44" i="9"/>
  <c r="D45" i="9"/>
  <c r="D46" i="9"/>
  <c r="D47" i="9"/>
  <c r="D48" i="9"/>
  <c r="D49" i="9"/>
  <c r="D4" i="9"/>
  <c r="K6" i="8" l="1"/>
  <c r="L6" i="8"/>
  <c r="K23" i="8"/>
  <c r="L23" i="8"/>
  <c r="K33" i="8"/>
  <c r="L33" i="8"/>
  <c r="K5" i="8"/>
  <c r="L5" i="8"/>
  <c r="K7" i="8"/>
  <c r="L7" i="8"/>
  <c r="K24" i="8"/>
  <c r="L24" i="8"/>
  <c r="K34" i="8"/>
  <c r="L34" i="8"/>
  <c r="K8" i="8"/>
  <c r="N8" i="8" s="1"/>
  <c r="L8" i="8"/>
  <c r="K9" i="8"/>
  <c r="N9" i="8" s="1"/>
  <c r="L9" i="8"/>
  <c r="K25" i="8"/>
  <c r="N25" i="8" s="1"/>
  <c r="L25" i="8"/>
  <c r="K35" i="8"/>
  <c r="N35" i="8" s="1"/>
  <c r="L35" i="8"/>
  <c r="K10" i="8"/>
  <c r="M10" i="8" s="1"/>
  <c r="L10" i="8"/>
  <c r="K11" i="8"/>
  <c r="M11" i="8" s="1"/>
  <c r="L11" i="8"/>
  <c r="K26" i="8"/>
  <c r="M26" i="8" s="1"/>
  <c r="L26" i="8"/>
  <c r="K36" i="8"/>
  <c r="M36" i="8" s="1"/>
  <c r="L36" i="8"/>
  <c r="K12" i="8"/>
  <c r="M12" i="8" s="1"/>
  <c r="L12" i="8"/>
  <c r="K13" i="8"/>
  <c r="M13" i="8" s="1"/>
  <c r="L13" i="8"/>
  <c r="K27" i="8"/>
  <c r="M27" i="8" s="1"/>
  <c r="L27" i="8"/>
  <c r="K37" i="8"/>
  <c r="M37" i="8" s="1"/>
  <c r="L37" i="8"/>
  <c r="K14" i="8"/>
  <c r="N14" i="8" s="1"/>
  <c r="L14" i="8"/>
  <c r="K15" i="8"/>
  <c r="N15" i="8" s="1"/>
  <c r="L15" i="8"/>
  <c r="K28" i="8"/>
  <c r="N28" i="8" s="1"/>
  <c r="L28" i="8"/>
  <c r="K38" i="8"/>
  <c r="N38" i="8" s="1"/>
  <c r="L38" i="8"/>
  <c r="K16" i="8"/>
  <c r="M16" i="8" s="1"/>
  <c r="L16" i="8"/>
  <c r="K17" i="8"/>
  <c r="M17" i="8" s="1"/>
  <c r="L17" i="8"/>
  <c r="K29" i="8"/>
  <c r="M29" i="8" s="1"/>
  <c r="L29" i="8"/>
  <c r="K39" i="8"/>
  <c r="M39" i="8" s="1"/>
  <c r="L39" i="8"/>
  <c r="K18" i="8"/>
  <c r="M18" i="8" s="1"/>
  <c r="L18" i="8"/>
  <c r="K19" i="8"/>
  <c r="M19" i="8" s="1"/>
  <c r="L19" i="8"/>
  <c r="K40" i="8"/>
  <c r="M40" i="8" s="1"/>
  <c r="L40" i="8"/>
  <c r="K20" i="8"/>
  <c r="M20" i="8" s="1"/>
  <c r="L20" i="8"/>
  <c r="K21" i="8"/>
  <c r="M21" i="8" s="1"/>
  <c r="L21" i="8"/>
  <c r="K30" i="8"/>
  <c r="M30" i="8" s="1"/>
  <c r="L30" i="8"/>
  <c r="K31" i="8"/>
  <c r="M31" i="8" s="1"/>
  <c r="L31" i="8"/>
  <c r="K41" i="8"/>
  <c r="M41" i="8" s="1"/>
  <c r="L41" i="8"/>
  <c r="L4" i="8"/>
  <c r="K4" i="8"/>
  <c r="D6" i="8"/>
  <c r="D23" i="8"/>
  <c r="D33" i="8"/>
  <c r="D5" i="8"/>
  <c r="D7" i="8"/>
  <c r="D24" i="8"/>
  <c r="D34" i="8"/>
  <c r="D8" i="8"/>
  <c r="D9" i="8"/>
  <c r="D25" i="8"/>
  <c r="D35" i="8"/>
  <c r="D10" i="8"/>
  <c r="D11" i="8"/>
  <c r="D26" i="8"/>
  <c r="D36" i="8"/>
  <c r="D12" i="8"/>
  <c r="D13" i="8"/>
  <c r="D27" i="8"/>
  <c r="D37" i="8"/>
  <c r="D14" i="8"/>
  <c r="D15" i="8"/>
  <c r="D28" i="8"/>
  <c r="D38" i="8"/>
  <c r="D16" i="8"/>
  <c r="D17" i="8"/>
  <c r="D29" i="8"/>
  <c r="D39" i="8"/>
  <c r="D18" i="8"/>
  <c r="D19" i="8"/>
  <c r="D40" i="8"/>
  <c r="D20" i="8"/>
  <c r="D21" i="8"/>
  <c r="D30" i="8"/>
  <c r="D31" i="8"/>
  <c r="D41" i="8"/>
  <c r="D4" i="8"/>
  <c r="D6" i="7" l="1"/>
  <c r="D21" i="7"/>
  <c r="D5" i="7"/>
  <c r="D7" i="7"/>
  <c r="D22" i="7"/>
  <c r="D8" i="7"/>
  <c r="D33" i="7"/>
  <c r="D9" i="7"/>
  <c r="D10" i="7"/>
  <c r="D23" i="7"/>
  <c r="D24" i="7"/>
  <c r="D34" i="7"/>
  <c r="D11" i="7"/>
  <c r="D12" i="7"/>
  <c r="D25" i="7"/>
  <c r="D26" i="7"/>
  <c r="D35" i="7"/>
  <c r="D13" i="7"/>
  <c r="D36" i="7"/>
  <c r="D14" i="7"/>
  <c r="D15" i="7"/>
  <c r="D27" i="7"/>
  <c r="D28" i="7"/>
  <c r="D37" i="7"/>
  <c r="D16" i="7"/>
  <c r="D17" i="7"/>
  <c r="D29" i="7"/>
  <c r="D30" i="7"/>
  <c r="D38" i="7"/>
  <c r="D18" i="7"/>
  <c r="D19" i="7"/>
  <c r="D31" i="7"/>
  <c r="D32" i="7"/>
  <c r="D39" i="7"/>
  <c r="D4" i="7"/>
  <c r="K6" i="7"/>
  <c r="L6" i="7"/>
  <c r="K21" i="7"/>
  <c r="L21" i="7"/>
  <c r="K5" i="7"/>
  <c r="L5" i="7"/>
  <c r="K7" i="7"/>
  <c r="L7" i="7"/>
  <c r="K22" i="7"/>
  <c r="L22" i="7"/>
  <c r="K8" i="7"/>
  <c r="N8" i="7" s="1"/>
  <c r="L8" i="7"/>
  <c r="K33" i="7"/>
  <c r="N33" i="7" s="1"/>
  <c r="L33" i="7"/>
  <c r="K9" i="7"/>
  <c r="M9" i="7" s="1"/>
  <c r="L9" i="7"/>
  <c r="K10" i="7"/>
  <c r="M10" i="7" s="1"/>
  <c r="L10" i="7"/>
  <c r="K23" i="7"/>
  <c r="M23" i="7" s="1"/>
  <c r="L23" i="7"/>
  <c r="K24" i="7"/>
  <c r="M24" i="7" s="1"/>
  <c r="L24" i="7"/>
  <c r="K34" i="7"/>
  <c r="M34" i="7" s="1"/>
  <c r="L34" i="7"/>
  <c r="K11" i="7"/>
  <c r="M11" i="7" s="1"/>
  <c r="L11" i="7"/>
  <c r="K12" i="7"/>
  <c r="M12" i="7" s="1"/>
  <c r="L12" i="7"/>
  <c r="K25" i="7"/>
  <c r="M25" i="7" s="1"/>
  <c r="L25" i="7"/>
  <c r="K26" i="7"/>
  <c r="M26" i="7" s="1"/>
  <c r="L26" i="7"/>
  <c r="K35" i="7"/>
  <c r="M35" i="7" s="1"/>
  <c r="L35" i="7"/>
  <c r="K13" i="7"/>
  <c r="N13" i="7" s="1"/>
  <c r="L13" i="7"/>
  <c r="K36" i="7"/>
  <c r="N36" i="7" s="1"/>
  <c r="L36" i="7"/>
  <c r="K14" i="7"/>
  <c r="M14" i="7" s="1"/>
  <c r="L14" i="7"/>
  <c r="K15" i="7"/>
  <c r="M15" i="7" s="1"/>
  <c r="L15" i="7"/>
  <c r="K27" i="7"/>
  <c r="M27" i="7" s="1"/>
  <c r="L27" i="7"/>
  <c r="K28" i="7"/>
  <c r="M28" i="7" s="1"/>
  <c r="L28" i="7"/>
  <c r="K37" i="7"/>
  <c r="M37" i="7" s="1"/>
  <c r="L37" i="7"/>
  <c r="K16" i="7"/>
  <c r="M16" i="7" s="1"/>
  <c r="L16" i="7"/>
  <c r="K17" i="7"/>
  <c r="M17" i="7" s="1"/>
  <c r="L17" i="7"/>
  <c r="K29" i="7"/>
  <c r="M29" i="7" s="1"/>
  <c r="L29" i="7"/>
  <c r="K30" i="7"/>
  <c r="M30" i="7" s="1"/>
  <c r="L30" i="7"/>
  <c r="K38" i="7"/>
  <c r="M38" i="7" s="1"/>
  <c r="L38" i="7"/>
  <c r="K18" i="7"/>
  <c r="M18" i="7" s="1"/>
  <c r="L18" i="7"/>
  <c r="K19" i="7"/>
  <c r="M19" i="7" s="1"/>
  <c r="L19" i="7"/>
  <c r="K31" i="7"/>
  <c r="M31" i="7" s="1"/>
  <c r="L31" i="7"/>
  <c r="K32" i="7"/>
  <c r="M32" i="7" s="1"/>
  <c r="L32" i="7"/>
  <c r="K39" i="7"/>
  <c r="M39" i="7" s="1"/>
  <c r="L39" i="7"/>
  <c r="L4" i="7"/>
  <c r="K4" i="7"/>
  <c r="K18" i="6" l="1"/>
  <c r="L18" i="6"/>
  <c r="K28" i="6"/>
  <c r="L28" i="6"/>
  <c r="K38" i="6"/>
  <c r="L38" i="6"/>
  <c r="K5" i="6"/>
  <c r="L5" i="6"/>
  <c r="K19" i="6"/>
  <c r="L19" i="6"/>
  <c r="K29" i="6"/>
  <c r="L29" i="6"/>
  <c r="K39" i="6"/>
  <c r="L39" i="6"/>
  <c r="K6" i="6"/>
  <c r="N6" i="6" s="1"/>
  <c r="L6" i="6"/>
  <c r="K20" i="6"/>
  <c r="N20" i="6" s="1"/>
  <c r="L20" i="6"/>
  <c r="K30" i="6"/>
  <c r="N30" i="6" s="1"/>
  <c r="L30" i="6"/>
  <c r="K40" i="6"/>
  <c r="N40" i="6" s="1"/>
  <c r="L40" i="6"/>
  <c r="K7" i="6"/>
  <c r="M7" i="6" s="1"/>
  <c r="L7" i="6"/>
  <c r="K8" i="6"/>
  <c r="M8" i="6" s="1"/>
  <c r="L8" i="6"/>
  <c r="K21" i="6"/>
  <c r="M21" i="6" s="1"/>
  <c r="L21" i="6"/>
  <c r="K31" i="6"/>
  <c r="M31" i="6" s="1"/>
  <c r="L31" i="6"/>
  <c r="K41" i="6"/>
  <c r="M41" i="6" s="1"/>
  <c r="L41" i="6"/>
  <c r="K9" i="6"/>
  <c r="M9" i="6" s="1"/>
  <c r="L9" i="6"/>
  <c r="K10" i="6"/>
  <c r="M10" i="6" s="1"/>
  <c r="L10" i="6"/>
  <c r="K22" i="6"/>
  <c r="M22" i="6" s="1"/>
  <c r="L22" i="6"/>
  <c r="K32" i="6"/>
  <c r="M32" i="6" s="1"/>
  <c r="L32" i="6"/>
  <c r="K42" i="6"/>
  <c r="M42" i="6" s="1"/>
  <c r="L42" i="6"/>
  <c r="K11" i="6"/>
  <c r="N11" i="6" s="1"/>
  <c r="L11" i="6"/>
  <c r="K23" i="6"/>
  <c r="N23" i="6" s="1"/>
  <c r="L23" i="6"/>
  <c r="K33" i="6"/>
  <c r="N33" i="6" s="1"/>
  <c r="L33" i="6"/>
  <c r="K43" i="6"/>
  <c r="N43" i="6" s="1"/>
  <c r="L43" i="6"/>
  <c r="K12" i="6"/>
  <c r="M12" i="6" s="1"/>
  <c r="L12" i="6"/>
  <c r="K13" i="6"/>
  <c r="M13" i="6" s="1"/>
  <c r="L13" i="6"/>
  <c r="K24" i="6"/>
  <c r="M24" i="6" s="1"/>
  <c r="L24" i="6"/>
  <c r="K34" i="6"/>
  <c r="M34" i="6" s="1"/>
  <c r="L34" i="6"/>
  <c r="K44" i="6"/>
  <c r="M44" i="6" s="1"/>
  <c r="L44" i="6"/>
  <c r="K14" i="6"/>
  <c r="M14" i="6" s="1"/>
  <c r="L14" i="6"/>
  <c r="K15" i="6"/>
  <c r="M15" i="6" s="1"/>
  <c r="L15" i="6"/>
  <c r="K25" i="6"/>
  <c r="M25" i="6" s="1"/>
  <c r="L25" i="6"/>
  <c r="K35" i="6"/>
  <c r="M35" i="6" s="1"/>
  <c r="L35" i="6"/>
  <c r="K45" i="6"/>
  <c r="M45" i="6" s="1"/>
  <c r="L45" i="6"/>
  <c r="K16" i="6"/>
  <c r="M16" i="6" s="1"/>
  <c r="L16" i="6"/>
  <c r="K17" i="6"/>
  <c r="M17" i="6" s="1"/>
  <c r="L17" i="6"/>
  <c r="K26" i="6"/>
  <c r="M26" i="6" s="1"/>
  <c r="L26" i="6"/>
  <c r="K36" i="6"/>
  <c r="M36" i="6" s="1"/>
  <c r="L36" i="6"/>
  <c r="K46" i="6"/>
  <c r="M46" i="6" s="1"/>
  <c r="L46" i="6"/>
  <c r="L4" i="6"/>
  <c r="K4" i="6"/>
  <c r="D18" i="6"/>
  <c r="D28" i="6"/>
  <c r="D38" i="6"/>
  <c r="D5" i="6"/>
  <c r="D19" i="6"/>
  <c r="D29" i="6"/>
  <c r="D39" i="6"/>
  <c r="D6" i="6"/>
  <c r="D20" i="6"/>
  <c r="D30" i="6"/>
  <c r="D40" i="6"/>
  <c r="D7" i="6"/>
  <c r="D8" i="6"/>
  <c r="D21" i="6"/>
  <c r="D31" i="6"/>
  <c r="D41" i="6"/>
  <c r="D9" i="6"/>
  <c r="D10" i="6"/>
  <c r="D22" i="6"/>
  <c r="D32" i="6"/>
  <c r="D42" i="6"/>
  <c r="D11" i="6"/>
  <c r="D23" i="6"/>
  <c r="D33" i="6"/>
  <c r="D43" i="6"/>
  <c r="D12" i="6"/>
  <c r="D13" i="6"/>
  <c r="D24" i="6"/>
  <c r="D34" i="6"/>
  <c r="D44" i="6"/>
  <c r="D14" i="6"/>
  <c r="D15" i="6"/>
  <c r="D25" i="6"/>
  <c r="D35" i="6"/>
  <c r="D45" i="6"/>
  <c r="D16" i="6"/>
  <c r="D17" i="6"/>
  <c r="D26" i="6"/>
  <c r="D36" i="6"/>
  <c r="D46" i="6"/>
  <c r="D4" i="6"/>
  <c r="K34" i="5"/>
  <c r="L34" i="5"/>
  <c r="K35" i="5"/>
  <c r="L35" i="5"/>
  <c r="K36" i="5"/>
  <c r="L36" i="5"/>
  <c r="K37" i="5"/>
  <c r="M37" i="5" s="1"/>
  <c r="L37" i="5"/>
  <c r="K38" i="5"/>
  <c r="M38" i="5" s="1"/>
  <c r="L38" i="5"/>
  <c r="K39" i="5"/>
  <c r="L39" i="5"/>
  <c r="K40" i="5"/>
  <c r="M40" i="5" s="1"/>
  <c r="L40" i="5"/>
  <c r="K41" i="5"/>
  <c r="M41" i="5" s="1"/>
  <c r="L41" i="5"/>
  <c r="K42" i="5"/>
  <c r="M42" i="5" s="1"/>
  <c r="L42" i="5"/>
  <c r="D34" i="5"/>
  <c r="D35" i="5"/>
  <c r="D36" i="5"/>
  <c r="D37" i="5"/>
  <c r="D38" i="5"/>
  <c r="D39" i="5"/>
  <c r="D40" i="5"/>
  <c r="D41" i="5"/>
  <c r="D42" i="5"/>
  <c r="K15" i="5" l="1"/>
  <c r="L15" i="5"/>
  <c r="K25" i="5"/>
  <c r="L25" i="5"/>
  <c r="K5" i="5"/>
  <c r="L5" i="5"/>
  <c r="K16" i="5"/>
  <c r="L16" i="5"/>
  <c r="K26" i="5"/>
  <c r="L26" i="5"/>
  <c r="K6" i="5"/>
  <c r="N6" i="5" s="1"/>
  <c r="L6" i="5"/>
  <c r="K17" i="5"/>
  <c r="N17" i="5" s="1"/>
  <c r="L17" i="5"/>
  <c r="K27" i="5"/>
  <c r="N27" i="5" s="1"/>
  <c r="L27" i="5"/>
  <c r="K7" i="5"/>
  <c r="M7" i="5" s="1"/>
  <c r="L7" i="5"/>
  <c r="K18" i="5"/>
  <c r="M18" i="5" s="1"/>
  <c r="L18" i="5"/>
  <c r="K28" i="5"/>
  <c r="M28" i="5" s="1"/>
  <c r="L28" i="5"/>
  <c r="K44" i="5"/>
  <c r="M44" i="5" s="1"/>
  <c r="L44" i="5"/>
  <c r="K8" i="5"/>
  <c r="M8" i="5" s="1"/>
  <c r="L8" i="5"/>
  <c r="K19" i="5"/>
  <c r="M19" i="5" s="1"/>
  <c r="L19" i="5"/>
  <c r="K29" i="5"/>
  <c r="M29" i="5" s="1"/>
  <c r="L29" i="5"/>
  <c r="K45" i="5"/>
  <c r="M45" i="5" s="1"/>
  <c r="L45" i="5"/>
  <c r="K9" i="5"/>
  <c r="N9" i="5" s="1"/>
  <c r="L9" i="5"/>
  <c r="K20" i="5"/>
  <c r="N20" i="5" s="1"/>
  <c r="L20" i="5"/>
  <c r="K30" i="5"/>
  <c r="N30" i="5" s="1"/>
  <c r="L30" i="5"/>
  <c r="K46" i="5"/>
  <c r="N46" i="5" s="1"/>
  <c r="L46" i="5"/>
  <c r="K10" i="5"/>
  <c r="M10" i="5" s="1"/>
  <c r="L10" i="5"/>
  <c r="K21" i="5"/>
  <c r="M21" i="5" s="1"/>
  <c r="L21" i="5"/>
  <c r="K31" i="5"/>
  <c r="M31" i="5" s="1"/>
  <c r="L31" i="5"/>
  <c r="K47" i="5"/>
  <c r="M47" i="5" s="1"/>
  <c r="L47" i="5"/>
  <c r="K11" i="5"/>
  <c r="M11" i="5" s="1"/>
  <c r="L11" i="5"/>
  <c r="K22" i="5"/>
  <c r="M22" i="5" s="1"/>
  <c r="L22" i="5"/>
  <c r="K32" i="5"/>
  <c r="M32" i="5" s="1"/>
  <c r="L32" i="5"/>
  <c r="K48" i="5"/>
  <c r="M48" i="5" s="1"/>
  <c r="L48" i="5"/>
  <c r="K12" i="5"/>
  <c r="M12" i="5" s="1"/>
  <c r="L12" i="5"/>
  <c r="K13" i="5"/>
  <c r="M13" i="5" s="1"/>
  <c r="L13" i="5"/>
  <c r="K23" i="5"/>
  <c r="M23" i="5" s="1"/>
  <c r="L23" i="5"/>
  <c r="K33" i="5"/>
  <c r="M33" i="5" s="1"/>
  <c r="L33" i="5"/>
  <c r="K49" i="5"/>
  <c r="M49" i="5" s="1"/>
  <c r="L49" i="5"/>
  <c r="K4" i="5"/>
  <c r="L4" i="5"/>
  <c r="D15" i="5"/>
  <c r="D25" i="5"/>
  <c r="D5" i="5"/>
  <c r="D16" i="5"/>
  <c r="D26" i="5"/>
  <c r="D6" i="5"/>
  <c r="D17" i="5"/>
  <c r="D27" i="5"/>
  <c r="D7" i="5"/>
  <c r="D18" i="5"/>
  <c r="D28" i="5"/>
  <c r="D44" i="5"/>
  <c r="D8" i="5"/>
  <c r="D19" i="5"/>
  <c r="D29" i="5"/>
  <c r="D45" i="5"/>
  <c r="D9" i="5"/>
  <c r="D20" i="5"/>
  <c r="D30" i="5"/>
  <c r="D46" i="5"/>
  <c r="D10" i="5"/>
  <c r="D21" i="5"/>
  <c r="D31" i="5"/>
  <c r="D47" i="5"/>
  <c r="D11" i="5"/>
  <c r="D22" i="5"/>
  <c r="D32" i="5"/>
  <c r="D48" i="5"/>
  <c r="D12" i="5"/>
  <c r="D13" i="5"/>
  <c r="D23" i="5"/>
  <c r="D33" i="5"/>
  <c r="D49" i="5"/>
  <c r="D4" i="5"/>
  <c r="K19" i="4" l="1"/>
  <c r="L19" i="4"/>
  <c r="K29" i="4"/>
  <c r="L29" i="4"/>
  <c r="K39" i="4"/>
  <c r="L39" i="4"/>
  <c r="K5" i="4"/>
  <c r="L5" i="4"/>
  <c r="K20" i="4"/>
  <c r="L20" i="4"/>
  <c r="K30" i="4"/>
  <c r="L30" i="4"/>
  <c r="K40" i="4"/>
  <c r="L40" i="4"/>
  <c r="K6" i="4"/>
  <c r="N6" i="4" s="1"/>
  <c r="L6" i="4"/>
  <c r="K7" i="4"/>
  <c r="N7" i="4" s="1"/>
  <c r="L7" i="4"/>
  <c r="K21" i="4"/>
  <c r="N21" i="4" s="1"/>
  <c r="L21" i="4"/>
  <c r="K31" i="4"/>
  <c r="N31" i="4" s="1"/>
  <c r="L31" i="4"/>
  <c r="K8" i="4"/>
  <c r="M8" i="4" s="1"/>
  <c r="L8" i="4"/>
  <c r="K9" i="4"/>
  <c r="M9" i="4" s="1"/>
  <c r="L9" i="4"/>
  <c r="K22" i="4"/>
  <c r="M22" i="4" s="1"/>
  <c r="L22" i="4"/>
  <c r="K32" i="4"/>
  <c r="M32" i="4" s="1"/>
  <c r="L32" i="4"/>
  <c r="K41" i="4"/>
  <c r="M41" i="4" s="1"/>
  <c r="L41" i="4"/>
  <c r="K10" i="4"/>
  <c r="M10" i="4" s="1"/>
  <c r="L10" i="4"/>
  <c r="K11" i="4"/>
  <c r="M11" i="4" s="1"/>
  <c r="L11" i="4"/>
  <c r="K23" i="4"/>
  <c r="M23" i="4" s="1"/>
  <c r="L23" i="4"/>
  <c r="K33" i="4"/>
  <c r="M33" i="4" s="1"/>
  <c r="L33" i="4"/>
  <c r="K42" i="4"/>
  <c r="M42" i="4" s="1"/>
  <c r="L42" i="4"/>
  <c r="K12" i="4"/>
  <c r="N12" i="4" s="1"/>
  <c r="L12" i="4"/>
  <c r="K24" i="4"/>
  <c r="N24" i="4" s="1"/>
  <c r="L24" i="4"/>
  <c r="K34" i="4"/>
  <c r="N34" i="4" s="1"/>
  <c r="L34" i="4"/>
  <c r="K43" i="4"/>
  <c r="N43" i="4" s="1"/>
  <c r="L43" i="4"/>
  <c r="K13" i="4"/>
  <c r="M13" i="4" s="1"/>
  <c r="L13" i="4"/>
  <c r="K25" i="4"/>
  <c r="M25" i="4" s="1"/>
  <c r="L25" i="4"/>
  <c r="K35" i="4"/>
  <c r="M35" i="4" s="1"/>
  <c r="L35" i="4"/>
  <c r="K44" i="4"/>
  <c r="M44" i="4" s="1"/>
  <c r="L44" i="4"/>
  <c r="K14" i="4"/>
  <c r="M14" i="4" s="1"/>
  <c r="L14" i="4"/>
  <c r="K15" i="4"/>
  <c r="M15" i="4" s="1"/>
  <c r="L15" i="4"/>
  <c r="K26" i="4"/>
  <c r="M26" i="4" s="1"/>
  <c r="L26" i="4"/>
  <c r="K36" i="4"/>
  <c r="M36" i="4" s="1"/>
  <c r="L36" i="4"/>
  <c r="K45" i="4"/>
  <c r="M45" i="4" s="1"/>
  <c r="L45" i="4"/>
  <c r="K16" i="4"/>
  <c r="M16" i="4" s="1"/>
  <c r="L16" i="4"/>
  <c r="K17" i="4"/>
  <c r="M17" i="4" s="1"/>
  <c r="L17" i="4"/>
  <c r="K27" i="4"/>
  <c r="M27" i="4" s="1"/>
  <c r="L27" i="4"/>
  <c r="K37" i="4"/>
  <c r="M37" i="4" s="1"/>
  <c r="L37" i="4"/>
  <c r="K46" i="4"/>
  <c r="M46" i="4" s="1"/>
  <c r="L46" i="4"/>
  <c r="L4" i="4"/>
  <c r="K4" i="4"/>
  <c r="D19" i="4"/>
  <c r="D29" i="4"/>
  <c r="D39" i="4"/>
  <c r="D5" i="4"/>
  <c r="D20" i="4"/>
  <c r="D30" i="4"/>
  <c r="D40" i="4"/>
  <c r="D6" i="4"/>
  <c r="D7" i="4"/>
  <c r="D21" i="4"/>
  <c r="D31" i="4"/>
  <c r="D8" i="4"/>
  <c r="D9" i="4"/>
  <c r="D22" i="4"/>
  <c r="D32" i="4"/>
  <c r="D41" i="4"/>
  <c r="D10" i="4"/>
  <c r="D11" i="4"/>
  <c r="D23" i="4"/>
  <c r="D33" i="4"/>
  <c r="D42" i="4"/>
  <c r="D12" i="4"/>
  <c r="D24" i="4"/>
  <c r="D34" i="4"/>
  <c r="D43" i="4"/>
  <c r="D13" i="4"/>
  <c r="D25" i="4"/>
  <c r="D35" i="4"/>
  <c r="D44" i="4"/>
  <c r="D14" i="4"/>
  <c r="D15" i="4"/>
  <c r="D26" i="4"/>
  <c r="D36" i="4"/>
  <c r="D45" i="4"/>
  <c r="D16" i="4"/>
  <c r="D17" i="4"/>
  <c r="D27" i="4"/>
  <c r="D37" i="4"/>
  <c r="D46" i="4"/>
  <c r="D4" i="4"/>
  <c r="K6" i="1" l="1"/>
  <c r="L6" i="1"/>
  <c r="K8" i="1"/>
  <c r="L8" i="1"/>
  <c r="K5" i="1"/>
  <c r="L5" i="1"/>
  <c r="K7" i="1"/>
  <c r="L7" i="1"/>
  <c r="K9" i="1"/>
  <c r="L9" i="1"/>
  <c r="K10" i="1"/>
  <c r="N10" i="1" s="1"/>
  <c r="L10" i="1"/>
  <c r="K11" i="1"/>
  <c r="N11" i="1" s="1"/>
  <c r="L11" i="1"/>
  <c r="K12" i="1"/>
  <c r="M12" i="1" s="1"/>
  <c r="L12" i="1"/>
  <c r="K13" i="1"/>
  <c r="M13" i="1" s="1"/>
  <c r="L13" i="1"/>
  <c r="K14" i="1"/>
  <c r="M14" i="1" s="1"/>
  <c r="L14" i="1"/>
  <c r="K15" i="1"/>
  <c r="M15" i="1" s="1"/>
  <c r="L15" i="1"/>
  <c r="K16" i="1"/>
  <c r="M16" i="1" s="1"/>
  <c r="L16" i="1"/>
  <c r="K17" i="1"/>
  <c r="N17" i="1" s="1"/>
  <c r="L17" i="1"/>
  <c r="K18" i="1"/>
  <c r="M18" i="1" s="1"/>
  <c r="L18" i="1"/>
  <c r="K19" i="1"/>
  <c r="M19" i="1" s="1"/>
  <c r="L19" i="1"/>
  <c r="K20" i="1"/>
  <c r="M20" i="1" s="1"/>
  <c r="L20" i="1"/>
  <c r="K21" i="1"/>
  <c r="M21" i="1" s="1"/>
  <c r="L21" i="1"/>
  <c r="K22" i="1"/>
  <c r="M22" i="1" s="1"/>
  <c r="L22" i="1"/>
  <c r="K23" i="1"/>
  <c r="M23" i="1" s="1"/>
  <c r="L23" i="1"/>
  <c r="K24" i="1"/>
  <c r="M24" i="1" s="1"/>
  <c r="L24" i="1"/>
  <c r="K25" i="1"/>
  <c r="M25" i="1" s="1"/>
  <c r="L25" i="1"/>
  <c r="K27" i="1"/>
  <c r="L27" i="1"/>
  <c r="K28" i="1"/>
  <c r="L28" i="1"/>
  <c r="K29" i="1"/>
  <c r="N29" i="1" s="1"/>
  <c r="L29" i="1"/>
  <c r="K30" i="1"/>
  <c r="M30" i="1" s="1"/>
  <c r="L30" i="1"/>
  <c r="K31" i="1"/>
  <c r="M31" i="1" s="1"/>
  <c r="L31" i="1"/>
  <c r="K32" i="1"/>
  <c r="N32" i="1" s="1"/>
  <c r="L32" i="1"/>
  <c r="K33" i="1"/>
  <c r="M33" i="1" s="1"/>
  <c r="L33" i="1"/>
  <c r="K34" i="1"/>
  <c r="M34" i="1" s="1"/>
  <c r="L34" i="1"/>
  <c r="K35" i="1"/>
  <c r="M35" i="1" s="1"/>
  <c r="L35" i="1"/>
  <c r="K37" i="1"/>
  <c r="L37" i="1"/>
  <c r="K38" i="1"/>
  <c r="L38" i="1"/>
  <c r="K39" i="1"/>
  <c r="N39" i="1" s="1"/>
  <c r="L39" i="1"/>
  <c r="K40" i="1"/>
  <c r="M40" i="1" s="1"/>
  <c r="L40" i="1"/>
  <c r="K41" i="1"/>
  <c r="M41" i="1" s="1"/>
  <c r="L41" i="1"/>
  <c r="K42" i="1"/>
  <c r="N42" i="1" s="1"/>
  <c r="L42" i="1"/>
  <c r="K43" i="1"/>
  <c r="M43" i="1" s="1"/>
  <c r="L43" i="1"/>
  <c r="K44" i="1"/>
  <c r="M44" i="1" s="1"/>
  <c r="L44" i="1"/>
  <c r="K45" i="1"/>
  <c r="M45" i="1" s="1"/>
  <c r="L45" i="1"/>
  <c r="K47" i="1"/>
  <c r="M47" i="1" s="1"/>
  <c r="L47" i="1"/>
  <c r="K48" i="1"/>
  <c r="M48" i="1" s="1"/>
  <c r="L48" i="1"/>
  <c r="K49" i="1"/>
  <c r="M49" i="1" s="1"/>
  <c r="L49" i="1"/>
  <c r="K50" i="1"/>
  <c r="M50" i="1" s="1"/>
  <c r="L50" i="1"/>
  <c r="K51" i="1"/>
  <c r="M51" i="1" s="1"/>
  <c r="L51" i="1"/>
  <c r="L4" i="1"/>
  <c r="K4" i="1"/>
  <c r="D6" i="1"/>
  <c r="D8" i="1"/>
  <c r="D5" i="1"/>
  <c r="D7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2" i="1"/>
  <c r="D33" i="1"/>
  <c r="D34" i="1"/>
  <c r="D35" i="1"/>
  <c r="D37" i="1"/>
  <c r="D38" i="1"/>
  <c r="D39" i="1"/>
  <c r="D40" i="1"/>
  <c r="D41" i="1"/>
  <c r="D42" i="1"/>
  <c r="D43" i="1"/>
  <c r="D44" i="1"/>
  <c r="D45" i="1"/>
  <c r="D47" i="1"/>
  <c r="D48" i="1"/>
  <c r="D49" i="1"/>
  <c r="D50" i="1"/>
  <c r="D51" i="1"/>
  <c r="D4" i="1"/>
</calcChain>
</file>

<file path=xl/sharedStrings.xml><?xml version="1.0" encoding="utf-8"?>
<sst xmlns="http://schemas.openxmlformats.org/spreadsheetml/2006/main" count="9102" uniqueCount="1504">
  <si>
    <t>KANBAN NO</t>
  </si>
  <si>
    <t>PART NUMBER</t>
  </si>
  <si>
    <t>PART NAME</t>
  </si>
  <si>
    <t>SUPPLY DATE</t>
  </si>
  <si>
    <t>SUPPLY TIME</t>
  </si>
  <si>
    <t>UNLOADING LOC</t>
  </si>
  <si>
    <t>01Y584213272AC5</t>
  </si>
  <si>
    <t>55101M58U10</t>
  </si>
  <si>
    <t>CALIPER ASSY,FRONT BRAKE,R</t>
  </si>
  <si>
    <t>CA-07</t>
  </si>
  <si>
    <t>AC5</t>
  </si>
  <si>
    <t>01Y584248335AC5</t>
  </si>
  <si>
    <t>01Y584257091AC5</t>
  </si>
  <si>
    <t>01Y584213280AC5</t>
  </si>
  <si>
    <t>01Y584213264AC5</t>
  </si>
  <si>
    <t>01Y584216450AC5</t>
  </si>
  <si>
    <t>55102M58U10</t>
  </si>
  <si>
    <t>CALIPER ASSY,FRONT BRAKE,L</t>
  </si>
  <si>
    <t>01Y584248343AC5</t>
  </si>
  <si>
    <t>01Y584257032AC5</t>
  </si>
  <si>
    <t>01Y584216468AC5</t>
  </si>
  <si>
    <t>01Y584213299AC5</t>
  </si>
  <si>
    <t>01Y584216484AC5</t>
  </si>
  <si>
    <t>55311M58U00</t>
  </si>
  <si>
    <t>DISC,FRONT BRAKE</t>
  </si>
  <si>
    <t>01Y584253371AC5</t>
  </si>
  <si>
    <t>01Y584216492AC5</t>
  </si>
  <si>
    <t>01Y584216476AC5</t>
  </si>
  <si>
    <t>01Y584216514AC5</t>
  </si>
  <si>
    <t>55401M58U00</t>
  </si>
  <si>
    <t>CALIPER ASSY,REAR BRAKE,R</t>
  </si>
  <si>
    <t>CA-21</t>
  </si>
  <si>
    <t>01Y584256036AC5</t>
  </si>
  <si>
    <t>01Y584216522AC5</t>
  </si>
  <si>
    <t>01Y584216530AC5</t>
  </si>
  <si>
    <t>01Y584216506AC5</t>
  </si>
  <si>
    <t>01Y584216557AC5</t>
  </si>
  <si>
    <t>55402M58U00</t>
  </si>
  <si>
    <t>CALIPER ASSY,REAR BRAKE,L</t>
  </si>
  <si>
    <t>01Y584248351AC5</t>
  </si>
  <si>
    <t>01Y584254513AC5</t>
  </si>
  <si>
    <t>01Y584216565AC5</t>
  </si>
  <si>
    <t>01Y584216573AC5</t>
  </si>
  <si>
    <t>01Y584216549AC5</t>
  </si>
  <si>
    <t>01Y584216590AC5</t>
  </si>
  <si>
    <t>55611M58U00</t>
  </si>
  <si>
    <t>DISC,REAR BRAKE</t>
  </si>
  <si>
    <t>01Y584216603AC5</t>
  </si>
  <si>
    <t>01Y584216581AC5</t>
  </si>
  <si>
    <t>01Y584216620AC5</t>
  </si>
  <si>
    <t>56110M58UA1</t>
  </si>
  <si>
    <t>ACTUATOR ASSY,NO VARIANT ESP</t>
  </si>
  <si>
    <t>CA-01</t>
  </si>
  <si>
    <t>01Y584248360AC5</t>
  </si>
  <si>
    <t>01Y584250887AC5</t>
  </si>
  <si>
    <t>01Y584216638AC5</t>
  </si>
  <si>
    <t>01Y584216646AC5</t>
  </si>
  <si>
    <t>01Y584216611AC5</t>
  </si>
  <si>
    <t>01Y584216662AC5</t>
  </si>
  <si>
    <t>5A120M58U01</t>
  </si>
  <si>
    <t>CYLINDER ASSY,BK MASTER W/ECU</t>
  </si>
  <si>
    <t>01Y584248378AC5</t>
  </si>
  <si>
    <t>01Y584255480AC5</t>
  </si>
  <si>
    <t>01Y584216670AC5</t>
  </si>
  <si>
    <t>01Y584216689AC5</t>
  </si>
  <si>
    <t>01Y584216654AC5</t>
  </si>
  <si>
    <t>01Y584216700AC5</t>
  </si>
  <si>
    <t>5A120M58U50</t>
  </si>
  <si>
    <t>01Y584258764AC5</t>
  </si>
  <si>
    <t>01Y584216719AC5</t>
  </si>
  <si>
    <t>01Y584216727AC5</t>
  </si>
  <si>
    <t>01Y584216697AC5</t>
  </si>
  <si>
    <t>Dailly SMG Pick List</t>
  </si>
  <si>
    <t xml:space="preserve">24AACCN5739J1ZA </t>
  </si>
  <si>
    <t>Supply Month</t>
  </si>
  <si>
    <t>INVOICE NO</t>
  </si>
  <si>
    <t>Material  Code</t>
  </si>
  <si>
    <t>Line</t>
  </si>
  <si>
    <t>Qty Req</t>
  </si>
  <si>
    <t>Packing Standerd</t>
  </si>
  <si>
    <t>Packed in</t>
  </si>
  <si>
    <t xml:space="preserve">TTL Bin </t>
  </si>
  <si>
    <t xml:space="preserve"> TORLLY</t>
  </si>
  <si>
    <t>Vehicle No</t>
  </si>
  <si>
    <t>Remarks</t>
  </si>
  <si>
    <t>Helper Name</t>
  </si>
  <si>
    <t>Mat Code</t>
  </si>
  <si>
    <t>Packing Standard</t>
  </si>
  <si>
    <t>Packed In</t>
  </si>
  <si>
    <t>141110-14600</t>
  </si>
  <si>
    <t>CALIPER RR</t>
  </si>
  <si>
    <t>Trolley (H)</t>
  </si>
  <si>
    <t>141120-14600</t>
  </si>
  <si>
    <t>CALIPER LH</t>
  </si>
  <si>
    <t>141185-74670</t>
  </si>
  <si>
    <t>DISC FR</t>
  </si>
  <si>
    <t>Trolley</t>
  </si>
  <si>
    <t>141140-91211</t>
  </si>
  <si>
    <t>MOC RH</t>
  </si>
  <si>
    <t>Bin</t>
  </si>
  <si>
    <t>141150-91211</t>
  </si>
  <si>
    <t>MOC LH</t>
  </si>
  <si>
    <t>141186-74360</t>
  </si>
  <si>
    <t>DISC RR</t>
  </si>
  <si>
    <t>116040-92240</t>
  </si>
  <si>
    <t>ESC</t>
  </si>
  <si>
    <t>114010-50830</t>
  </si>
  <si>
    <t>AHB LH</t>
  </si>
  <si>
    <t>114010-50820</t>
  </si>
  <si>
    <t>AHB RH</t>
  </si>
  <si>
    <t>G/I/25-26/01061</t>
  </si>
  <si>
    <t>G/I/25-26/01062</t>
  </si>
  <si>
    <t>G/I/25-26/01063</t>
  </si>
  <si>
    <t>G/I/25-26/01064</t>
  </si>
  <si>
    <t>G/I/25-26/01065</t>
  </si>
  <si>
    <t>G/I/25-26/01066</t>
  </si>
  <si>
    <t>G/I/25-26/01067</t>
  </si>
  <si>
    <t>G/I/25-26/01068</t>
  </si>
  <si>
    <t>GJ01ET3377</t>
  </si>
  <si>
    <t>GJ27TD4419</t>
  </si>
  <si>
    <t>GJ07TU3500</t>
  </si>
  <si>
    <t xml:space="preserve"> </t>
  </si>
  <si>
    <t>03Y584852410AC5</t>
  </si>
  <si>
    <t>03Y584852429AC5</t>
  </si>
  <si>
    <t>03Y584852437AC5</t>
  </si>
  <si>
    <t>03Y584852402AC5</t>
  </si>
  <si>
    <t>03Y584852453AC5</t>
  </si>
  <si>
    <t>03Y584852461AC5</t>
  </si>
  <si>
    <t>03Y584852470AC5</t>
  </si>
  <si>
    <t>03Y584852445AC5</t>
  </si>
  <si>
    <t>03Y584852488AC5</t>
  </si>
  <si>
    <t>03Y584886218AC5</t>
  </si>
  <si>
    <t>03Y584852496AC5</t>
  </si>
  <si>
    <t>03Y584852500AC5</t>
  </si>
  <si>
    <t>03Y584852526AC5</t>
  </si>
  <si>
    <t>03Y584888768AC5</t>
  </si>
  <si>
    <t>03Y584852534AC5</t>
  </si>
  <si>
    <t>03Y584852542AC5</t>
  </si>
  <si>
    <t>03Y584852518AC5</t>
  </si>
  <si>
    <t>03Y584852569AC5</t>
  </si>
  <si>
    <t>03Y584881259AC5</t>
  </si>
  <si>
    <t>03Y584852577AC5</t>
  </si>
  <si>
    <t>03Y584852585AC5</t>
  </si>
  <si>
    <t>03Y584852550AC5</t>
  </si>
  <si>
    <t>03Y584852607AC5</t>
  </si>
  <si>
    <t>03Y584852615AC5</t>
  </si>
  <si>
    <t>03Y584852623AC5</t>
  </si>
  <si>
    <t>03Y584852593AC5</t>
  </si>
  <si>
    <t>03Y584852640AC5</t>
  </si>
  <si>
    <t>03Y584852658AC5</t>
  </si>
  <si>
    <t>03Y584852666AC5</t>
  </si>
  <si>
    <t>03Y584852631AC5</t>
  </si>
  <si>
    <t>03Y584852682AC5</t>
  </si>
  <si>
    <t>03Y584879408AC5</t>
  </si>
  <si>
    <t>03Y584852690AC5</t>
  </si>
  <si>
    <t>03Y584852704AC5</t>
  </si>
  <si>
    <t>03Y584852674AC5</t>
  </si>
  <si>
    <t>03Y584852720AC5</t>
  </si>
  <si>
    <t>03Y584884010AC5</t>
  </si>
  <si>
    <t>03Y584852739AC5</t>
  </si>
  <si>
    <t>03Y584852747AC5</t>
  </si>
  <si>
    <t>03Y584852712AC5</t>
  </si>
  <si>
    <t>G/I/25-26/01069</t>
  </si>
  <si>
    <t>G/I/25-26/01070</t>
  </si>
  <si>
    <t>G/I/25-26/01071</t>
  </si>
  <si>
    <t>G/I/25-26/01072</t>
  </si>
  <si>
    <t>GJ23Y8525</t>
  </si>
  <si>
    <t>G/I/25-26/01074</t>
  </si>
  <si>
    <t>G/I/25-26/01075</t>
  </si>
  <si>
    <t>G/I/25-26/01076</t>
  </si>
  <si>
    <t>G/I/25-26/01077</t>
  </si>
  <si>
    <t>GJ02ZZ7144</t>
  </si>
  <si>
    <t>04Y585850039AC5</t>
  </si>
  <si>
    <t>04Y585850047AC5</t>
  </si>
  <si>
    <t>04Y585850020AC5</t>
  </si>
  <si>
    <t>04Y585850063AC5</t>
  </si>
  <si>
    <t>04Y585850071AC5</t>
  </si>
  <si>
    <t>04Y585850055AC5</t>
  </si>
  <si>
    <t>04Y585850080AC5</t>
  </si>
  <si>
    <t>04Y585850098AC5</t>
  </si>
  <si>
    <t>04Y585850101AC5</t>
  </si>
  <si>
    <t>04Y585850128AC5</t>
  </si>
  <si>
    <t>04Y585850136AC5</t>
  </si>
  <si>
    <t>04Y585850144AC5</t>
  </si>
  <si>
    <t>04Y585850110AC5</t>
  </si>
  <si>
    <t>04Y585850160AC5</t>
  </si>
  <si>
    <t>04Y585850179AC5</t>
  </si>
  <si>
    <t>04Y585850187AC5</t>
  </si>
  <si>
    <t>04Y585850152AC5</t>
  </si>
  <si>
    <t>04Y585850209AC5</t>
  </si>
  <si>
    <t>04Y585850217AC5</t>
  </si>
  <si>
    <t>04Y585850225AC5</t>
  </si>
  <si>
    <t>04Y585850195AC5</t>
  </si>
  <si>
    <t>04Y585850241AC5</t>
  </si>
  <si>
    <t>04Y585850250AC5</t>
  </si>
  <si>
    <t>04Y585850268AC5</t>
  </si>
  <si>
    <t>04Y585850233AC5</t>
  </si>
  <si>
    <t>04Y585850284AC5</t>
  </si>
  <si>
    <t>04Y585850292AC5</t>
  </si>
  <si>
    <t>04Y585850306AC5</t>
  </si>
  <si>
    <t>04Y585850276AC5</t>
  </si>
  <si>
    <t>04Y585858862AC5</t>
  </si>
  <si>
    <t>04Y585884731AC5</t>
  </si>
  <si>
    <t>04Y585858870AC5</t>
  </si>
  <si>
    <t>04Y585858889AC5</t>
  </si>
  <si>
    <t>04Y585850314AC5</t>
  </si>
  <si>
    <t>G/I/25-26/01078</t>
  </si>
  <si>
    <t>G/I/25-26/01079</t>
  </si>
  <si>
    <t>G/I/25-26/01080</t>
  </si>
  <si>
    <t>G/I/25-26/01081</t>
  </si>
  <si>
    <t>G/I/25-26/01082</t>
  </si>
  <si>
    <t>G/I/25-26/01083</t>
  </si>
  <si>
    <t>G/I/25-26/01084</t>
  </si>
  <si>
    <t>G/I/25-26/01085</t>
  </si>
  <si>
    <t>05Y586502190AC5</t>
  </si>
  <si>
    <t>05Y586502271AC5</t>
  </si>
  <si>
    <t>05Y586500155AC5</t>
  </si>
  <si>
    <t>05Y586499742AC5</t>
  </si>
  <si>
    <t>05Y586499696AC5</t>
  </si>
  <si>
    <t>05Y586498690AC5</t>
  </si>
  <si>
    <t>05Y586502247AC5</t>
  </si>
  <si>
    <t>05Y586501941AC5</t>
  </si>
  <si>
    <t>05Y586500074AC5</t>
  </si>
  <si>
    <t>05Y586426222AC5</t>
  </si>
  <si>
    <t>05Y586426230AC5</t>
  </si>
  <si>
    <t>05Y586426249AC5</t>
  </si>
  <si>
    <t>05Y586426214AC5</t>
  </si>
  <si>
    <t>05Y586426265AC5</t>
  </si>
  <si>
    <t>05Y586426273AC5</t>
  </si>
  <si>
    <t>05Y586426281AC5</t>
  </si>
  <si>
    <t>05Y586426257AC5</t>
  </si>
  <si>
    <t>05Y586426303AC5</t>
  </si>
  <si>
    <t>05Y586426311AC5</t>
  </si>
  <si>
    <t>05Y586426320AC5</t>
  </si>
  <si>
    <t>05Y586426290AC5</t>
  </si>
  <si>
    <t>05Y586426346AC5</t>
  </si>
  <si>
    <t>05Y586506331AC5</t>
  </si>
  <si>
    <t>05Y586426354AC5</t>
  </si>
  <si>
    <t>05Y586426362AC5</t>
  </si>
  <si>
    <t>05Y586426338AC5</t>
  </si>
  <si>
    <t>05Y586426389AC5</t>
  </si>
  <si>
    <t>05Y586505637AC5</t>
  </si>
  <si>
    <t>05Y586426397AC5</t>
  </si>
  <si>
    <t>05Y586426400AC5</t>
  </si>
  <si>
    <t>05Y586426370AC5</t>
  </si>
  <si>
    <t>05Y586426427AC5</t>
  </si>
  <si>
    <t>05Y586426435AC5</t>
  </si>
  <si>
    <t>05Y586426443AC5</t>
  </si>
  <si>
    <t>05Y586426419AC5</t>
  </si>
  <si>
    <t>05Y586426460AC5</t>
  </si>
  <si>
    <t>05Y586515624AC5</t>
  </si>
  <si>
    <t>05Y586426478AC5</t>
  </si>
  <si>
    <t>05Y586426486AC5</t>
  </si>
  <si>
    <t>05Y586426451AC5</t>
  </si>
  <si>
    <t>05Y586426508AC5</t>
  </si>
  <si>
    <t>05Y586514326AC5</t>
  </si>
  <si>
    <t>05Y586426516AC5</t>
  </si>
  <si>
    <t>05Y586426524AC5</t>
  </si>
  <si>
    <t>05Y586426494AC5</t>
  </si>
  <si>
    <t>05Y586426540AC5</t>
  </si>
  <si>
    <t>05Y586508733AC5</t>
  </si>
  <si>
    <t>05Y586426559AC5</t>
  </si>
  <si>
    <t>05Y586426567AC5</t>
  </si>
  <si>
    <t>05Y586426532AC5</t>
  </si>
  <si>
    <t>G/I/25-26/01087</t>
  </si>
  <si>
    <t>G/I/25-26/01090</t>
  </si>
  <si>
    <t>G/I/25-26/01091</t>
  </si>
  <si>
    <t>G/I/25-26/01094</t>
  </si>
  <si>
    <t>G/I/25-26/01092</t>
  </si>
  <si>
    <t>G/I/25-26/01093</t>
  </si>
  <si>
    <t>G/I/25-26/01095</t>
  </si>
  <si>
    <t>G/I/25-26/01096</t>
  </si>
  <si>
    <t>G/I/25-26/01097</t>
  </si>
  <si>
    <t>G/I/25-26/01098</t>
  </si>
  <si>
    <t>INV NO</t>
  </si>
  <si>
    <t>06Y586605259AC5</t>
  </si>
  <si>
    <t>06Y586752227AC5</t>
  </si>
  <si>
    <t>06Y586605267AC5</t>
  </si>
  <si>
    <t>06Y586605275AC5</t>
  </si>
  <si>
    <t>06Y586750950AC5</t>
  </si>
  <si>
    <t>06Y586605283AC5</t>
  </si>
  <si>
    <t>06Y586605305AC5</t>
  </si>
  <si>
    <t>06Y586605291AC5</t>
  </si>
  <si>
    <t>06Y586605321AC5</t>
  </si>
  <si>
    <t>06Y586747703AC5</t>
  </si>
  <si>
    <t>06Y586605330AC5</t>
  </si>
  <si>
    <t>06Y586605348AC5</t>
  </si>
  <si>
    <t>06Y586605313AC5</t>
  </si>
  <si>
    <t>06Y586605364AC5</t>
  </si>
  <si>
    <t>06Y586752901AC5</t>
  </si>
  <si>
    <t>06Y586605372AC5</t>
  </si>
  <si>
    <t>06Y586605380AC5</t>
  </si>
  <si>
    <t>06Y586605356AC5</t>
  </si>
  <si>
    <t>06Y586605402AC5</t>
  </si>
  <si>
    <t>06Y586605399AC5</t>
  </si>
  <si>
    <t>06Y586605429AC5</t>
  </si>
  <si>
    <t>06Y586752324AC5</t>
  </si>
  <si>
    <t>06Y586605437AC5</t>
  </si>
  <si>
    <t>06Y586605445AC5</t>
  </si>
  <si>
    <t>06Y586605410AC5</t>
  </si>
  <si>
    <t>06Y586605461AC5</t>
  </si>
  <si>
    <t>06Y586758705AC5</t>
  </si>
  <si>
    <t>06Y586605470AC5</t>
  </si>
  <si>
    <t>06Y586605488AC5</t>
  </si>
  <si>
    <t>06Y586605453AC5</t>
  </si>
  <si>
    <t>06Y586605500AC5</t>
  </si>
  <si>
    <t>06Y586749846AC5</t>
  </si>
  <si>
    <t>06Y586605518AC5</t>
  </si>
  <si>
    <t>06Y586605526AC5</t>
  </si>
  <si>
    <t>06Y586605496AC5</t>
  </si>
  <si>
    <t>G/I/25-26/01101</t>
  </si>
  <si>
    <t>G/I/25-26/01102</t>
  </si>
  <si>
    <t>G/I/25-26/01103</t>
  </si>
  <si>
    <t>G/I/25-26/01104</t>
  </si>
  <si>
    <t>G/I/25-26/01105</t>
  </si>
  <si>
    <t>G/I/25-26/01106</t>
  </si>
  <si>
    <t>07Y587306506AC5</t>
  </si>
  <si>
    <t>07Y587372347AC5</t>
  </si>
  <si>
    <t>07Y587306514AC5</t>
  </si>
  <si>
    <t>07Y587306492AC5</t>
  </si>
  <si>
    <t>07Y587306530AC5</t>
  </si>
  <si>
    <t>07Y587369249AC5</t>
  </si>
  <si>
    <t>07Y587306549AC5</t>
  </si>
  <si>
    <t>07Y587306522AC5</t>
  </si>
  <si>
    <t>07Y587306565AC5</t>
  </si>
  <si>
    <t>07Y587364263AC5</t>
  </si>
  <si>
    <t>07Y587306573AC5</t>
  </si>
  <si>
    <t>07Y587306557AC5</t>
  </si>
  <si>
    <t>07Y587306590AC5</t>
  </si>
  <si>
    <t>07Y587376334AC5</t>
  </si>
  <si>
    <t>07Y587306603AC5</t>
  </si>
  <si>
    <t>07Y587306581AC5</t>
  </si>
  <si>
    <t>07Y587306620AC5</t>
  </si>
  <si>
    <t>07Y587367947AC5</t>
  </si>
  <si>
    <t>07Y587306638AC5</t>
  </si>
  <si>
    <t>07Y587306611AC5</t>
  </si>
  <si>
    <t>07Y587306654AC5</t>
  </si>
  <si>
    <t>07Y587359456AC5</t>
  </si>
  <si>
    <t>07Y587306662AC5</t>
  </si>
  <si>
    <t>07Y587306646AC5</t>
  </si>
  <si>
    <t>07Y587306689AC5</t>
  </si>
  <si>
    <t>07Y587358425AC5</t>
  </si>
  <si>
    <t>07Y587306697AC5</t>
  </si>
  <si>
    <t>07Y587306670AC5</t>
  </si>
  <si>
    <t>07Y587306719AC5</t>
  </si>
  <si>
    <t>07Y587373769AC5</t>
  </si>
  <si>
    <t>07Y587306700AC5</t>
  </si>
  <si>
    <t>07Y587306735AC5</t>
  </si>
  <si>
    <t>07Y587367777AC5</t>
  </si>
  <si>
    <t>07Y587306743AC5</t>
  </si>
  <si>
    <t>07Y587306751AC5</t>
  </si>
  <si>
    <t>07Y587306727AC5</t>
  </si>
  <si>
    <t>G/I/25-26/01107</t>
  </si>
  <si>
    <t>G/I/25-26/01108</t>
  </si>
  <si>
    <t>G/I/25-26/01109</t>
  </si>
  <si>
    <t>G/I/25-26/01110</t>
  </si>
  <si>
    <t>G/I/25-26/01111</t>
  </si>
  <si>
    <t>G/I/25-26/01112</t>
  </si>
  <si>
    <t>08Y587933616AC5</t>
  </si>
  <si>
    <t>08Y587989697AC5</t>
  </si>
  <si>
    <t>08Y587933624AC5</t>
  </si>
  <si>
    <t>08Y587933632AC5</t>
  </si>
  <si>
    <t>08Y587933608AC5</t>
  </si>
  <si>
    <t>08Y587933659AC5</t>
  </si>
  <si>
    <t>08Y587991918AC5</t>
  </si>
  <si>
    <t>08Y587933667AC5</t>
  </si>
  <si>
    <t>08Y587933675AC5</t>
  </si>
  <si>
    <t>08Y587933640AC5</t>
  </si>
  <si>
    <t>08Y587933691AC5</t>
  </si>
  <si>
    <t>08Y587994038AC5</t>
  </si>
  <si>
    <t>08Y587933705AC5</t>
  </si>
  <si>
    <t>08Y587933683AC5</t>
  </si>
  <si>
    <t>08Y587933721AC5</t>
  </si>
  <si>
    <t>08Y587997312AC5</t>
  </si>
  <si>
    <t>08Y587933730AC5</t>
  </si>
  <si>
    <t>08Y587933748AC5</t>
  </si>
  <si>
    <t>08Y587933713AC5</t>
  </si>
  <si>
    <t>08Y587933764AC5</t>
  </si>
  <si>
    <t>08Y587990458AC5</t>
  </si>
  <si>
    <t>08Y587933772AC5</t>
  </si>
  <si>
    <t>08Y587933780AC5</t>
  </si>
  <si>
    <t>08Y587933756AC5</t>
  </si>
  <si>
    <t>08Y587933802AC5</t>
  </si>
  <si>
    <t>08Y587991241AC5</t>
  </si>
  <si>
    <t>08Y587933810AC5</t>
  </si>
  <si>
    <t>08Y587933829AC5</t>
  </si>
  <si>
    <t>08Y587933799AC5</t>
  </si>
  <si>
    <t>08Y587933845AC5</t>
  </si>
  <si>
    <t>08Y587995921AC5</t>
  </si>
  <si>
    <t>08Y587933853AC5</t>
  </si>
  <si>
    <t>08Y587933861AC5</t>
  </si>
  <si>
    <t>08Y587933837AC5</t>
  </si>
  <si>
    <t>08Y587933870AC5</t>
  </si>
  <si>
    <t>08Y587994968AC5</t>
  </si>
  <si>
    <t>08Y587933888AC5</t>
  </si>
  <si>
    <t>08Y587933896AC5</t>
  </si>
  <si>
    <t>08Y587933900AC5</t>
  </si>
  <si>
    <t>08Y587933926AC5</t>
  </si>
  <si>
    <t>08Y587998734AC5</t>
  </si>
  <si>
    <t>08Y587933934AC5</t>
  </si>
  <si>
    <t>08Y587933942AC5</t>
  </si>
  <si>
    <t>08Y587933918AC5</t>
  </si>
  <si>
    <t>G/I/25-26/01113</t>
  </si>
  <si>
    <t>G/I/25-26/01114</t>
  </si>
  <si>
    <t>G/I/25-26/01115</t>
  </si>
  <si>
    <t>G/I/25-26/01116</t>
  </si>
  <si>
    <t>G/I/25-26/01117</t>
  </si>
  <si>
    <t>G/I/25-26/01118</t>
  </si>
  <si>
    <t>G/I/25-26/01119</t>
  </si>
  <si>
    <t>AN0250008197</t>
  </si>
  <si>
    <t>AN0250008334</t>
  </si>
  <si>
    <t>91100866-29 Qty. /9100099020-11 Qty.</t>
  </si>
  <si>
    <t>12508Q100183</t>
  </si>
  <si>
    <t>NA</t>
  </si>
  <si>
    <t>AN0250008334-16 Qty./ AN0250008197-2 Qty.</t>
  </si>
  <si>
    <t>910099020- 13 Qty./ 910101143-67 Qty.</t>
  </si>
  <si>
    <t>12504Q100241</t>
  </si>
  <si>
    <t>12504Q100173</t>
  </si>
  <si>
    <t>10Y588552705AC5</t>
  </si>
  <si>
    <t>10Y588610411AC5</t>
  </si>
  <si>
    <t>10Y588552713AC5</t>
  </si>
  <si>
    <t>10Y588552721AC5</t>
  </si>
  <si>
    <t>10Y588552730AC5</t>
  </si>
  <si>
    <t>10Y588552748AC5</t>
  </si>
  <si>
    <t>10Y588612503AC5</t>
  </si>
  <si>
    <t>10Y588552756AC5</t>
  </si>
  <si>
    <t>10Y588552764AC5</t>
  </si>
  <si>
    <t>10Y588552772AC5</t>
  </si>
  <si>
    <t>10Y588552799AC5</t>
  </si>
  <si>
    <t>10Y588613500AC5</t>
  </si>
  <si>
    <t>10Y588552802AC5</t>
  </si>
  <si>
    <t>10Y588552810AC5</t>
  </si>
  <si>
    <t>10Y588552780AC5</t>
  </si>
  <si>
    <t>10Y588552837AC5</t>
  </si>
  <si>
    <t>10Y588611574AC5</t>
  </si>
  <si>
    <t>10Y588552845AC5</t>
  </si>
  <si>
    <t>10Y588552853AC5</t>
  </si>
  <si>
    <t>10Y588552829AC5</t>
  </si>
  <si>
    <t>10Y588552870AC5</t>
  </si>
  <si>
    <t>10Y588615650AC5</t>
  </si>
  <si>
    <t>10Y588552888AC5</t>
  </si>
  <si>
    <t>10Y588552896AC5</t>
  </si>
  <si>
    <t>10Y588552861AC5</t>
  </si>
  <si>
    <t>10Y588552918AC5</t>
  </si>
  <si>
    <t>10Y588611523AC5</t>
  </si>
  <si>
    <t>10Y588552926AC5</t>
  </si>
  <si>
    <t>10Y588552934AC5</t>
  </si>
  <si>
    <t>10Y588552900AC5</t>
  </si>
  <si>
    <t>10Y588552950AC5</t>
  </si>
  <si>
    <t>10Y588614476AC5</t>
  </si>
  <si>
    <t>10Y588552969AC5</t>
  </si>
  <si>
    <t>10Y588552977AC5</t>
  </si>
  <si>
    <t>10Y588552942AC5</t>
  </si>
  <si>
    <t>10Y588556077AC5</t>
  </si>
  <si>
    <t>10Y588611221AC5</t>
  </si>
  <si>
    <t>10Y588556085AC5</t>
  </si>
  <si>
    <t>10Y588556093AC5</t>
  </si>
  <si>
    <t>10Y588552985AC5</t>
  </si>
  <si>
    <t>10Y588556115AC5</t>
  </si>
  <si>
    <t>10Y588619753AC5</t>
  </si>
  <si>
    <t>10Y588556123AC5</t>
  </si>
  <si>
    <t>10Y588556131AC5</t>
  </si>
  <si>
    <t>10Y588556107AC5</t>
  </si>
  <si>
    <t>12505Q100051</t>
  </si>
  <si>
    <t>12505Q100051-12 Qty. / 12504Q100250-6 Qty.</t>
  </si>
  <si>
    <t>12504Q100250</t>
  </si>
  <si>
    <t>G/I/25-26/01121</t>
  </si>
  <si>
    <t>G/I/25-26/01122</t>
  </si>
  <si>
    <t>G/I/25-26/01123</t>
  </si>
  <si>
    <t>G/I/25-26/01124</t>
  </si>
  <si>
    <t>G/I/25-26/01125</t>
  </si>
  <si>
    <t>G/I/25-26/01126</t>
  </si>
  <si>
    <t>G/I/25-26/01127</t>
  </si>
  <si>
    <t>G/I/25-26/01128</t>
  </si>
  <si>
    <t>11Y589043057AC5</t>
  </si>
  <si>
    <t>11Y589043065AC5</t>
  </si>
  <si>
    <t>11Y589245512AC5</t>
  </si>
  <si>
    <t>11Y589043073AC5</t>
  </si>
  <si>
    <t>11Y589043081AC5</t>
  </si>
  <si>
    <t>11Y589043090AC5</t>
  </si>
  <si>
    <t>11Y589242920AC5</t>
  </si>
  <si>
    <t>11Y589043103AC5</t>
  </si>
  <si>
    <t>11Y589043120AC5</t>
  </si>
  <si>
    <t>11Y589043138AC5</t>
  </si>
  <si>
    <t>11Y589043146AC5</t>
  </si>
  <si>
    <t>11Y589043111AC5</t>
  </si>
  <si>
    <t>11Y589043162AC5</t>
  </si>
  <si>
    <t>11Y589043170AC5</t>
  </si>
  <si>
    <t>11Y589238761AC5</t>
  </si>
  <si>
    <t>11Y589043189AC5</t>
  </si>
  <si>
    <t>11Y589043154AC5</t>
  </si>
  <si>
    <t>11Y589043200AC5</t>
  </si>
  <si>
    <t>11Y589043219AC5</t>
  </si>
  <si>
    <t>11Y589241630AC5</t>
  </si>
  <si>
    <t>11Y589043227AC5</t>
  </si>
  <si>
    <t>11Y589043197AC5</t>
  </si>
  <si>
    <t>11Y589043235AC5</t>
  </si>
  <si>
    <t>11Y589043243AC5</t>
  </si>
  <si>
    <t>11Y589043251AC5</t>
  </si>
  <si>
    <t>11Y589043260AC5</t>
  </si>
  <si>
    <t>11Y589043286AC5</t>
  </si>
  <si>
    <t>11Y589043294AC5</t>
  </si>
  <si>
    <t>11Y589245580AC5</t>
  </si>
  <si>
    <t>11Y589043308AC5</t>
  </si>
  <si>
    <t>11Y589043278AC5</t>
  </si>
  <si>
    <t>11Y589043324AC5</t>
  </si>
  <si>
    <t>11Y589043332AC5</t>
  </si>
  <si>
    <t>11Y589241088AC5</t>
  </si>
  <si>
    <t>11Y589043340AC5</t>
  </si>
  <si>
    <t>11Y589043316AC5</t>
  </si>
  <si>
    <t>11Y589043367AC5</t>
  </si>
  <si>
    <t>11Y589043375AC5</t>
  </si>
  <si>
    <t>11Y589238338AC5</t>
  </si>
  <si>
    <t>11Y589043383AC5</t>
  </si>
  <si>
    <t>11Y589043359AC5</t>
  </si>
  <si>
    <t>G/I/25-26/01129</t>
  </si>
  <si>
    <t>G/I/25-26/01130</t>
  </si>
  <si>
    <t>G/I/25-26/01131</t>
  </si>
  <si>
    <t>G/I/25-26/01132</t>
  </si>
  <si>
    <t>G/I/25-26/01133</t>
  </si>
  <si>
    <t>G/I/25-26/01134</t>
  </si>
  <si>
    <t>G/I/25-26/01135</t>
  </si>
  <si>
    <t>G/I/25-26/01136</t>
  </si>
  <si>
    <t>G/I/25-26/01137</t>
  </si>
  <si>
    <t>G/I/25-26/01138</t>
  </si>
  <si>
    <t>Gate Entry Done</t>
  </si>
  <si>
    <t>SRV done</t>
  </si>
  <si>
    <t>Gate Entry &amp; SRV pending</t>
  </si>
  <si>
    <t>GJ01KT7585</t>
  </si>
  <si>
    <t>12Y589722957AC5</t>
  </si>
  <si>
    <t>12Y589722965AC5</t>
  </si>
  <si>
    <t>12Y589857623AC5</t>
  </si>
  <si>
    <t>12Y589722973AC5</t>
  </si>
  <si>
    <t>12Y589722949AC5</t>
  </si>
  <si>
    <t>12Y589722990AC5</t>
  </si>
  <si>
    <t>12Y589723007AC5</t>
  </si>
  <si>
    <t>12Y589856830AC5</t>
  </si>
  <si>
    <t>12Y589723015AC5</t>
  </si>
  <si>
    <t>12Y589722981AC5</t>
  </si>
  <si>
    <t>12Y589723031AC5</t>
  </si>
  <si>
    <t>12Y589723040AC5</t>
  </si>
  <si>
    <t>12Y589723058AC5</t>
  </si>
  <si>
    <t>12Y589723023AC5</t>
  </si>
  <si>
    <t>12Y589723074AC5</t>
  </si>
  <si>
    <t>12Y589723082AC5</t>
  </si>
  <si>
    <t>12Y589860349AC5</t>
  </si>
  <si>
    <t>12Y589723090AC5</t>
  </si>
  <si>
    <t>12Y589723066AC5</t>
  </si>
  <si>
    <t>12Y589723112AC5</t>
  </si>
  <si>
    <t>12Y589723120AC5</t>
  </si>
  <si>
    <t>12Y589858425AC5</t>
  </si>
  <si>
    <t>12Y589723139AC5</t>
  </si>
  <si>
    <t>12Y589723104AC5</t>
  </si>
  <si>
    <t>12Y589723155AC5</t>
  </si>
  <si>
    <t>12Y589723163AC5</t>
  </si>
  <si>
    <t>12Y589723171AC5</t>
  </si>
  <si>
    <t>12Y589723147AC5</t>
  </si>
  <si>
    <t>12Y589723198AC5</t>
  </si>
  <si>
    <t>12Y589723201AC5</t>
  </si>
  <si>
    <t>12Y589857461AC5</t>
  </si>
  <si>
    <t>12Y589723210AC5</t>
  </si>
  <si>
    <t>12Y589723180AC5</t>
  </si>
  <si>
    <t>12Y589723236AC5</t>
  </si>
  <si>
    <t>12Y589723244AC5</t>
  </si>
  <si>
    <t>12Y589858158AC5</t>
  </si>
  <si>
    <t>12Y589723252AC5</t>
  </si>
  <si>
    <t>12Y589723228AC5</t>
  </si>
  <si>
    <t>12Y589723279AC5</t>
  </si>
  <si>
    <t>12Y589723287AC5</t>
  </si>
  <si>
    <t>12Y589859626AC5</t>
  </si>
  <si>
    <t>12Y589723295AC5</t>
  </si>
  <si>
    <t>12Y589723260AC5</t>
  </si>
  <si>
    <t>G/I/25-26/01139</t>
  </si>
  <si>
    <t>G/I/25-26/01140</t>
  </si>
  <si>
    <t>G/I/25-26/01141</t>
  </si>
  <si>
    <t>G/I/25-26/01142</t>
  </si>
  <si>
    <t>G/I/25-26/01143</t>
  </si>
  <si>
    <t>G/I/25-26/01144</t>
  </si>
  <si>
    <t>G/I/25-26/01145</t>
  </si>
  <si>
    <t>G/I/25-26/01146</t>
  </si>
  <si>
    <t>G/I/25-26/01147</t>
  </si>
  <si>
    <t>G/I/25-26/01148</t>
  </si>
  <si>
    <t>12504Q100216</t>
  </si>
  <si>
    <t>AN0250008334-4 Qty. / AN0250008573-14 Qty.</t>
  </si>
  <si>
    <t>12504Q100173- 1 Qty. / 12504Q100216-6 Qty.</t>
  </si>
  <si>
    <t xml:space="preserve"> AN0250008573</t>
  </si>
  <si>
    <t>AN0250008334 - 6 Qty. / AN0250008573- 30 Qty.</t>
  </si>
  <si>
    <t>12504Q100271</t>
  </si>
  <si>
    <t>12504Q100241- 10 Qty. / 12504Q100271-1 Qty.</t>
  </si>
  <si>
    <t>910101143 -28 Qty. / 910101603-52 Qty.</t>
  </si>
  <si>
    <t>910102507 - 2 Qty. / 910102384 - 38 Qty.</t>
  </si>
  <si>
    <t>12505Q100064</t>
  </si>
  <si>
    <t>13Y590421140AC5</t>
  </si>
  <si>
    <t>13Y590421159AC5</t>
  </si>
  <si>
    <t>13Y590425812AC5</t>
  </si>
  <si>
    <t>13Y590421132AC5</t>
  </si>
  <si>
    <t>13Y590425839AC5</t>
  </si>
  <si>
    <t>13Y590425847AC5</t>
  </si>
  <si>
    <t>13Y590425855AC5</t>
  </si>
  <si>
    <t>13Y590425820AC5</t>
  </si>
  <si>
    <t>13Y590425871AC5</t>
  </si>
  <si>
    <t>13Y590425880AC5</t>
  </si>
  <si>
    <t>13Y590477049AC5</t>
  </si>
  <si>
    <t>13Y590425898AC5</t>
  </si>
  <si>
    <t>13Y590425863AC5</t>
  </si>
  <si>
    <t>13Y590425910AC5</t>
  </si>
  <si>
    <t>13Y590425928AC5</t>
  </si>
  <si>
    <t>13Y590476565AC5</t>
  </si>
  <si>
    <t>13Y590425936AC5</t>
  </si>
  <si>
    <t>13Y590425901AC5</t>
  </si>
  <si>
    <t>13Y590425952AC5</t>
  </si>
  <si>
    <t>13Y590425960AC5</t>
  </si>
  <si>
    <t>13Y590471970AC5</t>
  </si>
  <si>
    <t>13Y590425979AC5</t>
  </si>
  <si>
    <t>13Y590425944AC5</t>
  </si>
  <si>
    <t>13Y590425995AC5</t>
  </si>
  <si>
    <t>13Y590426002AC5</t>
  </si>
  <si>
    <t>13Y590426010AC5</t>
  </si>
  <si>
    <t>13Y590425987AC5</t>
  </si>
  <si>
    <t>13Y590426037AC5</t>
  </si>
  <si>
    <t>13Y590426045AC5</t>
  </si>
  <si>
    <t>13Y590473736AC5</t>
  </si>
  <si>
    <t>13Y590426053AC5</t>
  </si>
  <si>
    <t>13Y590426029AC5</t>
  </si>
  <si>
    <t>13Y590426070AC5</t>
  </si>
  <si>
    <t>13Y590426088AC5</t>
  </si>
  <si>
    <t>13Y590471946AC5</t>
  </si>
  <si>
    <t>13Y590426096AC5</t>
  </si>
  <si>
    <t>13Y590426061AC5</t>
  </si>
  <si>
    <t>13Y590426118AC5</t>
  </si>
  <si>
    <t>13Y590426126AC5</t>
  </si>
  <si>
    <t>13Y590475542AC5</t>
  </si>
  <si>
    <t>13Y590426134AC5</t>
  </si>
  <si>
    <t>13Y590426100AC5</t>
  </si>
  <si>
    <t>G/I/25-26/01150</t>
  </si>
  <si>
    <t>G/I/25-26/01151</t>
  </si>
  <si>
    <t>G/I/25-26/01152</t>
  </si>
  <si>
    <t>G/I/25-26/01153</t>
  </si>
  <si>
    <t>G/I/25-26/01154</t>
  </si>
  <si>
    <t>G/I/25-26/01155</t>
  </si>
  <si>
    <t>G/I/25-26/01156</t>
  </si>
  <si>
    <t>G/I/25-26/01157</t>
  </si>
  <si>
    <t>G/I/25-26/01158</t>
  </si>
  <si>
    <t>G/I/25-26/01159</t>
  </si>
  <si>
    <t>13Y590481968AC5</t>
  </si>
  <si>
    <t>13Y590481100AC5</t>
  </si>
  <si>
    <t>13Y590482972AC5</t>
  </si>
  <si>
    <t>13Y590478584AC5</t>
  </si>
  <si>
    <t>13Y590482930AC5</t>
  </si>
  <si>
    <t>13Y590479637AC5</t>
  </si>
  <si>
    <t>13Y590478550AC5</t>
  </si>
  <si>
    <t>13Y590482050AC5</t>
  </si>
  <si>
    <t>G/I/25-26/01160</t>
  </si>
  <si>
    <t>G/I/25-26/01161</t>
  </si>
  <si>
    <t>Original DI Date</t>
  </si>
  <si>
    <t>Revised DI Date</t>
  </si>
  <si>
    <t>Vendor Code</t>
  </si>
  <si>
    <t>Part Number</t>
  </si>
  <si>
    <t>Scheduled Quantity</t>
  </si>
  <si>
    <t>Recieved Quantity</t>
  </si>
  <si>
    <t>Location</t>
  </si>
  <si>
    <t>DI Number</t>
  </si>
  <si>
    <t>Attention</t>
  </si>
  <si>
    <t>Price Change Flag</t>
  </si>
  <si>
    <t>Latest Batch Code</t>
  </si>
  <si>
    <t>Price</t>
  </si>
  <si>
    <t>Sales Id</t>
  </si>
  <si>
    <t>Sales No</t>
  </si>
  <si>
    <t>Price Revision List</t>
  </si>
  <si>
    <t>X539</t>
  </si>
  <si>
    <t>LR444323759AC5</t>
  </si>
  <si>
    <t>*</t>
  </si>
  <si>
    <t>LR444323789AC5</t>
  </si>
  <si>
    <t>Qty,</t>
  </si>
  <si>
    <t>13Y590484800AC5</t>
  </si>
  <si>
    <t>14Y590959345AC5</t>
  </si>
  <si>
    <t>14Y590959353AC5</t>
  </si>
  <si>
    <t>14Y590959361AC5</t>
  </si>
  <si>
    <t>14Y590959370AC5</t>
  </si>
  <si>
    <t>13Y590484428AC5</t>
  </si>
  <si>
    <t>14Y590959388AC5</t>
  </si>
  <si>
    <t>14Y590959396AC5</t>
  </si>
  <si>
    <t>14Y590959400AC5</t>
  </si>
  <si>
    <t>14Y590959418AC5</t>
  </si>
  <si>
    <t>13Y590485408AC5</t>
  </si>
  <si>
    <t>14Y590959426AC5</t>
  </si>
  <si>
    <t>14Y590959434AC5</t>
  </si>
  <si>
    <t>14Y590959442AC5</t>
  </si>
  <si>
    <t>14Y590959450AC5</t>
  </si>
  <si>
    <t>13Y590485610AC5</t>
  </si>
  <si>
    <t>14Y590959477AC5</t>
  </si>
  <si>
    <t>14Y591100453AC5</t>
  </si>
  <si>
    <t>14Y590959485AC5</t>
  </si>
  <si>
    <t>14Y590959493AC5</t>
  </si>
  <si>
    <t>14Y590959469AC5</t>
  </si>
  <si>
    <t>13Y590485904AC5</t>
  </si>
  <si>
    <t>14Y590959515AC5</t>
  </si>
  <si>
    <t>14Y591106273AC5</t>
  </si>
  <si>
    <t>14Y590959523AC5</t>
  </si>
  <si>
    <t>14Y590959531AC5</t>
  </si>
  <si>
    <t>14Y590959507AC5</t>
  </si>
  <si>
    <t>14Y590959558AC5</t>
  </si>
  <si>
    <t>14Y590959566AC5</t>
  </si>
  <si>
    <t>14Y590959574AC5</t>
  </si>
  <si>
    <t>14Y590959540AC5</t>
  </si>
  <si>
    <t>13Y590486250AC5</t>
  </si>
  <si>
    <t>14Y590959590AC5</t>
  </si>
  <si>
    <t>14Y590959604AC5</t>
  </si>
  <si>
    <t>14Y590959612AC5</t>
  </si>
  <si>
    <t>14Y590959582AC5</t>
  </si>
  <si>
    <t>13Y590485882AC5</t>
  </si>
  <si>
    <t>14Y590959639AC5</t>
  </si>
  <si>
    <t>14Y591103533AC5</t>
  </si>
  <si>
    <t>14Y590959647AC5</t>
  </si>
  <si>
    <t>14Y590959655AC5</t>
  </si>
  <si>
    <t>14Y590959620AC5</t>
  </si>
  <si>
    <t>13Y590484983AC5</t>
  </si>
  <si>
    <t>14Y590959671AC5</t>
  </si>
  <si>
    <t>14Y591105757AC5</t>
  </si>
  <si>
    <t>14Y590959680AC5</t>
  </si>
  <si>
    <t>14Y590959698AC5</t>
  </si>
  <si>
    <t>14Y590959663AC5</t>
  </si>
  <si>
    <t>G/I/25-26/01162</t>
  </si>
  <si>
    <t xml:space="preserve"> DI Date</t>
  </si>
  <si>
    <t>910102507- 26 Qty. / 910102649-14 Qty.</t>
  </si>
  <si>
    <t>G/I/25-26/01164</t>
  </si>
  <si>
    <t>G/I/25-26/01165</t>
  </si>
  <si>
    <t>G/I/25-26/01166</t>
  </si>
  <si>
    <t>G/I/25-26/01167</t>
  </si>
  <si>
    <t>G/I/25-26/01168</t>
  </si>
  <si>
    <t>G/I/25-26/01169</t>
  </si>
  <si>
    <t>G/I/25-26/01170</t>
  </si>
  <si>
    <t>G/I/25-26/01171</t>
  </si>
  <si>
    <t>For</t>
  </si>
  <si>
    <t>SPARES</t>
  </si>
  <si>
    <t>WAD</t>
  </si>
  <si>
    <t>L25443884733</t>
  </si>
  <si>
    <t>N</t>
  </si>
  <si>
    <t>AA</t>
  </si>
  <si>
    <t>Item Price Revision List</t>
  </si>
  <si>
    <t>L25443885233</t>
  </si>
  <si>
    <t>55930M58U00</t>
  </si>
  <si>
    <t>L25443885343</t>
  </si>
  <si>
    <t>55960M58U00</t>
  </si>
  <si>
    <t>L25443885353</t>
  </si>
  <si>
    <t>55810M58U20</t>
  </si>
  <si>
    <t>K25441082763</t>
  </si>
  <si>
    <t>55910M58U10</t>
  </si>
  <si>
    <t>K25441082783</t>
  </si>
  <si>
    <t>Download : X53920251113Spares.txt</t>
  </si>
  <si>
    <t>G/I/25-26/01163</t>
  </si>
  <si>
    <t>G/I/25-26/01172</t>
  </si>
  <si>
    <t>GJ01KT6537</t>
  </si>
  <si>
    <t>15Y591646502AC5</t>
  </si>
  <si>
    <t>15Y591646510AC5</t>
  </si>
  <si>
    <t>15Y591646529AC5</t>
  </si>
  <si>
    <t>15Y591646499AC5</t>
  </si>
  <si>
    <t>15Y591646545AC5</t>
  </si>
  <si>
    <t>15Y591646553AC5</t>
  </si>
  <si>
    <t>15Y591646561AC5</t>
  </si>
  <si>
    <t>15Y591646537AC5</t>
  </si>
  <si>
    <t>15Y591646570AC5</t>
  </si>
  <si>
    <t>15Y591646588AC5</t>
  </si>
  <si>
    <t>15Y591646596AC5</t>
  </si>
  <si>
    <t>15Y591646600AC5</t>
  </si>
  <si>
    <t>15Y591646626AC5</t>
  </si>
  <si>
    <t>15Y591730210AC5</t>
  </si>
  <si>
    <t>15Y591646634AC5</t>
  </si>
  <si>
    <t>15Y591646669AC5</t>
  </si>
  <si>
    <t>15Y591733081AC5</t>
  </si>
  <si>
    <t>15Y591646677AC5</t>
  </si>
  <si>
    <t>15Y591646685AC5</t>
  </si>
  <si>
    <t>15Y591728614AC5</t>
  </si>
  <si>
    <t>15Y591646740AC5</t>
  </si>
  <si>
    <t>15Y591728169AC5</t>
  </si>
  <si>
    <t>15Y591646758AC5</t>
  </si>
  <si>
    <t>15Y591646766AC5</t>
  </si>
  <si>
    <t>15Y591646731AC5</t>
  </si>
  <si>
    <t>15Y591646782AC5</t>
  </si>
  <si>
    <t>15Y591729610AC5</t>
  </si>
  <si>
    <t>15Y591646790AC5</t>
  </si>
  <si>
    <t>15Y591646804AC5</t>
  </si>
  <si>
    <t>15Y591646774AC5</t>
  </si>
  <si>
    <t>15Y591646820AC5</t>
  </si>
  <si>
    <t>15Y591728800AC5</t>
  </si>
  <si>
    <t>15Y591646839AC5</t>
  </si>
  <si>
    <t>15Y591646847AC5</t>
  </si>
  <si>
    <t>15Y591646812AC5</t>
  </si>
  <si>
    <t xml:space="preserve"> AN0250008670</t>
  </si>
  <si>
    <t>910101603-10 Qty. / 910101985-30 Qty.</t>
  </si>
  <si>
    <t>G/I/25-26/01173</t>
  </si>
  <si>
    <t>G/I/25-26/01174</t>
  </si>
  <si>
    <t>G/I/25-26/01175</t>
  </si>
  <si>
    <t>G/I/25-26/01176</t>
  </si>
  <si>
    <t>G/I/25-26/01177</t>
  </si>
  <si>
    <t>G/I/25-26/01178</t>
  </si>
  <si>
    <t>G/I/25-26/01179</t>
  </si>
  <si>
    <t>G/I/25-26/01180</t>
  </si>
  <si>
    <t>910102649-12 Qty./910102786-28 Qty.</t>
  </si>
  <si>
    <t>910101985-11 Qty. / 910101603 -29 Qty.</t>
  </si>
  <si>
    <t>17Y592327729AC5</t>
  </si>
  <si>
    <t>17Y592343988AC5</t>
  </si>
  <si>
    <t>17Y592331602AC5</t>
  </si>
  <si>
    <t>17Y592331610AC5</t>
  </si>
  <si>
    <t>17Y592327710AC5</t>
  </si>
  <si>
    <t>17Y592331637AC5</t>
  </si>
  <si>
    <t>17Y592340997AC5</t>
  </si>
  <si>
    <t>17Y592331645AC5</t>
  </si>
  <si>
    <t>17Y592331653AC5</t>
  </si>
  <si>
    <t>17Y592331629AC5</t>
  </si>
  <si>
    <t>17Y592331670AC5</t>
  </si>
  <si>
    <t>17Y592345093AC5</t>
  </si>
  <si>
    <t>17Y592331688AC5</t>
  </si>
  <si>
    <t>17Y592331696AC5</t>
  </si>
  <si>
    <t>17Y592331661AC5</t>
  </si>
  <si>
    <t>17Y592331718AC5</t>
  </si>
  <si>
    <t>17Y592342647AC5</t>
  </si>
  <si>
    <t>17Y592331726AC5</t>
  </si>
  <si>
    <t>17Y592331734AC5</t>
  </si>
  <si>
    <t>17Y592331700AC5</t>
  </si>
  <si>
    <t>17Y592331750AC5</t>
  </si>
  <si>
    <t>17Y592342434AC5</t>
  </si>
  <si>
    <t>17Y592331769AC5</t>
  </si>
  <si>
    <t>17Y592331777AC5</t>
  </si>
  <si>
    <t>17Y592331742AC5</t>
  </si>
  <si>
    <t>17Y592331785AC5</t>
  </si>
  <si>
    <t>17Y592331793AC5</t>
  </si>
  <si>
    <t>17Y592331807AC5</t>
  </si>
  <si>
    <t>17Y592331815AC5</t>
  </si>
  <si>
    <t>17Y592331831AC5</t>
  </si>
  <si>
    <t>17Y592348602AC5</t>
  </si>
  <si>
    <t>17Y592331840AC5</t>
  </si>
  <si>
    <t>17Y592331858AC5</t>
  </si>
  <si>
    <t>17Y592331823AC5</t>
  </si>
  <si>
    <t>17Y592331874AC5</t>
  </si>
  <si>
    <t>17Y592346391AC5</t>
  </si>
  <si>
    <t>17Y592331882AC5</t>
  </si>
  <si>
    <t>17Y592331890AC5</t>
  </si>
  <si>
    <t>17Y592331866AC5</t>
  </si>
  <si>
    <t>17Y592331912AC5</t>
  </si>
  <si>
    <t>17Y592343880AC5</t>
  </si>
  <si>
    <t>17Y592331920AC5</t>
  </si>
  <si>
    <t>17Y592331939AC5</t>
  </si>
  <si>
    <t>17Y592331904AC5</t>
  </si>
  <si>
    <t>G/I/25-26/01181</t>
  </si>
  <si>
    <t>G/I/25-26/01182</t>
  </si>
  <si>
    <t>G/I/25-26/01183</t>
  </si>
  <si>
    <t>G/I/25-26/01184</t>
  </si>
  <si>
    <t>G/I/25-26/01185</t>
  </si>
  <si>
    <t>G/I/25-26/01186</t>
  </si>
  <si>
    <t>G/I/25-26/01187</t>
  </si>
  <si>
    <t>G/I/25-26/01188</t>
  </si>
  <si>
    <t>L25443246083</t>
  </si>
  <si>
    <t>55920M58U00</t>
  </si>
  <si>
    <t>L25444342043</t>
  </si>
  <si>
    <t>Download : X53920251117Spares.txt</t>
  </si>
  <si>
    <t>GJ01KT8458</t>
  </si>
  <si>
    <t>18Y592782841AC5</t>
  </si>
  <si>
    <t>18Y592966810AC5</t>
  </si>
  <si>
    <t>18Y592782850AC5</t>
  </si>
  <si>
    <t>18Y592782868AC5</t>
  </si>
  <si>
    <t>18Y592782876AC5</t>
  </si>
  <si>
    <t>18Y592782884AC5</t>
  </si>
  <si>
    <t>18Y592967671AC5</t>
  </si>
  <si>
    <t>18Y592782892AC5</t>
  </si>
  <si>
    <t>18Y592782906AC5</t>
  </si>
  <si>
    <t>18Y592782914AC5</t>
  </si>
  <si>
    <t>18Y592782922AC5</t>
  </si>
  <si>
    <t>18Y592971601AC5</t>
  </si>
  <si>
    <t>18Y592782930AC5</t>
  </si>
  <si>
    <t>18Y592782949AC5</t>
  </si>
  <si>
    <t>18Y592782957AC5</t>
  </si>
  <si>
    <t>18Y592782973AC5</t>
  </si>
  <si>
    <t>18Y592968953AC5</t>
  </si>
  <si>
    <t>18Y592782981AC5</t>
  </si>
  <si>
    <t>18Y592782990AC5</t>
  </si>
  <si>
    <t>18Y592782965AC5</t>
  </si>
  <si>
    <t>18Y592783015AC5</t>
  </si>
  <si>
    <t>18Y592970451AC5</t>
  </si>
  <si>
    <t>18Y592783023AC5</t>
  </si>
  <si>
    <t>18Y592783031AC5</t>
  </si>
  <si>
    <t>18Y592783007AC5</t>
  </si>
  <si>
    <t>18Y592783058AC5</t>
  </si>
  <si>
    <t>18Y592967345AC5</t>
  </si>
  <si>
    <t>18Y592783066AC5</t>
  </si>
  <si>
    <t>18Y592783074AC5</t>
  </si>
  <si>
    <t>18Y592783040AC5</t>
  </si>
  <si>
    <t>18Y592783090AC5</t>
  </si>
  <si>
    <t>18Y592970095AC5</t>
  </si>
  <si>
    <t>18Y592794602AC5</t>
  </si>
  <si>
    <t>18Y592794610AC5</t>
  </si>
  <si>
    <t>18Y592783082AC5</t>
  </si>
  <si>
    <t>18Y592794637AC5</t>
  </si>
  <si>
    <t>18Y592966500AC5</t>
  </si>
  <si>
    <t>18Y592794645AC5</t>
  </si>
  <si>
    <t>18Y592794653AC5</t>
  </si>
  <si>
    <t>18Y592794629AC5</t>
  </si>
  <si>
    <t>18Y592794670AC5</t>
  </si>
  <si>
    <t>18Y592970125AC5</t>
  </si>
  <si>
    <t>18Y592794688AC5</t>
  </si>
  <si>
    <t>18Y592794696AC5</t>
  </si>
  <si>
    <t>18Y592794661AC5</t>
  </si>
  <si>
    <t>G/I/25-26/01190</t>
  </si>
  <si>
    <t>G/I/25-26/01191</t>
  </si>
  <si>
    <t>G/I/25-26/01192</t>
  </si>
  <si>
    <t>G/I/25-26/01193</t>
  </si>
  <si>
    <t>G/I/25-26/01194</t>
  </si>
  <si>
    <t>G/I/25-26/01195</t>
  </si>
  <si>
    <t xml:space="preserve"> AN0250008785</t>
  </si>
  <si>
    <t>910101603-35 Qty. / 910101985-5 Qty.</t>
  </si>
  <si>
    <t>12505Q100022</t>
  </si>
  <si>
    <t xml:space="preserve"> AN0250008670-10 Qty. /  AN0250008785-8 Qty.</t>
  </si>
  <si>
    <t>910102786-17 Qty./ 910102649-23 Qty.</t>
  </si>
  <si>
    <t xml:space="preserve"> AN0250008670-29 Qty. /  AN0250008785-7 Qty.</t>
  </si>
  <si>
    <t>910102786-37 Qty./ 910102649-3 Qty.</t>
  </si>
  <si>
    <t>12505Q100022-3 Qty./ 12505Q100188-3 Qty.</t>
  </si>
  <si>
    <t>19Y593444222AC5</t>
  </si>
  <si>
    <t>19Y593576960AC5</t>
  </si>
  <si>
    <t>19Y593444230AC5</t>
  </si>
  <si>
    <t>19Y593444249AC5</t>
  </si>
  <si>
    <t>19Y593444257AC5</t>
  </si>
  <si>
    <t>19Y593444265AC5</t>
  </si>
  <si>
    <t>19Y593582072AC5</t>
  </si>
  <si>
    <t>19Y593444273AC5</t>
  </si>
  <si>
    <t>19Y593444281AC5</t>
  </si>
  <si>
    <t>19Y593444290AC5</t>
  </si>
  <si>
    <t>19Y593444303AC5</t>
  </si>
  <si>
    <t>19Y593579101AC5</t>
  </si>
  <si>
    <t>19Y593444311AC5</t>
  </si>
  <si>
    <t>19Y593444320AC5</t>
  </si>
  <si>
    <t>19Y593444346AC5</t>
  </si>
  <si>
    <t>19Y593578385AC5</t>
  </si>
  <si>
    <t>19Y593444354AC5</t>
  </si>
  <si>
    <t>19Y593444362AC5</t>
  </si>
  <si>
    <t>19Y593444338AC5</t>
  </si>
  <si>
    <t>19Y593444389AC5</t>
  </si>
  <si>
    <t>19Y593583346AC5</t>
  </si>
  <si>
    <t>19Y593444397AC5</t>
  </si>
  <si>
    <t>19Y593444400AC5</t>
  </si>
  <si>
    <t>19Y593444370AC5</t>
  </si>
  <si>
    <t>19Y593444419AC5</t>
  </si>
  <si>
    <t>19Y593582005AC5</t>
  </si>
  <si>
    <t>19Y593444427AC5</t>
  </si>
  <si>
    <t>19Y593444435AC5</t>
  </si>
  <si>
    <t>19Y593444451AC5</t>
  </si>
  <si>
    <t>19Y593579543AC5</t>
  </si>
  <si>
    <t>19Y593444460AC5</t>
  </si>
  <si>
    <t>19Y593444478AC5</t>
  </si>
  <si>
    <t>19Y593444443AC5</t>
  </si>
  <si>
    <t>19Y593444494AC5</t>
  </si>
  <si>
    <t>19Y593578822AC5</t>
  </si>
  <si>
    <t>19Y593444508AC5</t>
  </si>
  <si>
    <t>19Y593444516AC5</t>
  </si>
  <si>
    <t>19Y593444486AC5</t>
  </si>
  <si>
    <t>19Y593444532AC5</t>
  </si>
  <si>
    <t>19Y593579756AC5</t>
  </si>
  <si>
    <t>19Y593444540AC5</t>
  </si>
  <si>
    <t>19Y593444559AC5</t>
  </si>
  <si>
    <t>19Y593444524AC5</t>
  </si>
  <si>
    <t>G/I/25-26/01198</t>
  </si>
  <si>
    <t>G/I/25-26/01199</t>
  </si>
  <si>
    <t>G/I/25-26/01200</t>
  </si>
  <si>
    <t>G/I/25-26/01201</t>
  </si>
  <si>
    <t>G/I/25-26/01202</t>
  </si>
  <si>
    <t>G/I/25-26/01203</t>
  </si>
  <si>
    <t>G/I/25-26/01204</t>
  </si>
  <si>
    <t>G/I/25-26/01205</t>
  </si>
  <si>
    <t>G/I/25-26/01206</t>
  </si>
  <si>
    <t>G/I/25-26/01207</t>
  </si>
  <si>
    <t>G/I/25-26/01208</t>
  </si>
  <si>
    <t>G/I/25-26/01189</t>
  </si>
  <si>
    <t>20Y594092125AC5</t>
  </si>
  <si>
    <t>20Y594092133AC5</t>
  </si>
  <si>
    <t>20Y594092141AC5</t>
  </si>
  <si>
    <t>20Y594092150AC5</t>
  </si>
  <si>
    <t>20Y594092168AC5</t>
  </si>
  <si>
    <t>20Y594092176AC5</t>
  </si>
  <si>
    <t>20Y594092184AC5</t>
  </si>
  <si>
    <t>20Y594092192AC5</t>
  </si>
  <si>
    <t>20Y594092206AC5</t>
  </si>
  <si>
    <t>20Y594092214AC5</t>
  </si>
  <si>
    <t>20Y594092222AC5</t>
  </si>
  <si>
    <t>20Y594092230AC5</t>
  </si>
  <si>
    <t>20Y594092257AC5</t>
  </si>
  <si>
    <t>20Y594092265AC5</t>
  </si>
  <si>
    <t>20Y594092273AC5</t>
  </si>
  <si>
    <t>20Y594092249AC5</t>
  </si>
  <si>
    <t>20Y594092290AC5</t>
  </si>
  <si>
    <t>20Y594103909AC5</t>
  </si>
  <si>
    <t>20Y594103917AC5</t>
  </si>
  <si>
    <t>20Y594092281AC5</t>
  </si>
  <si>
    <t>20Y594103933AC5</t>
  </si>
  <si>
    <t>20Y594103941AC5</t>
  </si>
  <si>
    <t>20Y594103950AC5</t>
  </si>
  <si>
    <t>20Y594103925AC5</t>
  </si>
  <si>
    <t>20Y594103976AC5</t>
  </si>
  <si>
    <t>20Y594200467AC5</t>
  </si>
  <si>
    <t>20Y594103984AC5</t>
  </si>
  <si>
    <t>20Y594103992AC5</t>
  </si>
  <si>
    <t>20Y594103968AC5</t>
  </si>
  <si>
    <t>20Y594104018AC5</t>
  </si>
  <si>
    <t>20Y594104026AC5</t>
  </si>
  <si>
    <t>20Y594104034AC5</t>
  </si>
  <si>
    <t>20Y594104000AC5</t>
  </si>
  <si>
    <t>20Y594104050AC5</t>
  </si>
  <si>
    <t>20Y594203890AC5</t>
  </si>
  <si>
    <t>20Y594104069AC5</t>
  </si>
  <si>
    <t>20Y594104077AC5</t>
  </si>
  <si>
    <t>20Y594104042AC5</t>
  </si>
  <si>
    <t>G/I/25-26/01196</t>
  </si>
  <si>
    <t>G/I/25-26/01209</t>
  </si>
  <si>
    <t>G/I/25-26/01210</t>
  </si>
  <si>
    <t>G/I/25-26/01211</t>
  </si>
  <si>
    <t>G/I/25-26/01212</t>
  </si>
  <si>
    <t>G/I/25-26/01213</t>
  </si>
  <si>
    <t>G/I/25-26/01214</t>
  </si>
  <si>
    <t>G/I/25-26/01215</t>
  </si>
  <si>
    <t xml:space="preserve"> AN0250008785-2 Qty./  AN0250008774-16</t>
  </si>
  <si>
    <t>12507Q100188</t>
  </si>
  <si>
    <t>12504Q100188</t>
  </si>
  <si>
    <t>AN0250008774</t>
  </si>
  <si>
    <t>AN0250008774 -15 Qty./  AN0250008670-3 Qty.</t>
  </si>
  <si>
    <t>12507Q100188-23 Qty. / 12507Q100244 -1 Qty.</t>
  </si>
  <si>
    <t xml:space="preserve"> 12507Q100244</t>
  </si>
  <si>
    <t>AN0250008670</t>
  </si>
  <si>
    <t>910102786-10 Qty./ 910102863-30 Qty.</t>
  </si>
  <si>
    <t>12504Q100229</t>
  </si>
  <si>
    <t>12504Q100271- 12 Qty. / 12504Q100229-2 Qty.</t>
  </si>
  <si>
    <t>21Y594632359AC5</t>
  </si>
  <si>
    <t>21Y594824347AC5</t>
  </si>
  <si>
    <t>21Y594632367AC5</t>
  </si>
  <si>
    <t>21Y594632375AC5</t>
  </si>
  <si>
    <t>21Y594632340AC5</t>
  </si>
  <si>
    <t>21Y594632391AC5</t>
  </si>
  <si>
    <t>21Y594818134AC5</t>
  </si>
  <si>
    <t>21Y594632405AC5</t>
  </si>
  <si>
    <t>21Y594632413AC5</t>
  </si>
  <si>
    <t>21Y594632383AC5</t>
  </si>
  <si>
    <t>21Y594632430AC5</t>
  </si>
  <si>
    <t>21Y594829470AC5</t>
  </si>
  <si>
    <t>21Y594632448AC5</t>
  </si>
  <si>
    <t>21Y594632456AC5</t>
  </si>
  <si>
    <t>21Y594632421AC5</t>
  </si>
  <si>
    <t>21Y594632472AC5</t>
  </si>
  <si>
    <t>21Y594818711AC5</t>
  </si>
  <si>
    <t>21Y594632480AC5</t>
  </si>
  <si>
    <t>21Y594632499AC5</t>
  </si>
  <si>
    <t>21Y594632464AC5</t>
  </si>
  <si>
    <t>21Y594632510AC5</t>
  </si>
  <si>
    <t>21Y594821003AC5</t>
  </si>
  <si>
    <t>21Y594632529AC5</t>
  </si>
  <si>
    <t>21Y594632537AC5</t>
  </si>
  <si>
    <t>21Y594632502AC5</t>
  </si>
  <si>
    <t>21Y594632553AC5</t>
  </si>
  <si>
    <t>21Y594637202AC5</t>
  </si>
  <si>
    <t>21Y594637210AC5</t>
  </si>
  <si>
    <t>21Y594632545AC5</t>
  </si>
  <si>
    <t>21Y594637237AC5</t>
  </si>
  <si>
    <t>21Y594819157AC5</t>
  </si>
  <si>
    <t>21Y594637245AC5</t>
  </si>
  <si>
    <t>21Y594637253AC5</t>
  </si>
  <si>
    <t>21Y594637229AC5</t>
  </si>
  <si>
    <t>21Y594637270AC5</t>
  </si>
  <si>
    <t>21Y594818568AC5</t>
  </si>
  <si>
    <t>21Y594637288AC5</t>
  </si>
  <si>
    <t>21Y594637296AC5</t>
  </si>
  <si>
    <t>21Y594637261AC5</t>
  </si>
  <si>
    <t>21Y594637318AC5</t>
  </si>
  <si>
    <t>21Y594817430AC5</t>
  </si>
  <si>
    <t>21Y594637326AC5</t>
  </si>
  <si>
    <t>21Y594637334AC5</t>
  </si>
  <si>
    <t>21Y594637300AC5</t>
  </si>
  <si>
    <t>Download : X539_eNagare_20251120.txt</t>
  </si>
  <si>
    <t>G/I/25-26/01216</t>
  </si>
  <si>
    <t>G/I/25-26/01217</t>
  </si>
  <si>
    <t>G/I/25-26/01218</t>
  </si>
  <si>
    <t>G/I/25-26/01219</t>
  </si>
  <si>
    <t>G/I/25-26/01220</t>
  </si>
  <si>
    <t>G/I/25-26/01221</t>
  </si>
  <si>
    <t>G/I/25-26/01222</t>
  </si>
  <si>
    <t>G/I/25-26/01223</t>
  </si>
  <si>
    <t>G/I/25-26/01224</t>
  </si>
  <si>
    <t>G/I/25-26/01225</t>
  </si>
  <si>
    <t>12505Q100064-12 Qty./ 12505Q100051-18 Qty</t>
  </si>
  <si>
    <t>12508Q100183-4 Qty. / 12507Q100188 - 4 Qty.</t>
  </si>
  <si>
    <t>22Y595263012AC5</t>
  </si>
  <si>
    <t>22Y595451480AC5</t>
  </si>
  <si>
    <t>22Y595263020AC5</t>
  </si>
  <si>
    <t>22Y595263039AC5</t>
  </si>
  <si>
    <t>22Y595263047AC5</t>
  </si>
  <si>
    <t>22Y595449329AC5</t>
  </si>
  <si>
    <t>22Y595263055AC5</t>
  </si>
  <si>
    <t>22Y595263063AC5</t>
  </si>
  <si>
    <t>22Y595263071AC5</t>
  </si>
  <si>
    <t>22Y595452320AC5</t>
  </si>
  <si>
    <t>22Y595263080AC5</t>
  </si>
  <si>
    <t>22Y595263098AC5</t>
  </si>
  <si>
    <t>22Y595263101AC5</t>
  </si>
  <si>
    <t>22Y595263128AC5</t>
  </si>
  <si>
    <t>22Y595446567AC5</t>
  </si>
  <si>
    <t>22Y595263136AC5</t>
  </si>
  <si>
    <t>22Y595263144AC5</t>
  </si>
  <si>
    <t>22Y595263110AC5</t>
  </si>
  <si>
    <t>22Y595263160AC5</t>
  </si>
  <si>
    <t>22Y595445862AC5</t>
  </si>
  <si>
    <t>22Y595263179AC5</t>
  </si>
  <si>
    <t>22Y595263187AC5</t>
  </si>
  <si>
    <t>22Y595263152AC5</t>
  </si>
  <si>
    <t>22Y595263209AC5</t>
  </si>
  <si>
    <t>22Y595446885AC5</t>
  </si>
  <si>
    <t>22Y595263217AC5</t>
  </si>
  <si>
    <t>22Y595263225AC5</t>
  </si>
  <si>
    <t>22Y595263195AC5</t>
  </si>
  <si>
    <t>22Y595263241AC5</t>
  </si>
  <si>
    <t>22Y595452737AC5</t>
  </si>
  <si>
    <t>22Y595263250AC5</t>
  </si>
  <si>
    <t>22Y595263268AC5</t>
  </si>
  <si>
    <t>22Y595263233AC5</t>
  </si>
  <si>
    <t>22Y595263284AC5</t>
  </si>
  <si>
    <t>22Y595448837AC5</t>
  </si>
  <si>
    <t>22Y595263292AC5</t>
  </si>
  <si>
    <t>22Y595263306AC5</t>
  </si>
  <si>
    <t>22Y595263276AC5</t>
  </si>
  <si>
    <t>22Y595263322AC5</t>
  </si>
  <si>
    <t>22Y595449051AC5</t>
  </si>
  <si>
    <t>22Y595263330AC5</t>
  </si>
  <si>
    <t>22Y595263349AC5</t>
  </si>
  <si>
    <t>22Y595263314AC5</t>
  </si>
  <si>
    <t>G/I/25-26/01228</t>
  </si>
  <si>
    <t>G/I/25-26/01229</t>
  </si>
  <si>
    <t>G/I/25-26/01231</t>
  </si>
  <si>
    <t>G/I/25-26/01232</t>
  </si>
  <si>
    <t>G/I/25-26/01233</t>
  </si>
  <si>
    <t>G/I/25-26/01234</t>
  </si>
  <si>
    <t>G/I/25-26/01235</t>
  </si>
  <si>
    <t>G/I/25-26/01236</t>
  </si>
  <si>
    <t>G/I/25-26/01237</t>
  </si>
  <si>
    <t>G/I/25-26/01238</t>
  </si>
  <si>
    <t>24Y595971416AC5</t>
  </si>
  <si>
    <t>24Y595971424AC5</t>
  </si>
  <si>
    <t>24Y595971432AC5</t>
  </si>
  <si>
    <t>24Y595971408AC5</t>
  </si>
  <si>
    <t>24Y595971459AC5</t>
  </si>
  <si>
    <t>24Y595971467AC5</t>
  </si>
  <si>
    <t>24Y595971475AC5</t>
  </si>
  <si>
    <t>24Y595971440AC5</t>
  </si>
  <si>
    <t>24Y595971483AC5</t>
  </si>
  <si>
    <t>24Y595971491AC5</t>
  </si>
  <si>
    <t>24Y595971505AC5</t>
  </si>
  <si>
    <t>24Y595971513AC5</t>
  </si>
  <si>
    <t>24Y595971530AC5</t>
  </si>
  <si>
    <t>24Y596080930AC5</t>
  </si>
  <si>
    <t>24Y595971548AC5</t>
  </si>
  <si>
    <t>24Y595971556AC5</t>
  </si>
  <si>
    <t>24Y595971521AC5</t>
  </si>
  <si>
    <t>24Y595971572AC5</t>
  </si>
  <si>
    <t>24Y596088575AC5</t>
  </si>
  <si>
    <t>24Y595971580AC5</t>
  </si>
  <si>
    <t>24Y595971599AC5</t>
  </si>
  <si>
    <t>24Y595971564AC5</t>
  </si>
  <si>
    <t>24Y595971602AC5</t>
  </si>
  <si>
    <t>24Y595971610AC5</t>
  </si>
  <si>
    <t>24Y595971629AC5</t>
  </si>
  <si>
    <t>24Y595971637AC5</t>
  </si>
  <si>
    <t>24Y595971653AC5</t>
  </si>
  <si>
    <t>24Y595971661AC5</t>
  </si>
  <si>
    <t>24Y595971670AC5</t>
  </si>
  <si>
    <t>24Y595971645AC5</t>
  </si>
  <si>
    <t>24Y595971696AC5</t>
  </si>
  <si>
    <t>24Y596085797AC5</t>
  </si>
  <si>
    <t>24Y595971700AC5</t>
  </si>
  <si>
    <t>24Y595971718AC5</t>
  </si>
  <si>
    <t>24Y595971688AC5</t>
  </si>
  <si>
    <t>24Y595971734AC5</t>
  </si>
  <si>
    <t>24Y595971742AC5</t>
  </si>
  <si>
    <t>24Y595971750AC5</t>
  </si>
  <si>
    <t>24Y595971726AC5</t>
  </si>
  <si>
    <t>Download : X539_eNagare_20251122.txt</t>
  </si>
  <si>
    <t>G/I/25-26/01239</t>
  </si>
  <si>
    <t>G/I/25-26/01240</t>
  </si>
  <si>
    <t>G/I/25-26/01241</t>
  </si>
  <si>
    <t>G/I/25-26/01242</t>
  </si>
  <si>
    <t>G/I/25-26/01243</t>
  </si>
  <si>
    <t>G/I/25-26/01244</t>
  </si>
  <si>
    <t>G/I/25-26/01245</t>
  </si>
  <si>
    <t>G/I/25-26/01246</t>
  </si>
  <si>
    <t>25Y596545160AC5</t>
  </si>
  <si>
    <t>25Y596545178AC5</t>
  </si>
  <si>
    <t>25Y596545186AC5</t>
  </si>
  <si>
    <t>25Y596545151AC5</t>
  </si>
  <si>
    <t>25Y596545208AC5</t>
  </si>
  <si>
    <t>25Y596545216AC5</t>
  </si>
  <si>
    <t>25Y596545224AC5</t>
  </si>
  <si>
    <t>25Y596545194AC5</t>
  </si>
  <si>
    <t>25Y596545240AC5</t>
  </si>
  <si>
    <t>25Y596545259AC5</t>
  </si>
  <si>
    <t>25Y596545267AC5</t>
  </si>
  <si>
    <t>25Y596545232AC5</t>
  </si>
  <si>
    <t>25Y596545283AC5</t>
  </si>
  <si>
    <t>25Y596694505AC5</t>
  </si>
  <si>
    <t>25Y596545291AC5</t>
  </si>
  <si>
    <t>25Y596545305AC5</t>
  </si>
  <si>
    <t>25Y596545275AC5</t>
  </si>
  <si>
    <t>25Y596545321AC5</t>
  </si>
  <si>
    <t>25Y596689927AC5</t>
  </si>
  <si>
    <t>25Y596545330AC5</t>
  </si>
  <si>
    <t>25Y596545348AC5</t>
  </si>
  <si>
    <t>25Y596545313AC5</t>
  </si>
  <si>
    <t>25Y596545356AC5</t>
  </si>
  <si>
    <t>25Y596691824AC5</t>
  </si>
  <si>
    <t>25Y596545364AC5</t>
  </si>
  <si>
    <t>25Y596545372AC5</t>
  </si>
  <si>
    <t>25Y596545399AC5</t>
  </si>
  <si>
    <t>25Y596693665AC5</t>
  </si>
  <si>
    <t>25Y596545402AC5</t>
  </si>
  <si>
    <t>25Y596545410AC5</t>
  </si>
  <si>
    <t>25Y596545380AC5</t>
  </si>
  <si>
    <t>25Y596545437AC5</t>
  </si>
  <si>
    <t>25Y596694270AC5</t>
  </si>
  <si>
    <t>25Y596545445AC5</t>
  </si>
  <si>
    <t>25Y596545453AC5</t>
  </si>
  <si>
    <t>25Y596545429AC5</t>
  </si>
  <si>
    <t>25Y596545470AC5</t>
  </si>
  <si>
    <t>25Y596693487AC5</t>
  </si>
  <si>
    <t>25Y596545488AC5</t>
  </si>
  <si>
    <t>25Y596556340AC5</t>
  </si>
  <si>
    <t>25Y596545461AC5</t>
  </si>
  <si>
    <t>G/I/25-26/01247</t>
  </si>
  <si>
    <t>G/I/25-26/01248</t>
  </si>
  <si>
    <t>G/I/25-26/01249</t>
  </si>
  <si>
    <t>G/I/25-26/01250</t>
  </si>
  <si>
    <t>G/I/25-26/01251</t>
  </si>
  <si>
    <t>G/I/25-26/01252</t>
  </si>
  <si>
    <t>G/I/25-26/01253</t>
  </si>
  <si>
    <t>G/I/25-26/01254</t>
  </si>
  <si>
    <t>26Y597303674AC5</t>
  </si>
  <si>
    <t>26Y597303372AC5</t>
  </si>
  <si>
    <t>26Y597301965AC5</t>
  </si>
  <si>
    <t>26Y597303500AC5</t>
  </si>
  <si>
    <t>26Y597302635AC5</t>
  </si>
  <si>
    <t>26Y597302570AC5</t>
  </si>
  <si>
    <t>26Y597285498AC5</t>
  </si>
  <si>
    <t>26Y597316946AC5</t>
  </si>
  <si>
    <t>26Y597285471AC5</t>
  </si>
  <si>
    <t>26Y597285480AC5</t>
  </si>
  <si>
    <t>26Y597285528AC5</t>
  </si>
  <si>
    <t>26Y597313475AC5</t>
  </si>
  <si>
    <t>26Y597285501AC5</t>
  </si>
  <si>
    <t>26Y597285510AC5</t>
  </si>
  <si>
    <t>26Y597285544AC5</t>
  </si>
  <si>
    <t>26Y597308722AC5</t>
  </si>
  <si>
    <t>26Y597285552AC5</t>
  </si>
  <si>
    <t>26Y597285560AC5</t>
  </si>
  <si>
    <t>26Y597285536AC5</t>
  </si>
  <si>
    <t>26Y597285587AC5</t>
  </si>
  <si>
    <t>26Y597305057AC5</t>
  </si>
  <si>
    <t>26Y597285595AC5</t>
  </si>
  <si>
    <t>26Y597285609AC5</t>
  </si>
  <si>
    <t>26Y597285579AC5</t>
  </si>
  <si>
    <t>26Y597285625AC5</t>
  </si>
  <si>
    <t>26Y597308412AC5</t>
  </si>
  <si>
    <t>26Y597285633AC5</t>
  </si>
  <si>
    <t>26Y597285641AC5</t>
  </si>
  <si>
    <t>26Y597285617AC5</t>
  </si>
  <si>
    <t>26Y597285650AC5</t>
  </si>
  <si>
    <t>26Y597312754AC5</t>
  </si>
  <si>
    <t>26Y597285668AC5</t>
  </si>
  <si>
    <t>26Y597285676AC5</t>
  </si>
  <si>
    <t>26Y597285684AC5</t>
  </si>
  <si>
    <t>26Y597285706AC5</t>
  </si>
  <si>
    <t>26Y597315818AC5</t>
  </si>
  <si>
    <t>26Y597285714AC5</t>
  </si>
  <si>
    <t>26Y597285722AC5</t>
  </si>
  <si>
    <t>26Y597285692AC5</t>
  </si>
  <si>
    <t>26Y597285730AC5</t>
  </si>
  <si>
    <t>26Y597308510AC5</t>
  </si>
  <si>
    <t>26Y597285749AC5</t>
  </si>
  <si>
    <t>26Y597285757AC5</t>
  </si>
  <si>
    <t>26Y597285765AC5</t>
  </si>
  <si>
    <t>26Y597285773AC5</t>
  </si>
  <si>
    <t>26Y597308447AC5</t>
  </si>
  <si>
    <t>26Y597285781AC5</t>
  </si>
  <si>
    <t>26Y597285790AC5</t>
  </si>
  <si>
    <t>Download : X539_eNagare_20251125.txt</t>
  </si>
  <si>
    <t>910101985-24 Qty. / 910102103-16 Qty.</t>
  </si>
  <si>
    <t>910102863-21 Qty./ 910102786-19 Qty</t>
  </si>
  <si>
    <t>AN0250008774-14 Qty. / AN0250008847-4 Qty</t>
  </si>
  <si>
    <t>AN0250008774-31 Qty. / AN0250008847-5 Qty</t>
  </si>
  <si>
    <t>910102863-40 Qty./ 910102786-40 Qty</t>
  </si>
  <si>
    <t>AN0250008847</t>
  </si>
  <si>
    <t>910103038-34 Qty./ 910102786-6 Qty</t>
  </si>
  <si>
    <t>G/I/25-26/01255</t>
  </si>
  <si>
    <t>G/I/25-26/01256</t>
  </si>
  <si>
    <t>G/I/25-26/01257</t>
  </si>
  <si>
    <t>G/I/25-26/01258</t>
  </si>
  <si>
    <t>G/I/25-26/01259</t>
  </si>
  <si>
    <t>G/I/25-26/01260</t>
  </si>
  <si>
    <t>G/I/25-26/01261</t>
  </si>
  <si>
    <t>G/I/25-26/01262</t>
  </si>
  <si>
    <t>G/I/25-26/01263</t>
  </si>
  <si>
    <t>G/I/25-26/01264</t>
  </si>
  <si>
    <t>HR47G9416</t>
  </si>
  <si>
    <t>12505Q100051-24 Qty. / 12505Q100043-6 Qty.</t>
  </si>
  <si>
    <t>12505Q100043</t>
  </si>
  <si>
    <t>HR47E8635</t>
  </si>
  <si>
    <t>27Y597835269AC5</t>
  </si>
  <si>
    <t>27Y597835277AC5</t>
  </si>
  <si>
    <t>27Y597835285AC5</t>
  </si>
  <si>
    <t>27Y597835250AC5</t>
  </si>
  <si>
    <t>27Y597835307AC5</t>
  </si>
  <si>
    <t>27Y597835315AC5</t>
  </si>
  <si>
    <t>27Y597835323AC5</t>
  </si>
  <si>
    <t>27Y597835293AC5</t>
  </si>
  <si>
    <t>27Y597835340AC5</t>
  </si>
  <si>
    <t>27Y597924717AC5</t>
  </si>
  <si>
    <t>27Y597835358AC5</t>
  </si>
  <si>
    <t>27Y597835366AC5</t>
  </si>
  <si>
    <t>27Y597835331AC5</t>
  </si>
  <si>
    <t>27Y597835382AC5</t>
  </si>
  <si>
    <t>27Y597926230AC5</t>
  </si>
  <si>
    <t>27Y597835390AC5</t>
  </si>
  <si>
    <t>27Y597835404AC5</t>
  </si>
  <si>
    <t>27Y597835374AC5</t>
  </si>
  <si>
    <t>27Y597835420AC5</t>
  </si>
  <si>
    <t>27Y597928046AC5</t>
  </si>
  <si>
    <t>27Y597835439AC5</t>
  </si>
  <si>
    <t>27Y597835447AC5</t>
  </si>
  <si>
    <t>27Y597835412AC5</t>
  </si>
  <si>
    <t>27Y597835455AC5</t>
  </si>
  <si>
    <t>27Y597835463AC5</t>
  </si>
  <si>
    <t>27Y597835471AC5</t>
  </si>
  <si>
    <t>27Y597835480AC5</t>
  </si>
  <si>
    <t>27Y597835501AC5</t>
  </si>
  <si>
    <t>27Y597926337AC5</t>
  </si>
  <si>
    <t>27Y597835510AC5</t>
  </si>
  <si>
    <t>27Y597835528AC5</t>
  </si>
  <si>
    <t>27Y597835498AC5</t>
  </si>
  <si>
    <t>27Y597835544AC5</t>
  </si>
  <si>
    <t>27Y597928003AC5</t>
  </si>
  <si>
    <t>27Y597835552AC5</t>
  </si>
  <si>
    <t>27Y597835560AC5</t>
  </si>
  <si>
    <t>27Y597835536AC5</t>
  </si>
  <si>
    <t>27Y597835587AC5</t>
  </si>
  <si>
    <t>27Y597926566AC5</t>
  </si>
  <si>
    <t>27Y597835595AC5</t>
  </si>
  <si>
    <t>27Y597835609AC5</t>
  </si>
  <si>
    <t>27Y597835579AC5</t>
  </si>
  <si>
    <t>Download : X539_eNagare_20251126.txt</t>
  </si>
  <si>
    <t>HR47E3465</t>
  </si>
  <si>
    <t>G/I/25-26/01267</t>
  </si>
  <si>
    <t>G/I/25-26/01268</t>
  </si>
  <si>
    <t>G/I/25-26/01269</t>
  </si>
  <si>
    <t>G/I/25-26/01270</t>
  </si>
  <si>
    <t>G/I/25-26/01271</t>
  </si>
  <si>
    <t>G/I/25-26/01272</t>
  </si>
  <si>
    <t>G/I/25-26/01273</t>
  </si>
  <si>
    <t>G/I/25-26/01274</t>
  </si>
  <si>
    <t>Supply For</t>
  </si>
  <si>
    <t>55101M58U10-999</t>
  </si>
  <si>
    <t>L25443884703</t>
  </si>
  <si>
    <t>55102M58U10-999</t>
  </si>
  <si>
    <t>L25443884713</t>
  </si>
  <si>
    <t>L25443884743</t>
  </si>
  <si>
    <t>L25443885243</t>
  </si>
  <si>
    <t>55830M58U10</t>
  </si>
  <si>
    <t>L25443885273</t>
  </si>
  <si>
    <t>55840M58U10</t>
  </si>
  <si>
    <t>L25443885293</t>
  </si>
  <si>
    <t>55850M58U10</t>
  </si>
  <si>
    <t>L25443885313</t>
  </si>
  <si>
    <t>55950M58U00</t>
  </si>
  <si>
    <t>L25445746583</t>
  </si>
  <si>
    <t>MSIL GUJARAT EXPORT</t>
  </si>
  <si>
    <t>Remark</t>
  </si>
  <si>
    <t>M25445621163</t>
  </si>
  <si>
    <t>L25445749753</t>
  </si>
  <si>
    <t>L25445749773</t>
  </si>
  <si>
    <t>L25445749763</t>
  </si>
  <si>
    <t>L25443246103</t>
  </si>
  <si>
    <t>L25445749783</t>
  </si>
  <si>
    <t>L25445749793</t>
  </si>
  <si>
    <t>MSIL GUJARAT RPDC</t>
  </si>
  <si>
    <t>G/I/25-26/01276</t>
  </si>
  <si>
    <t>G/I/25-26/01275</t>
  </si>
  <si>
    <t>28Y598428152AC5</t>
  </si>
  <si>
    <t>28Y598534084AC5</t>
  </si>
  <si>
    <t>28Y598428160AC5</t>
  </si>
  <si>
    <t>28Y598428179AC5</t>
  </si>
  <si>
    <t>28Y598428144AC5</t>
  </si>
  <si>
    <t>28Y598428195AC5</t>
  </si>
  <si>
    <t>28Y598522990AC5</t>
  </si>
  <si>
    <t>28Y598428209AC5</t>
  </si>
  <si>
    <t>28Y598428217AC5</t>
  </si>
  <si>
    <t>28Y598428187AC5</t>
  </si>
  <si>
    <t>28Y598428225AC5</t>
  </si>
  <si>
    <t>28Y598525158AC5</t>
  </si>
  <si>
    <t>28Y598428233AC5</t>
  </si>
  <si>
    <t>28Y598428241AC5</t>
  </si>
  <si>
    <t>28Y598428268AC5</t>
  </si>
  <si>
    <t>28Y598527320AC5</t>
  </si>
  <si>
    <t>28Y598428276AC5</t>
  </si>
  <si>
    <t>28Y598428284AC5</t>
  </si>
  <si>
    <t>28Y598428250AC5</t>
  </si>
  <si>
    <t>28Y598428306AC5</t>
  </si>
  <si>
    <t>28Y598528971AC5</t>
  </si>
  <si>
    <t>28Y598428314AC5</t>
  </si>
  <si>
    <t>28Y598428322AC5</t>
  </si>
  <si>
    <t>28Y598428292AC5</t>
  </si>
  <si>
    <t>28Y598428349AC5</t>
  </si>
  <si>
    <t>28Y598533487AC5</t>
  </si>
  <si>
    <t>28Y598428357AC5</t>
  </si>
  <si>
    <t>28Y598428365AC5</t>
  </si>
  <si>
    <t>28Y598428330AC5</t>
  </si>
  <si>
    <t>28Y598428381AC5</t>
  </si>
  <si>
    <t>28Y598528343AC5</t>
  </si>
  <si>
    <t>28Y598428390AC5</t>
  </si>
  <si>
    <t>28Y598428403AC5</t>
  </si>
  <si>
    <t>28Y598428373AC5</t>
  </si>
  <si>
    <t>28Y598428420AC5</t>
  </si>
  <si>
    <t>28Y598523228AC5</t>
  </si>
  <si>
    <t>28Y598428438AC5</t>
  </si>
  <si>
    <t>28Y598432370AC5</t>
  </si>
  <si>
    <t>28Y598428411AC5</t>
  </si>
  <si>
    <t>28Y598432397AC5</t>
  </si>
  <si>
    <t>28Y598525450AC5</t>
  </si>
  <si>
    <t>28Y598432400AC5</t>
  </si>
  <si>
    <t>28Y598432419AC5</t>
  </si>
  <si>
    <t>28Y598432389AC5</t>
  </si>
  <si>
    <t>G/I/25-26/01277</t>
  </si>
  <si>
    <t>G/I/25-26/01278</t>
  </si>
  <si>
    <t>G/I/25-26/01279</t>
  </si>
  <si>
    <t>G/I/25-26/01280</t>
  </si>
  <si>
    <t>G/I/25-26/01281</t>
  </si>
  <si>
    <t>G/I/25-26/01282</t>
  </si>
  <si>
    <t>G/I/25-26/01283</t>
  </si>
  <si>
    <t>G/I/25-26/01284</t>
  </si>
  <si>
    <t>AN0250008847-17 Qty. /AN0250009024-1 Qty.</t>
  </si>
  <si>
    <t>910101143-40 Qty. / 910103038-40 Qty.</t>
  </si>
  <si>
    <t>910101143-25 Qty./ 910103227 -15 Qty.</t>
  </si>
  <si>
    <t>AN0250009024</t>
  </si>
  <si>
    <t>12504Q100188- 2 Qty. / 12505Q100022-8 Qty.</t>
  </si>
  <si>
    <t xml:space="preserve"> 12509Q100239</t>
  </si>
  <si>
    <t xml:space="preserve"> 12509Q100239-04 Qty. /  12507Q100244 - 26 Qty.</t>
  </si>
  <si>
    <t xml:space="preserve"> 12509Q100239-01 Qty. /  12507Q100244 - 29 Qty.</t>
  </si>
  <si>
    <t>910101143-25 Qty. / 910101985 15 Qty.</t>
  </si>
  <si>
    <t>12504Q100229-4 Qty. / 12504Q100256-6 Qty.</t>
  </si>
  <si>
    <t>29Y599094150AC5</t>
  </si>
  <si>
    <t>29Y599159635AC5</t>
  </si>
  <si>
    <t>29Y599094169AC5</t>
  </si>
  <si>
    <t>29Y599094142AC5</t>
  </si>
  <si>
    <t>29Y599094185AC5</t>
  </si>
  <si>
    <t>29Y599152525AC5</t>
  </si>
  <si>
    <t>29Y599094193AC5</t>
  </si>
  <si>
    <t>29Y599094177AC5</t>
  </si>
  <si>
    <t>29Y599094207AC5</t>
  </si>
  <si>
    <t>29Y599150999AC5</t>
  </si>
  <si>
    <t>29Y599094215AC5</t>
  </si>
  <si>
    <t>29Y599094223AC5</t>
  </si>
  <si>
    <t>29Y599094240AC5</t>
  </si>
  <si>
    <t>29Y599152550AC5</t>
  </si>
  <si>
    <t>29Y599094258AC5</t>
  </si>
  <si>
    <t>29Y599094266AC5</t>
  </si>
  <si>
    <t>29Y599094231AC5</t>
  </si>
  <si>
    <t>29Y599094282AC5</t>
  </si>
  <si>
    <t>29Y599151804AC5</t>
  </si>
  <si>
    <t>29Y599094290AC5</t>
  </si>
  <si>
    <t>29Y599094304AC5</t>
  </si>
  <si>
    <t>29Y599094274AC5</t>
  </si>
  <si>
    <t>29Y599094320AC5</t>
  </si>
  <si>
    <t>29Y599158043AC5</t>
  </si>
  <si>
    <t>29Y599094339AC5</t>
  </si>
  <si>
    <t>29Y599094312AC5</t>
  </si>
  <si>
    <t>29Y599094355AC5</t>
  </si>
  <si>
    <t>29Y599159740AC5</t>
  </si>
  <si>
    <t>29Y599094363AC5</t>
  </si>
  <si>
    <t>29Y599094347AC5</t>
  </si>
  <si>
    <t>29Y599094380AC5</t>
  </si>
  <si>
    <t>29Y599157128AC5</t>
  </si>
  <si>
    <t>29Y599094398AC5</t>
  </si>
  <si>
    <t>29Y599094371AC5</t>
  </si>
  <si>
    <t>29Y599094410AC5</t>
  </si>
  <si>
    <t>29Y599143020AC5</t>
  </si>
  <si>
    <t>29Y599094428AC5</t>
  </si>
  <si>
    <t>29Y599094436AC5</t>
  </si>
  <si>
    <t>29Y599094401AC5</t>
  </si>
  <si>
    <t>G/I/25-26/01285</t>
  </si>
  <si>
    <t>G/I/25-26/01286</t>
  </si>
  <si>
    <t>G/I/25-26/01287</t>
  </si>
  <si>
    <t>G/I/25-26/01288</t>
  </si>
  <si>
    <t>G/I/25-26/01289</t>
  </si>
  <si>
    <t>G/I/25-26/01290</t>
  </si>
  <si>
    <t>G/I/25-26/01291</t>
  </si>
  <si>
    <t>G/I/25-26/01292</t>
  </si>
  <si>
    <t>G/I/25-26/01293</t>
  </si>
  <si>
    <t>910103227-9 Qty./ 9103038-31 Qty.</t>
  </si>
  <si>
    <t>12504Q100256</t>
  </si>
  <si>
    <t>910101603 (old Part)</t>
  </si>
  <si>
    <t>910101603-13 Qty. / 910101985 - 27 Qty.</t>
  </si>
  <si>
    <t>Barode sticker</t>
  </si>
  <si>
    <t>12504Q100266</t>
  </si>
  <si>
    <t>12505Q100031</t>
  </si>
  <si>
    <t>12505Q100043-6 Qty. /12505Q100031-42 Qty.</t>
  </si>
  <si>
    <t>old part</t>
  </si>
  <si>
    <t>12509Q100239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</si>
</sst>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color rgb="FF333333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000000"/>
      <name val="Verdana"/>
      <family val="2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990033"/>
      </left>
      <right style="medium">
        <color rgb="FF990033"/>
      </right>
      <top style="medium">
        <color rgb="FF990033"/>
      </top>
      <bottom style="medium">
        <color rgb="FF990033"/>
      </bottom>
      <diagonal/>
    </border>
    <border>
      <left style="medium">
        <color rgb="FF990033"/>
      </left>
      <right/>
      <top style="medium">
        <color rgb="FF990033"/>
      </top>
      <bottom/>
      <diagonal/>
    </border>
    <border>
      <left/>
      <right/>
      <top style="medium">
        <color rgb="FF990033"/>
      </top>
      <bottom/>
      <diagonal/>
    </border>
    <border>
      <left/>
      <right style="medium">
        <color rgb="FF990033"/>
      </right>
      <top style="medium">
        <color rgb="FF990033"/>
      </top>
      <bottom/>
      <diagonal/>
    </border>
    <border>
      <left/>
      <right style="medium">
        <color rgb="FF990033"/>
      </right>
      <top/>
      <bottom/>
      <diagonal/>
    </border>
    <border>
      <left/>
      <right style="medium">
        <color rgb="FF990033"/>
      </right>
      <top/>
      <bottom style="medium">
        <color rgb="FF990033"/>
      </bottom>
      <diagonal/>
    </border>
    <border>
      <left style="medium">
        <color rgb="FF990033"/>
      </left>
      <right/>
      <top/>
      <bottom/>
      <diagonal/>
    </border>
    <border>
      <left/>
      <right/>
      <top/>
      <bottom style="medium">
        <color rgb="FF990033"/>
      </bottom>
      <diagonal/>
    </border>
    <border>
      <left/>
      <right style="medium">
        <color rgb="FF990033"/>
      </right>
      <top style="medium">
        <color rgb="FF990033"/>
      </top>
      <bottom style="medium">
        <color rgb="FF990033"/>
      </bottom>
      <diagonal/>
    </border>
    <border>
      <left style="medium">
        <color rgb="FF990033"/>
      </left>
      <right/>
      <top style="medium">
        <color rgb="FF990033"/>
      </top>
      <bottom style="medium">
        <color rgb="FF990033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/>
    <xf numFmtId="0" fontId="1" fillId="0" borderId="3" xfId="0" applyFon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20" fontId="1" fillId="0" borderId="5" xfId="0" applyNumberFormat="1" applyFont="1" applyBorder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0" fontId="5" fillId="0" borderId="0" xfId="0" applyFont="1"/>
    <xf numFmtId="0" fontId="1" fillId="0" borderId="4" xfId="0" applyFont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14" fontId="1" fillId="0" borderId="10" xfId="0" applyNumberFormat="1" applyFont="1" applyBorder="1" applyAlignment="1">
      <alignment vertical="center"/>
    </xf>
    <xf numFmtId="0" fontId="8" fillId="6" borderId="11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7" fillId="0" borderId="0" xfId="1" applyAlignment="1">
      <alignment vertical="center" wrapText="1"/>
    </xf>
    <xf numFmtId="0" fontId="7" fillId="0" borderId="0" xfId="1"/>
    <xf numFmtId="0" fontId="9" fillId="6" borderId="10" xfId="0" applyFont="1" applyFill="1" applyBorder="1" applyAlignment="1">
      <alignment horizontal="justify" vertical="center" wrapText="1"/>
    </xf>
    <xf numFmtId="0" fontId="9" fillId="0" borderId="10" xfId="0" applyFont="1" applyBorder="1" applyAlignment="1">
      <alignment horizontal="justify" vertical="center"/>
    </xf>
    <xf numFmtId="14" fontId="9" fillId="0" borderId="10" xfId="0" applyNumberFormat="1" applyFont="1" applyBorder="1" applyAlignment="1">
      <alignment horizontal="justify" vertical="center"/>
    </xf>
    <xf numFmtId="0" fontId="9" fillId="0" borderId="10" xfId="0" applyFont="1" applyBorder="1" applyAlignment="1">
      <alignment horizontal="justify" vertical="center" wrapText="1"/>
    </xf>
    <xf numFmtId="0" fontId="7" fillId="0" borderId="16" xfId="1" applyBorder="1" applyAlignment="1">
      <alignment vertical="center" wrapText="1"/>
    </xf>
    <xf numFmtId="0" fontId="7" fillId="0" borderId="0" xfId="1" applyBorder="1" applyAlignment="1">
      <alignment vertical="center" wrapText="1"/>
    </xf>
    <xf numFmtId="0" fontId="7" fillId="0" borderId="14" xfId="1" applyBorder="1" applyAlignment="1">
      <alignment vertical="center" wrapText="1"/>
    </xf>
    <xf numFmtId="0" fontId="9" fillId="4" borderId="10" xfId="0" applyFont="1" applyFill="1" applyBorder="1" applyAlignment="1">
      <alignment horizontal="justify" vertical="center"/>
    </xf>
    <xf numFmtId="0" fontId="9" fillId="8" borderId="10" xfId="0" applyFont="1" applyFill="1" applyBorder="1" applyAlignment="1">
      <alignment horizontal="justify" vertical="center" wrapText="1"/>
    </xf>
    <xf numFmtId="0" fontId="10" fillId="9" borderId="17" xfId="0" applyFont="1" applyFill="1" applyBorder="1"/>
    <xf numFmtId="0" fontId="9" fillId="8" borderId="18" xfId="0" applyFont="1" applyFill="1" applyBorder="1" applyAlignment="1">
      <alignment horizontal="justify" vertical="center" wrapText="1"/>
    </xf>
    <xf numFmtId="0" fontId="9" fillId="0" borderId="18" xfId="0" applyFont="1" applyBorder="1" applyAlignment="1">
      <alignment horizontal="justify" vertical="center"/>
    </xf>
    <xf numFmtId="0" fontId="9" fillId="8" borderId="1" xfId="0" applyFont="1" applyFill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/>
    </xf>
    <xf numFmtId="14" fontId="9" fillId="0" borderId="1" xfId="0" applyNumberFormat="1" applyFont="1" applyBorder="1" applyAlignment="1">
      <alignment horizontal="justify" vertical="center"/>
    </xf>
    <xf numFmtId="0" fontId="9" fillId="8" borderId="2" xfId="0" applyFont="1" applyFill="1" applyBorder="1" applyAlignment="1">
      <alignment horizontal="justify" vertical="center" wrapText="1"/>
    </xf>
    <xf numFmtId="0" fontId="9" fillId="0" borderId="19" xfId="0" applyFont="1" applyBorder="1" applyAlignment="1">
      <alignment horizontal="justify" vertical="center"/>
    </xf>
    <xf numFmtId="0" fontId="10" fillId="9" borderId="4" xfId="0" applyFont="1" applyFill="1" applyBorder="1"/>
    <xf numFmtId="0" fontId="9" fillId="8" borderId="4" xfId="0" applyFont="1" applyFill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justify" vertical="center"/>
    </xf>
    <xf numFmtId="0" fontId="9" fillId="3" borderId="1" xfId="0" applyFont="1" applyFill="1" applyBorder="1" applyAlignment="1">
      <alignment horizontal="justify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0" fillId="9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040"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gj1warehouse_nagarkot_co_in/Documents/GJ01%20Inventory%20Data%202025/4%20-%20Schedule%20&amp;%20piking%20sheet/july%20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p-2025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 Standard"/>
      <sheetName val="CANCEL INOICE DATA"/>
      <sheetName val="02-07-2025"/>
      <sheetName val="03-07-2025"/>
      <sheetName val="04-07-2025"/>
      <sheetName val="05-07-2025"/>
      <sheetName val="07-07-2025"/>
      <sheetName val="08-07-2025"/>
      <sheetName val="09-07-2025"/>
      <sheetName val="10-07-2025"/>
      <sheetName val="11-07-2025"/>
      <sheetName val="12-07-2025"/>
      <sheetName val="14-07-2025"/>
      <sheetName val="15-07-2025"/>
      <sheetName val="16-07-2025"/>
      <sheetName val="17-07-2025"/>
      <sheetName val="18-07-2025"/>
      <sheetName val="19-07-2025"/>
      <sheetName val="21-07-2025"/>
      <sheetName val="22-07-2025"/>
      <sheetName val="23-07-2025"/>
      <sheetName val="24-07-2025"/>
      <sheetName val="25-07-2025"/>
      <sheetName val="26-07-2025"/>
      <sheetName val="28-07-2025"/>
      <sheetName val="SPD DI 28-07-2025"/>
      <sheetName val="29-07-2025"/>
      <sheetName val="30-07-2025"/>
      <sheetName val="31-07-2025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ing Standard"/>
      <sheetName val="01-09-2025"/>
      <sheetName val="02-09-2025"/>
      <sheetName val="03-09-2025"/>
      <sheetName val="04-09-2025"/>
      <sheetName val="SPD 04-09-2025"/>
      <sheetName val="05-09-2025"/>
      <sheetName val="06-09-2025"/>
      <sheetName val="08-09-2025"/>
      <sheetName val="09-09-2025"/>
      <sheetName val="10-09-2025"/>
      <sheetName val="11-09-2025"/>
      <sheetName val="SPD 11-09-2025"/>
      <sheetName val="12-09-2025"/>
      <sheetName val="13-09-2025"/>
      <sheetName val="15-09-2025"/>
      <sheetName val="16-09-2025"/>
      <sheetName val="17-09-2025"/>
      <sheetName val="18-09-2025"/>
      <sheetName val="19-09-2025"/>
      <sheetName val="20-09-2025"/>
      <sheetName val="SPD 20-09-2025"/>
      <sheetName val="22-09-2025"/>
      <sheetName val="23-09-2025"/>
      <sheetName val="24-09-2025"/>
      <sheetName val="25-09-2025"/>
      <sheetName val="26-09-2025"/>
      <sheetName val="27-09-2025"/>
      <sheetName val="29-09-2025"/>
      <sheetName val="30-09-2025"/>
      <sheetName val="SPD 30-09-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192.168.1.249/downloads/temp/X53920251113Spares.lo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249/downloads/temp/X53920251117Spares.lo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192.168.1.249/downloads/temp/X539_eNagare_20251120.log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192.168.1.249/downloads/temp/X539_eNagare_20251122.log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192.168.1.249/downloads/temp/X539_eNagare_20251125.log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192.168.1.249/downloads/temp/X539_eNagare_20251126.lo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7" workbookViewId="0">
      <selection activeCell="O33" sqref="O33"/>
    </sheetView>
  </sheetViews>
  <sheetFormatPr defaultColWidth="67.140625" defaultRowHeight="15" x14ac:dyDescent="0.25"/>
  <cols>
    <col min="1" max="1" width="16.285156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12.5703125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10.5703125" customWidth="1"/>
    <col min="14" max="14" width="7.85546875" bestFit="1" customWidth="1"/>
    <col min="15" max="15" width="15.28515625" bestFit="1" customWidth="1"/>
    <col min="16" max="16" width="8.5703125" bestFit="1" customWidth="1"/>
    <col min="17" max="17" width="12.7109375" bestFit="1" customWidth="1"/>
  </cols>
  <sheetData>
    <row r="1" spans="1:17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"/>
      <c r="P1" s="3"/>
      <c r="Q1" s="1"/>
    </row>
    <row r="2" spans="1:17" ht="15.75" x14ac:dyDescent="0.25">
      <c r="A2" s="4" t="s">
        <v>74</v>
      </c>
      <c r="B2" s="5">
        <v>45962</v>
      </c>
      <c r="C2" s="6"/>
      <c r="D2" s="6"/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8"/>
      <c r="Q2" s="8"/>
    </row>
    <row r="3" spans="1:17" ht="30" x14ac:dyDescent="0.25">
      <c r="A3" s="9" t="s">
        <v>75</v>
      </c>
      <c r="B3" s="9" t="s">
        <v>0</v>
      </c>
      <c r="C3" s="9" t="s">
        <v>1</v>
      </c>
      <c r="D3" s="10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84</v>
      </c>
      <c r="Q3" s="11" t="s">
        <v>85</v>
      </c>
    </row>
    <row r="4" spans="1:17" ht="17.25" customHeight="1" x14ac:dyDescent="0.25">
      <c r="A4" s="15" t="s">
        <v>110</v>
      </c>
      <c r="B4" s="16" t="s">
        <v>6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45962</v>
      </c>
      <c r="G4" s="13">
        <v>0.35416666666666669</v>
      </c>
      <c r="H4" s="1" t="s">
        <v>9</v>
      </c>
      <c r="I4" s="1" t="s">
        <v>10</v>
      </c>
      <c r="J4" s="1">
        <v>36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2</v>
      </c>
      <c r="O4" s="1" t="s">
        <v>118</v>
      </c>
      <c r="P4" s="1"/>
      <c r="Q4" s="8"/>
    </row>
    <row r="5" spans="1:17" ht="17.25" customHeight="1" x14ac:dyDescent="0.25">
      <c r="A5" s="15" t="s">
        <v>110</v>
      </c>
      <c r="B5" s="16" t="s">
        <v>15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45962</v>
      </c>
      <c r="G5" s="13">
        <v>0.35416666666666669</v>
      </c>
      <c r="H5" s="1" t="s">
        <v>9</v>
      </c>
      <c r="I5" s="1" t="s">
        <v>10</v>
      </c>
      <c r="J5" s="1">
        <v>36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118</v>
      </c>
      <c r="P5" s="1"/>
      <c r="Q5" s="8"/>
    </row>
    <row r="6" spans="1:17" ht="17.25" customHeight="1" x14ac:dyDescent="0.25">
      <c r="A6" s="15" t="s">
        <v>110</v>
      </c>
      <c r="B6" s="16" t="s">
        <v>11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45962</v>
      </c>
      <c r="G6" s="13">
        <v>0.35416666666666669</v>
      </c>
      <c r="H6" s="1" t="s">
        <v>9</v>
      </c>
      <c r="I6" s="1" t="s">
        <v>10</v>
      </c>
      <c r="J6" s="1">
        <v>18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1</v>
      </c>
      <c r="O6" s="1" t="s">
        <v>118</v>
      </c>
      <c r="P6" s="1"/>
      <c r="Q6" s="8"/>
    </row>
    <row r="7" spans="1:17" ht="17.25" customHeight="1" x14ac:dyDescent="0.25">
      <c r="A7" s="15" t="s">
        <v>110</v>
      </c>
      <c r="B7" s="16" t="s">
        <v>18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45962</v>
      </c>
      <c r="G7" s="13">
        <v>0.35416666666666669</v>
      </c>
      <c r="H7" s="1" t="s">
        <v>9</v>
      </c>
      <c r="I7" s="1" t="s">
        <v>10</v>
      </c>
      <c r="J7" s="1">
        <v>18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118</v>
      </c>
      <c r="P7" s="1"/>
      <c r="Q7" s="8"/>
    </row>
    <row r="8" spans="1:17" ht="17.25" customHeight="1" x14ac:dyDescent="0.25">
      <c r="A8" s="15" t="s">
        <v>110</v>
      </c>
      <c r="B8" s="16" t="s">
        <v>12</v>
      </c>
      <c r="C8" s="1" t="s">
        <v>7</v>
      </c>
      <c r="D8" s="1" t="str">
        <f>VLOOKUP($C8,Sheet2!$A$2:$B$10,2,0)</f>
        <v>141110-14600</v>
      </c>
      <c r="E8" s="7" t="s">
        <v>8</v>
      </c>
      <c r="F8" s="12">
        <v>45962</v>
      </c>
      <c r="G8" s="13">
        <v>0.35416666666666669</v>
      </c>
      <c r="H8" s="1" t="s">
        <v>9</v>
      </c>
      <c r="I8" s="1" t="s">
        <v>10</v>
      </c>
      <c r="J8" s="1">
        <v>18</v>
      </c>
      <c r="K8" s="14">
        <f>VLOOKUP($C8,Sheet2!$A$2:$D$10,4,0)</f>
        <v>18</v>
      </c>
      <c r="L8" s="14" t="str">
        <f>VLOOKUP($C8,Sheet2!$A$2:$E$10,5,0)</f>
        <v>Trolley (H)</v>
      </c>
      <c r="M8" s="14"/>
      <c r="N8" s="63">
        <v>1</v>
      </c>
      <c r="O8" s="1" t="s">
        <v>118</v>
      </c>
      <c r="P8" s="1"/>
      <c r="Q8" s="8"/>
    </row>
    <row r="9" spans="1:17" ht="17.25" customHeight="1" x14ac:dyDescent="0.25">
      <c r="A9" s="15" t="s">
        <v>110</v>
      </c>
      <c r="B9" s="16" t="s">
        <v>19</v>
      </c>
      <c r="C9" s="1" t="s">
        <v>16</v>
      </c>
      <c r="D9" s="1" t="str">
        <f>VLOOKUP($C9,Sheet2!$A$2:$B$10,2,0)</f>
        <v>141120-14600</v>
      </c>
      <c r="E9" s="7" t="s">
        <v>17</v>
      </c>
      <c r="F9" s="12">
        <v>45962</v>
      </c>
      <c r="G9" s="13">
        <v>0.35416666666666669</v>
      </c>
      <c r="H9" s="1" t="s">
        <v>9</v>
      </c>
      <c r="I9" s="1" t="s">
        <v>10</v>
      </c>
      <c r="J9" s="1">
        <v>18</v>
      </c>
      <c r="K9" s="14">
        <f>VLOOKUP($C9,Sheet2!$A$2:$D$10,4,0)</f>
        <v>18</v>
      </c>
      <c r="L9" s="14" t="str">
        <f>VLOOKUP($C9,Sheet2!$A$2:$E$10,5,0)</f>
        <v>Trolley (H)</v>
      </c>
      <c r="M9" s="14"/>
      <c r="N9" s="64"/>
      <c r="O9" s="1" t="s">
        <v>118</v>
      </c>
      <c r="P9" s="1"/>
      <c r="Q9" s="8"/>
    </row>
    <row r="10" spans="1:17" ht="17.25" customHeight="1" x14ac:dyDescent="0.25">
      <c r="A10" s="15" t="s">
        <v>110</v>
      </c>
      <c r="B10" s="16" t="s">
        <v>22</v>
      </c>
      <c r="C10" s="1" t="s">
        <v>23</v>
      </c>
      <c r="D10" s="1" t="str">
        <f>VLOOKUP($C10,Sheet2!$A$2:$B$10,2,0)</f>
        <v>141185-74670</v>
      </c>
      <c r="E10" s="7" t="s">
        <v>24</v>
      </c>
      <c r="F10" s="12">
        <v>45962</v>
      </c>
      <c r="G10" s="13">
        <v>0.35416666666666669</v>
      </c>
      <c r="H10" s="1" t="s">
        <v>9</v>
      </c>
      <c r="I10" s="1" t="s">
        <v>10</v>
      </c>
      <c r="J10" s="1">
        <v>40</v>
      </c>
      <c r="K10" s="14">
        <f>VLOOKUP($C10,Sheet2!$A$2:$D$10,4,0)</f>
        <v>40</v>
      </c>
      <c r="L10" s="14" t="str">
        <f>VLOOKUP($C10,Sheet2!$A$2:$E$10,5,0)</f>
        <v>Trolley</v>
      </c>
      <c r="M10" s="14"/>
      <c r="N10" s="1">
        <f>J10/K10</f>
        <v>1</v>
      </c>
      <c r="O10" s="1" t="s">
        <v>118</v>
      </c>
      <c r="P10" s="1"/>
      <c r="Q10" s="8"/>
    </row>
    <row r="11" spans="1:17" ht="17.25" customHeight="1" x14ac:dyDescent="0.25">
      <c r="A11" s="15" t="s">
        <v>110</v>
      </c>
      <c r="B11" s="16" t="s">
        <v>25</v>
      </c>
      <c r="C11" s="1" t="s">
        <v>23</v>
      </c>
      <c r="D11" s="1" t="str">
        <f>VLOOKUP($C11,Sheet2!$A$2:$B$10,2,0)</f>
        <v>141185-74670</v>
      </c>
      <c r="E11" s="7" t="s">
        <v>24</v>
      </c>
      <c r="F11" s="12">
        <v>45962</v>
      </c>
      <c r="G11" s="13">
        <v>0.35416666666666669</v>
      </c>
      <c r="H11" s="1" t="s">
        <v>9</v>
      </c>
      <c r="I11" s="1" t="s">
        <v>10</v>
      </c>
      <c r="J11" s="1">
        <v>40</v>
      </c>
      <c r="K11" s="14">
        <f>VLOOKUP($C11,Sheet2!$A$2:$D$10,4,0)</f>
        <v>40</v>
      </c>
      <c r="L11" s="14" t="str">
        <f>VLOOKUP($C11,Sheet2!$A$2:$E$10,5,0)</f>
        <v>Trolley</v>
      </c>
      <c r="M11" s="14"/>
      <c r="N11" s="1">
        <f>J11/K11</f>
        <v>1</v>
      </c>
      <c r="O11" s="1" t="s">
        <v>118</v>
      </c>
      <c r="P11" s="1"/>
      <c r="Q11" s="8"/>
    </row>
    <row r="12" spans="1:17" ht="17.25" customHeight="1" x14ac:dyDescent="0.25">
      <c r="A12" s="15" t="s">
        <v>110</v>
      </c>
      <c r="B12" s="16" t="s">
        <v>28</v>
      </c>
      <c r="C12" s="1" t="s">
        <v>29</v>
      </c>
      <c r="D12" s="1" t="str">
        <f>VLOOKUP($C12,Sheet2!$A$2:$B$10,2,0)</f>
        <v>141140-91211</v>
      </c>
      <c r="E12" s="7" t="s">
        <v>30</v>
      </c>
      <c r="F12" s="12">
        <v>45962</v>
      </c>
      <c r="G12" s="13">
        <v>0.35416666666666669</v>
      </c>
      <c r="H12" s="1" t="s">
        <v>31</v>
      </c>
      <c r="I12" s="1" t="s">
        <v>10</v>
      </c>
      <c r="J12" s="1">
        <v>12</v>
      </c>
      <c r="K12" s="14">
        <f>VLOOKUP($C12,Sheet2!$A$2:$D$10,4,0)</f>
        <v>2</v>
      </c>
      <c r="L12" s="14" t="str">
        <f>VLOOKUP($C12,Sheet2!$A$2:$E$10,5,0)</f>
        <v>Bin</v>
      </c>
      <c r="M12" s="14">
        <f>J12/K12</f>
        <v>6</v>
      </c>
      <c r="N12" s="1"/>
      <c r="O12" s="1" t="s">
        <v>118</v>
      </c>
      <c r="P12" s="1"/>
      <c r="Q12" s="8"/>
    </row>
    <row r="13" spans="1:17" ht="17.25" customHeight="1" x14ac:dyDescent="0.25">
      <c r="A13" s="15" t="s">
        <v>110</v>
      </c>
      <c r="B13" s="16" t="s">
        <v>32</v>
      </c>
      <c r="C13" s="1" t="s">
        <v>29</v>
      </c>
      <c r="D13" s="1" t="str">
        <f>VLOOKUP($C13,Sheet2!$A$2:$B$10,2,0)</f>
        <v>141140-91211</v>
      </c>
      <c r="E13" s="7" t="s">
        <v>30</v>
      </c>
      <c r="F13" s="12">
        <v>45962</v>
      </c>
      <c r="G13" s="13">
        <v>0.35416666666666669</v>
      </c>
      <c r="H13" s="1" t="s">
        <v>31</v>
      </c>
      <c r="I13" s="1" t="s">
        <v>10</v>
      </c>
      <c r="J13" s="1">
        <v>12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ref="M13:M16" si="0">J13/K13</f>
        <v>6</v>
      </c>
      <c r="N13" s="1"/>
      <c r="O13" s="1" t="s">
        <v>118</v>
      </c>
      <c r="P13" s="1"/>
      <c r="Q13" s="8"/>
    </row>
    <row r="14" spans="1:17" ht="17.25" customHeight="1" x14ac:dyDescent="0.25">
      <c r="A14" s="15" t="s">
        <v>110</v>
      </c>
      <c r="B14" s="16" t="s">
        <v>36</v>
      </c>
      <c r="C14" s="1" t="s">
        <v>37</v>
      </c>
      <c r="D14" s="1" t="str">
        <f>VLOOKUP($C14,Sheet2!$A$2:$B$10,2,0)</f>
        <v>141150-91211</v>
      </c>
      <c r="E14" s="7" t="s">
        <v>38</v>
      </c>
      <c r="F14" s="12">
        <v>45962</v>
      </c>
      <c r="G14" s="13">
        <v>0.35416666666666669</v>
      </c>
      <c r="H14" s="1" t="s">
        <v>31</v>
      </c>
      <c r="I14" s="1" t="s">
        <v>10</v>
      </c>
      <c r="J14" s="1">
        <v>12</v>
      </c>
      <c r="K14" s="14">
        <f>VLOOKUP($C14,Sheet2!$A$2:$D$10,4,0)</f>
        <v>2</v>
      </c>
      <c r="L14" s="14" t="str">
        <f>VLOOKUP($C14,Sheet2!$A$2:$E$10,5,0)</f>
        <v>Bin</v>
      </c>
      <c r="M14" s="14">
        <f t="shared" si="0"/>
        <v>6</v>
      </c>
      <c r="N14" s="1"/>
      <c r="O14" s="1" t="s">
        <v>118</v>
      </c>
      <c r="P14" s="1"/>
      <c r="Q14" s="8"/>
    </row>
    <row r="15" spans="1:17" ht="17.25" customHeight="1" x14ac:dyDescent="0.25">
      <c r="A15" s="15" t="s">
        <v>110</v>
      </c>
      <c r="B15" s="16" t="s">
        <v>39</v>
      </c>
      <c r="C15" s="1" t="s">
        <v>37</v>
      </c>
      <c r="D15" s="1" t="str">
        <f>VLOOKUP($C15,Sheet2!$A$2:$B$10,2,0)</f>
        <v>141150-91211</v>
      </c>
      <c r="E15" s="7" t="s">
        <v>38</v>
      </c>
      <c r="F15" s="12">
        <v>45962</v>
      </c>
      <c r="G15" s="13">
        <v>0.35416666666666669</v>
      </c>
      <c r="H15" s="1" t="s">
        <v>31</v>
      </c>
      <c r="I15" s="1" t="s">
        <v>10</v>
      </c>
      <c r="J15" s="1">
        <v>4</v>
      </c>
      <c r="K15" s="14">
        <f>VLOOKUP($C15,Sheet2!$A$2:$D$10,4,0)</f>
        <v>2</v>
      </c>
      <c r="L15" s="14" t="str">
        <f>VLOOKUP($C15,Sheet2!$A$2:$E$10,5,0)</f>
        <v>Bin</v>
      </c>
      <c r="M15" s="14">
        <f t="shared" si="0"/>
        <v>2</v>
      </c>
      <c r="N15" s="1"/>
      <c r="O15" s="1" t="s">
        <v>118</v>
      </c>
      <c r="P15" s="1"/>
      <c r="Q15" s="8"/>
    </row>
    <row r="16" spans="1:17" ht="17.25" customHeight="1" x14ac:dyDescent="0.25">
      <c r="A16" s="15" t="s">
        <v>110</v>
      </c>
      <c r="B16" s="16" t="s">
        <v>40</v>
      </c>
      <c r="C16" s="1" t="s">
        <v>37</v>
      </c>
      <c r="D16" s="1" t="str">
        <f>VLOOKUP($C16,Sheet2!$A$2:$B$10,2,0)</f>
        <v>141150-91211</v>
      </c>
      <c r="E16" s="7" t="s">
        <v>38</v>
      </c>
      <c r="F16" s="12">
        <v>45962</v>
      </c>
      <c r="G16" s="13">
        <v>0.35416666666666669</v>
      </c>
      <c r="H16" s="1" t="s">
        <v>31</v>
      </c>
      <c r="I16" s="1" t="s">
        <v>10</v>
      </c>
      <c r="J16" s="1">
        <v>12</v>
      </c>
      <c r="K16" s="14">
        <f>VLOOKUP($C16,Sheet2!$A$2:$D$10,4,0)</f>
        <v>2</v>
      </c>
      <c r="L16" s="14" t="str">
        <f>VLOOKUP($C16,Sheet2!$A$2:$E$10,5,0)</f>
        <v>Bin</v>
      </c>
      <c r="M16" s="14">
        <f t="shared" si="0"/>
        <v>6</v>
      </c>
      <c r="N16" s="1"/>
      <c r="O16" s="1" t="s">
        <v>118</v>
      </c>
      <c r="P16" s="1"/>
      <c r="Q16" s="8"/>
    </row>
    <row r="17" spans="1:17" ht="17.25" customHeight="1" x14ac:dyDescent="0.25">
      <c r="A17" s="15" t="s">
        <v>110</v>
      </c>
      <c r="B17" s="16" t="s">
        <v>44</v>
      </c>
      <c r="C17" s="1" t="s">
        <v>45</v>
      </c>
      <c r="D17" s="1" t="str">
        <f>VLOOKUP($C17,Sheet2!$A$2:$B$10,2,0)</f>
        <v>141186-74360</v>
      </c>
      <c r="E17" s="7" t="s">
        <v>46</v>
      </c>
      <c r="F17" s="12">
        <v>45962</v>
      </c>
      <c r="G17" s="13">
        <v>0.35416666666666669</v>
      </c>
      <c r="H17" s="1" t="s">
        <v>31</v>
      </c>
      <c r="I17" s="1" t="s">
        <v>10</v>
      </c>
      <c r="J17" s="1">
        <v>40</v>
      </c>
      <c r="K17" s="14">
        <f>VLOOKUP($C17,Sheet2!$A$2:$D$10,4,0)</f>
        <v>40</v>
      </c>
      <c r="L17" s="14" t="str">
        <f>VLOOKUP($C17,Sheet2!$A$2:$E$10,5,0)</f>
        <v>Trolley</v>
      </c>
      <c r="M17" s="14"/>
      <c r="N17" s="1">
        <f>J17/K17</f>
        <v>1</v>
      </c>
      <c r="O17" s="1" t="s">
        <v>118</v>
      </c>
      <c r="P17" s="1"/>
      <c r="Q17" s="8"/>
    </row>
    <row r="18" spans="1:17" ht="17.25" customHeight="1" x14ac:dyDescent="0.25">
      <c r="A18" s="15" t="s">
        <v>111</v>
      </c>
      <c r="B18" s="16" t="s">
        <v>49</v>
      </c>
      <c r="C18" s="1" t="s">
        <v>50</v>
      </c>
      <c r="D18" s="1" t="str">
        <f>VLOOKUP($C18,Sheet2!$A$2:$B$10,2,0)</f>
        <v>116040-92240</v>
      </c>
      <c r="E18" s="7" t="s">
        <v>51</v>
      </c>
      <c r="F18" s="12">
        <v>45962</v>
      </c>
      <c r="G18" s="13">
        <v>0.35416666666666669</v>
      </c>
      <c r="H18" s="1" t="s">
        <v>52</v>
      </c>
      <c r="I18" s="1" t="s">
        <v>10</v>
      </c>
      <c r="J18" s="1">
        <v>12</v>
      </c>
      <c r="K18" s="14">
        <f>VLOOKUP($C18,Sheet2!$A$2:$D$10,4,0)</f>
        <v>6</v>
      </c>
      <c r="L18" s="14" t="str">
        <f>VLOOKUP($C18,Sheet2!$A$2:$E$10,5,0)</f>
        <v>Bin</v>
      </c>
      <c r="M18" s="14">
        <f t="shared" ref="M18:M25" si="1">J18/K18</f>
        <v>2</v>
      </c>
      <c r="N18" s="1"/>
      <c r="O18" s="1" t="s">
        <v>118</v>
      </c>
      <c r="P18" s="1"/>
      <c r="Q18" s="8"/>
    </row>
    <row r="19" spans="1:17" ht="17.25" customHeight="1" x14ac:dyDescent="0.25">
      <c r="A19" s="15" t="s">
        <v>111</v>
      </c>
      <c r="B19" s="16" t="s">
        <v>53</v>
      </c>
      <c r="C19" s="1" t="s">
        <v>50</v>
      </c>
      <c r="D19" s="1" t="str">
        <f>VLOOKUP($C19,Sheet2!$A$2:$B$10,2,0)</f>
        <v>116040-92240</v>
      </c>
      <c r="E19" s="7" t="s">
        <v>51</v>
      </c>
      <c r="F19" s="12">
        <v>45962</v>
      </c>
      <c r="G19" s="13">
        <v>0.35416666666666669</v>
      </c>
      <c r="H19" s="1" t="s">
        <v>52</v>
      </c>
      <c r="I19" s="1" t="s">
        <v>10</v>
      </c>
      <c r="J19" s="1">
        <v>6</v>
      </c>
      <c r="K19" s="14">
        <f>VLOOKUP($C19,Sheet2!$A$2:$D$10,4,0)</f>
        <v>6</v>
      </c>
      <c r="L19" s="14" t="str">
        <f>VLOOKUP($C19,Sheet2!$A$2:$E$10,5,0)</f>
        <v>Bin</v>
      </c>
      <c r="M19" s="14">
        <f t="shared" si="1"/>
        <v>1</v>
      </c>
      <c r="N19" s="1"/>
      <c r="O19" s="1" t="s">
        <v>118</v>
      </c>
      <c r="P19" s="1"/>
      <c r="Q19" s="8"/>
    </row>
    <row r="20" spans="1:17" ht="17.25" customHeight="1" x14ac:dyDescent="0.25">
      <c r="A20" s="15" t="s">
        <v>111</v>
      </c>
      <c r="B20" s="16" t="s">
        <v>54</v>
      </c>
      <c r="C20" s="1" t="s">
        <v>50</v>
      </c>
      <c r="D20" s="1" t="str">
        <f>VLOOKUP($C20,Sheet2!$A$2:$B$10,2,0)</f>
        <v>116040-92240</v>
      </c>
      <c r="E20" s="7" t="s">
        <v>51</v>
      </c>
      <c r="F20" s="12">
        <v>45962</v>
      </c>
      <c r="G20" s="13">
        <v>0.35416666666666669</v>
      </c>
      <c r="H20" s="1" t="s">
        <v>52</v>
      </c>
      <c r="I20" s="1" t="s">
        <v>10</v>
      </c>
      <c r="J20" s="1">
        <v>12</v>
      </c>
      <c r="K20" s="14">
        <f>VLOOKUP($C20,Sheet2!$A$2:$D$10,4,0)</f>
        <v>6</v>
      </c>
      <c r="L20" s="14" t="str">
        <f>VLOOKUP($C20,Sheet2!$A$2:$E$10,5,0)</f>
        <v>Bin</v>
      </c>
      <c r="M20" s="14">
        <f t="shared" si="1"/>
        <v>2</v>
      </c>
      <c r="N20" s="1"/>
      <c r="O20" s="1" t="s">
        <v>118</v>
      </c>
      <c r="P20" s="1"/>
      <c r="Q20" s="8"/>
    </row>
    <row r="21" spans="1:17" ht="17.25" customHeight="1" x14ac:dyDescent="0.25">
      <c r="A21" s="15" t="s">
        <v>111</v>
      </c>
      <c r="B21" s="16" t="s">
        <v>58</v>
      </c>
      <c r="C21" s="1" t="s">
        <v>59</v>
      </c>
      <c r="D21" s="1" t="str">
        <f>VLOOKUP($C21,Sheet2!$A$2:$B$10,2,0)</f>
        <v>114010-50820</v>
      </c>
      <c r="E21" s="7" t="s">
        <v>60</v>
      </c>
      <c r="F21" s="12">
        <v>45962</v>
      </c>
      <c r="G21" s="13">
        <v>0.35416666666666669</v>
      </c>
      <c r="H21" s="1" t="s">
        <v>52</v>
      </c>
      <c r="I21" s="1" t="s">
        <v>10</v>
      </c>
      <c r="J21" s="1">
        <v>8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1"/>
        <v>8</v>
      </c>
      <c r="N21" s="1"/>
      <c r="O21" s="1" t="s">
        <v>118</v>
      </c>
      <c r="P21" s="1"/>
      <c r="Q21" s="8"/>
    </row>
    <row r="22" spans="1:17" ht="17.25" customHeight="1" x14ac:dyDescent="0.25">
      <c r="A22" s="15" t="s">
        <v>111</v>
      </c>
      <c r="B22" s="16" t="s">
        <v>61</v>
      </c>
      <c r="C22" s="1" t="s">
        <v>59</v>
      </c>
      <c r="D22" s="1" t="str">
        <f>VLOOKUP($C22,Sheet2!$A$2:$B$10,2,0)</f>
        <v>114010-50820</v>
      </c>
      <c r="E22" s="7" t="s">
        <v>60</v>
      </c>
      <c r="F22" s="12">
        <v>45962</v>
      </c>
      <c r="G22" s="13">
        <v>0.35416666666666669</v>
      </c>
      <c r="H22" s="1" t="s">
        <v>52</v>
      </c>
      <c r="I22" s="1" t="s">
        <v>10</v>
      </c>
      <c r="J22" s="1">
        <v>6</v>
      </c>
      <c r="K22" s="14">
        <f>VLOOKUP($C22,Sheet2!$A$2:$D$10,4,0)</f>
        <v>1</v>
      </c>
      <c r="L22" s="14" t="str">
        <f>VLOOKUP($C22,Sheet2!$A$2:$E$10,5,0)</f>
        <v>Bin</v>
      </c>
      <c r="M22" s="14">
        <f t="shared" si="1"/>
        <v>6</v>
      </c>
      <c r="N22" s="1"/>
      <c r="O22" s="1" t="s">
        <v>118</v>
      </c>
      <c r="P22" s="1"/>
      <c r="Q22" s="8"/>
    </row>
    <row r="23" spans="1:17" ht="17.25" customHeight="1" x14ac:dyDescent="0.25">
      <c r="A23" s="15" t="s">
        <v>111</v>
      </c>
      <c r="B23" s="16" t="s">
        <v>62</v>
      </c>
      <c r="C23" s="1" t="s">
        <v>59</v>
      </c>
      <c r="D23" s="1" t="str">
        <f>VLOOKUP($C23,Sheet2!$A$2:$B$10,2,0)</f>
        <v>114010-50820</v>
      </c>
      <c r="E23" s="7" t="s">
        <v>60</v>
      </c>
      <c r="F23" s="12">
        <v>45962</v>
      </c>
      <c r="G23" s="13">
        <v>0.35416666666666669</v>
      </c>
      <c r="H23" s="1" t="s">
        <v>52</v>
      </c>
      <c r="I23" s="1" t="s">
        <v>10</v>
      </c>
      <c r="J23" s="1">
        <v>6</v>
      </c>
      <c r="K23" s="14">
        <f>VLOOKUP($C23,Sheet2!$A$2:$D$10,4,0)</f>
        <v>1</v>
      </c>
      <c r="L23" s="14" t="str">
        <f>VLOOKUP($C23,Sheet2!$A$2:$E$10,5,0)</f>
        <v>Bin</v>
      </c>
      <c r="M23" s="14">
        <f t="shared" si="1"/>
        <v>6</v>
      </c>
      <c r="N23" s="1"/>
      <c r="O23" s="1" t="s">
        <v>118</v>
      </c>
      <c r="P23" s="1"/>
      <c r="Q23" s="8"/>
    </row>
    <row r="24" spans="1:17" ht="17.25" customHeight="1" x14ac:dyDescent="0.25">
      <c r="A24" s="15" t="s">
        <v>111</v>
      </c>
      <c r="B24" s="16" t="s">
        <v>66</v>
      </c>
      <c r="C24" s="1" t="s">
        <v>67</v>
      </c>
      <c r="D24" s="1" t="str">
        <f>VLOOKUP($C24,Sheet2!$A$2:$B$10,2,0)</f>
        <v>114010-50830</v>
      </c>
      <c r="E24" s="7" t="s">
        <v>60</v>
      </c>
      <c r="F24" s="12">
        <v>45962</v>
      </c>
      <c r="G24" s="13">
        <v>0.35416666666666669</v>
      </c>
      <c r="H24" s="1" t="s">
        <v>52</v>
      </c>
      <c r="I24" s="1" t="s">
        <v>10</v>
      </c>
      <c r="J24" s="1">
        <v>4</v>
      </c>
      <c r="K24" s="14">
        <f>VLOOKUP($C24,Sheet2!$A$2:$D$10,4,0)</f>
        <v>1</v>
      </c>
      <c r="L24" s="14" t="str">
        <f>VLOOKUP($C24,Sheet2!$A$2:$E$10,5,0)</f>
        <v>Bin</v>
      </c>
      <c r="M24" s="14">
        <f t="shared" si="1"/>
        <v>4</v>
      </c>
      <c r="N24" s="1"/>
      <c r="O24" s="1" t="s">
        <v>118</v>
      </c>
      <c r="P24" s="1"/>
      <c r="Q24" s="8"/>
    </row>
    <row r="25" spans="1:17" ht="17.25" customHeight="1" x14ac:dyDescent="0.25">
      <c r="A25" s="15" t="s">
        <v>111</v>
      </c>
      <c r="B25" s="16" t="s">
        <v>68</v>
      </c>
      <c r="C25" s="1" t="s">
        <v>67</v>
      </c>
      <c r="D25" s="1" t="str">
        <f>VLOOKUP($C25,Sheet2!$A$2:$B$10,2,0)</f>
        <v>114010-50830</v>
      </c>
      <c r="E25" s="7" t="s">
        <v>60</v>
      </c>
      <c r="F25" s="12">
        <v>45962</v>
      </c>
      <c r="G25" s="13">
        <v>0.35416666666666669</v>
      </c>
      <c r="H25" s="1" t="s">
        <v>52</v>
      </c>
      <c r="I25" s="1" t="s">
        <v>10</v>
      </c>
      <c r="J25" s="1">
        <v>7</v>
      </c>
      <c r="K25" s="14">
        <f>VLOOKUP($C25,Sheet2!$A$2:$D$10,4,0)</f>
        <v>1</v>
      </c>
      <c r="L25" s="14" t="str">
        <f>VLOOKUP($C25,Sheet2!$A$2:$E$10,5,0)</f>
        <v>Bin</v>
      </c>
      <c r="M25" s="14">
        <f t="shared" si="1"/>
        <v>7</v>
      </c>
      <c r="N25" s="1"/>
      <c r="O25" s="1" t="s">
        <v>118</v>
      </c>
      <c r="P25" s="1"/>
      <c r="Q25" s="8"/>
    </row>
    <row r="26" spans="1:17" x14ac:dyDescent="0.25">
      <c r="A26" s="9"/>
      <c r="B26" s="9"/>
      <c r="C26" s="9"/>
      <c r="D26" s="10"/>
      <c r="E26" s="9"/>
      <c r="F26" s="9"/>
      <c r="G26" s="9"/>
      <c r="H26" s="9"/>
      <c r="I26" s="9"/>
      <c r="J26" s="9"/>
      <c r="K26" s="9"/>
      <c r="L26" s="9"/>
      <c r="M26" s="9">
        <v>62</v>
      </c>
      <c r="N26" s="9">
        <v>7</v>
      </c>
      <c r="O26" s="9"/>
      <c r="P26" s="9"/>
      <c r="Q26" s="11"/>
    </row>
    <row r="27" spans="1:17" ht="17.25" customHeight="1" x14ac:dyDescent="0.25">
      <c r="A27" s="15" t="s">
        <v>113</v>
      </c>
      <c r="B27" s="16" t="s">
        <v>13</v>
      </c>
      <c r="C27" s="1" t="s">
        <v>7</v>
      </c>
      <c r="D27" s="1" t="str">
        <f>VLOOKUP($C27,Sheet2!$A$2:$B$10,2,0)</f>
        <v>141110-14600</v>
      </c>
      <c r="E27" s="7" t="s">
        <v>8</v>
      </c>
      <c r="F27" s="12">
        <v>45962</v>
      </c>
      <c r="G27" s="13">
        <v>0.47916666666666669</v>
      </c>
      <c r="H27" s="1" t="s">
        <v>9</v>
      </c>
      <c r="I27" s="1" t="s">
        <v>10</v>
      </c>
      <c r="J27" s="1">
        <v>18</v>
      </c>
      <c r="K27" s="14">
        <f>VLOOKUP($C27,Sheet2!$A$2:$D$10,4,0)</f>
        <v>18</v>
      </c>
      <c r="L27" s="14" t="str">
        <f>VLOOKUP($C27,Sheet2!$A$2:$E$10,5,0)</f>
        <v>Trolley (H)</v>
      </c>
      <c r="M27" s="14"/>
      <c r="N27" s="63">
        <v>1</v>
      </c>
      <c r="O27" s="1" t="s">
        <v>119</v>
      </c>
      <c r="P27" s="1"/>
      <c r="Q27" s="8"/>
    </row>
    <row r="28" spans="1:17" ht="17.25" customHeight="1" x14ac:dyDescent="0.25">
      <c r="A28" s="15" t="s">
        <v>113</v>
      </c>
      <c r="B28" s="16" t="s">
        <v>20</v>
      </c>
      <c r="C28" s="1" t="s">
        <v>16</v>
      </c>
      <c r="D28" s="1" t="str">
        <f>VLOOKUP($C28,Sheet2!$A$2:$B$10,2,0)</f>
        <v>141120-14600</v>
      </c>
      <c r="E28" s="7" t="s">
        <v>17</v>
      </c>
      <c r="F28" s="12">
        <v>45962</v>
      </c>
      <c r="G28" s="13">
        <v>0.47916666666666669</v>
      </c>
      <c r="H28" s="1" t="s">
        <v>9</v>
      </c>
      <c r="I28" s="1" t="s">
        <v>10</v>
      </c>
      <c r="J28" s="1">
        <v>18</v>
      </c>
      <c r="K28" s="14">
        <f>VLOOKUP($C28,Sheet2!$A$2:$D$10,4,0)</f>
        <v>18</v>
      </c>
      <c r="L28" s="14" t="str">
        <f>VLOOKUP($C28,Sheet2!$A$2:$E$10,5,0)</f>
        <v>Trolley (H)</v>
      </c>
      <c r="M28" s="14"/>
      <c r="N28" s="64"/>
      <c r="O28" s="1" t="s">
        <v>119</v>
      </c>
      <c r="P28" s="1"/>
      <c r="Q28" s="8"/>
    </row>
    <row r="29" spans="1:17" ht="17.25" customHeight="1" x14ac:dyDescent="0.25">
      <c r="A29" s="15" t="s">
        <v>113</v>
      </c>
      <c r="B29" s="16" t="s">
        <v>26</v>
      </c>
      <c r="C29" s="1" t="s">
        <v>23</v>
      </c>
      <c r="D29" s="1" t="str">
        <f>VLOOKUP($C29,Sheet2!$A$2:$B$10,2,0)</f>
        <v>141185-74670</v>
      </c>
      <c r="E29" s="7" t="s">
        <v>24</v>
      </c>
      <c r="F29" s="12">
        <v>45962</v>
      </c>
      <c r="G29" s="13">
        <v>0.47916666666666669</v>
      </c>
      <c r="H29" s="1" t="s">
        <v>9</v>
      </c>
      <c r="I29" s="1" t="s">
        <v>10</v>
      </c>
      <c r="J29" s="1">
        <v>40</v>
      </c>
      <c r="K29" s="14">
        <f>VLOOKUP($C29,Sheet2!$A$2:$D$10,4,0)</f>
        <v>40</v>
      </c>
      <c r="L29" s="14" t="str">
        <f>VLOOKUP($C29,Sheet2!$A$2:$E$10,5,0)</f>
        <v>Trolley</v>
      </c>
      <c r="M29" s="14"/>
      <c r="N29" s="1">
        <f>J29/K29</f>
        <v>1</v>
      </c>
      <c r="O29" s="1" t="s">
        <v>119</v>
      </c>
      <c r="P29" s="1"/>
      <c r="Q29" s="8"/>
    </row>
    <row r="30" spans="1:17" ht="17.25" customHeight="1" x14ac:dyDescent="0.25">
      <c r="A30" s="15" t="s">
        <v>113</v>
      </c>
      <c r="B30" s="16" t="s">
        <v>33</v>
      </c>
      <c r="C30" s="1" t="s">
        <v>29</v>
      </c>
      <c r="D30" s="1" t="str">
        <f>VLOOKUP($C30,Sheet2!$A$2:$B$10,2,0)</f>
        <v>141140-91211</v>
      </c>
      <c r="E30" s="7" t="s">
        <v>30</v>
      </c>
      <c r="F30" s="12">
        <v>45962</v>
      </c>
      <c r="G30" s="13">
        <v>0.47916666666666669</v>
      </c>
      <c r="H30" s="1" t="s">
        <v>31</v>
      </c>
      <c r="I30" s="1" t="s">
        <v>10</v>
      </c>
      <c r="J30" s="1">
        <v>20</v>
      </c>
      <c r="K30" s="14">
        <f>VLOOKUP($C30,Sheet2!$A$2:$D$10,4,0)</f>
        <v>2</v>
      </c>
      <c r="L30" s="14" t="str">
        <f>VLOOKUP($C30,Sheet2!$A$2:$E$10,5,0)</f>
        <v>Bin</v>
      </c>
      <c r="M30" s="14">
        <f t="shared" ref="M30:M31" si="2">J30/K30</f>
        <v>10</v>
      </c>
      <c r="N30" s="1"/>
      <c r="O30" s="1" t="s">
        <v>119</v>
      </c>
      <c r="P30" s="1"/>
      <c r="Q30" s="8"/>
    </row>
    <row r="31" spans="1:17" ht="17.25" customHeight="1" x14ac:dyDescent="0.25">
      <c r="A31" s="15" t="s">
        <v>113</v>
      </c>
      <c r="B31" s="16" t="s">
        <v>41</v>
      </c>
      <c r="C31" s="1" t="s">
        <v>37</v>
      </c>
      <c r="D31" s="1" t="str">
        <f>VLOOKUP($C31,Sheet2!$A$2:$B$10,2,0)</f>
        <v>141150-91211</v>
      </c>
      <c r="E31" s="7" t="s">
        <v>38</v>
      </c>
      <c r="F31" s="12">
        <v>45962</v>
      </c>
      <c r="G31" s="13">
        <v>0.47916666666666669</v>
      </c>
      <c r="H31" s="1" t="s">
        <v>31</v>
      </c>
      <c r="I31" s="1" t="s">
        <v>10</v>
      </c>
      <c r="J31" s="1">
        <v>20</v>
      </c>
      <c r="K31" s="14">
        <f>VLOOKUP($C31,Sheet2!$A$2:$D$10,4,0)</f>
        <v>2</v>
      </c>
      <c r="L31" s="14" t="str">
        <f>VLOOKUP($C31,Sheet2!$A$2:$E$10,5,0)</f>
        <v>Bin</v>
      </c>
      <c r="M31" s="14">
        <f t="shared" si="2"/>
        <v>10</v>
      </c>
      <c r="N31" s="1"/>
      <c r="O31" s="1" t="s">
        <v>119</v>
      </c>
      <c r="P31" s="1"/>
      <c r="Q31" s="8"/>
    </row>
    <row r="32" spans="1:17" ht="17.25" customHeight="1" x14ac:dyDescent="0.25">
      <c r="A32" s="15" t="s">
        <v>113</v>
      </c>
      <c r="B32" s="16" t="s">
        <v>47</v>
      </c>
      <c r="C32" s="1" t="s">
        <v>45</v>
      </c>
      <c r="D32" s="1" t="str">
        <f>VLOOKUP($C32,Sheet2!$A$2:$B$10,2,0)</f>
        <v>141186-74360</v>
      </c>
      <c r="E32" s="7" t="s">
        <v>46</v>
      </c>
      <c r="F32" s="12">
        <v>45962</v>
      </c>
      <c r="G32" s="13">
        <v>0.47916666666666669</v>
      </c>
      <c r="H32" s="1" t="s">
        <v>31</v>
      </c>
      <c r="I32" s="1" t="s">
        <v>10</v>
      </c>
      <c r="J32" s="1">
        <v>40</v>
      </c>
      <c r="K32" s="14">
        <f>VLOOKUP($C32,Sheet2!$A$2:$D$10,4,0)</f>
        <v>40</v>
      </c>
      <c r="L32" s="14" t="str">
        <f>VLOOKUP($C32,Sheet2!$A$2:$E$10,5,0)</f>
        <v>Trolley</v>
      </c>
      <c r="M32" s="14"/>
      <c r="N32" s="1">
        <f>J32/K32</f>
        <v>1</v>
      </c>
      <c r="O32" s="1" t="s">
        <v>119</v>
      </c>
      <c r="P32" s="1"/>
      <c r="Q32" s="8"/>
    </row>
    <row r="33" spans="1:17" ht="17.25" customHeight="1" x14ac:dyDescent="0.25">
      <c r="A33" s="15" t="s">
        <v>112</v>
      </c>
      <c r="B33" s="16" t="s">
        <v>55</v>
      </c>
      <c r="C33" s="1" t="s">
        <v>50</v>
      </c>
      <c r="D33" s="1" t="str">
        <f>VLOOKUP($C33,Sheet2!$A$2:$B$10,2,0)</f>
        <v>116040-92240</v>
      </c>
      <c r="E33" s="7" t="s">
        <v>51</v>
      </c>
      <c r="F33" s="12">
        <v>45962</v>
      </c>
      <c r="G33" s="13">
        <v>0.47916666666666669</v>
      </c>
      <c r="H33" s="1" t="s">
        <v>52</v>
      </c>
      <c r="I33" s="1" t="s">
        <v>10</v>
      </c>
      <c r="J33" s="1">
        <v>24</v>
      </c>
      <c r="K33" s="14">
        <f>VLOOKUP($C33,Sheet2!$A$2:$D$10,4,0)</f>
        <v>6</v>
      </c>
      <c r="L33" s="14" t="str">
        <f>VLOOKUP($C33,Sheet2!$A$2:$E$10,5,0)</f>
        <v>Bin</v>
      </c>
      <c r="M33" s="14">
        <f t="shared" ref="M33:M35" si="3">J33/K33</f>
        <v>4</v>
      </c>
      <c r="N33" s="1"/>
      <c r="O33" s="1" t="s">
        <v>119</v>
      </c>
      <c r="P33" s="1"/>
      <c r="Q33" s="8"/>
    </row>
    <row r="34" spans="1:17" ht="17.25" customHeight="1" x14ac:dyDescent="0.25">
      <c r="A34" s="15" t="s">
        <v>112</v>
      </c>
      <c r="B34" s="16" t="s">
        <v>63</v>
      </c>
      <c r="C34" s="1" t="s">
        <v>59</v>
      </c>
      <c r="D34" s="1" t="str">
        <f>VLOOKUP($C34,Sheet2!$A$2:$B$10,2,0)</f>
        <v>114010-50820</v>
      </c>
      <c r="E34" s="7" t="s">
        <v>60</v>
      </c>
      <c r="F34" s="12">
        <v>45962</v>
      </c>
      <c r="G34" s="13">
        <v>0.47916666666666669</v>
      </c>
      <c r="H34" s="1" t="s">
        <v>52</v>
      </c>
      <c r="I34" s="1" t="s">
        <v>10</v>
      </c>
      <c r="J34" s="1">
        <v>9</v>
      </c>
      <c r="K34" s="14">
        <f>VLOOKUP($C34,Sheet2!$A$2:$D$10,4,0)</f>
        <v>1</v>
      </c>
      <c r="L34" s="14" t="str">
        <f>VLOOKUP($C34,Sheet2!$A$2:$E$10,5,0)</f>
        <v>Bin</v>
      </c>
      <c r="M34" s="14">
        <f t="shared" si="3"/>
        <v>9</v>
      </c>
      <c r="N34" s="1"/>
      <c r="O34" s="1" t="s">
        <v>119</v>
      </c>
      <c r="P34" s="1"/>
      <c r="Q34" s="8"/>
    </row>
    <row r="35" spans="1:17" ht="17.25" customHeight="1" x14ac:dyDescent="0.25">
      <c r="A35" s="15" t="s">
        <v>112</v>
      </c>
      <c r="B35" s="16" t="s">
        <v>69</v>
      </c>
      <c r="C35" s="1" t="s">
        <v>67</v>
      </c>
      <c r="D35" s="1" t="str">
        <f>VLOOKUP($C35,Sheet2!$A$2:$B$10,2,0)</f>
        <v>114010-50830</v>
      </c>
      <c r="E35" s="7" t="s">
        <v>60</v>
      </c>
      <c r="F35" s="12">
        <v>45962</v>
      </c>
      <c r="G35" s="13">
        <v>0.47916666666666669</v>
      </c>
      <c r="H35" s="1" t="s">
        <v>52</v>
      </c>
      <c r="I35" s="1" t="s">
        <v>10</v>
      </c>
      <c r="J35" s="1">
        <v>11</v>
      </c>
      <c r="K35" s="14">
        <f>VLOOKUP($C35,Sheet2!$A$2:$D$10,4,0)</f>
        <v>1</v>
      </c>
      <c r="L35" s="14" t="str">
        <f>VLOOKUP($C35,Sheet2!$A$2:$E$10,5,0)</f>
        <v>Bin</v>
      </c>
      <c r="M35" s="14">
        <f t="shared" si="3"/>
        <v>11</v>
      </c>
      <c r="N35" s="1"/>
      <c r="O35" s="1" t="s">
        <v>119</v>
      </c>
      <c r="P35" s="1"/>
      <c r="Q35" s="8"/>
    </row>
    <row r="36" spans="1:17" x14ac:dyDescent="0.25">
      <c r="A36" s="9"/>
      <c r="B36" s="9"/>
      <c r="C36" s="9"/>
      <c r="D36" s="10"/>
      <c r="E36" s="9"/>
      <c r="F36" s="9"/>
      <c r="G36" s="9"/>
      <c r="H36" s="9"/>
      <c r="I36" s="9"/>
      <c r="J36" s="9"/>
      <c r="K36" s="9"/>
      <c r="L36" s="9"/>
      <c r="M36" s="9">
        <v>44</v>
      </c>
      <c r="N36" s="9">
        <v>3</v>
      </c>
      <c r="O36" s="9"/>
      <c r="P36" s="9"/>
      <c r="Q36" s="11"/>
    </row>
    <row r="37" spans="1:17" ht="17.25" customHeight="1" x14ac:dyDescent="0.25">
      <c r="A37" s="15" t="s">
        <v>114</v>
      </c>
      <c r="B37" s="16" t="s">
        <v>14</v>
      </c>
      <c r="C37" s="1" t="s">
        <v>7</v>
      </c>
      <c r="D37" s="1" t="str">
        <f>VLOOKUP($C37,Sheet2!$A$2:$B$10,2,0)</f>
        <v>141110-14600</v>
      </c>
      <c r="E37" s="7" t="s">
        <v>8</v>
      </c>
      <c r="F37" s="12">
        <v>45962</v>
      </c>
      <c r="G37" s="13">
        <v>0.6875</v>
      </c>
      <c r="H37" s="1" t="s">
        <v>9</v>
      </c>
      <c r="I37" s="1" t="s">
        <v>10</v>
      </c>
      <c r="J37" s="1">
        <v>18</v>
      </c>
      <c r="K37" s="14">
        <f>VLOOKUP($C37,Sheet2!$A$2:$D$10,4,0)</f>
        <v>18</v>
      </c>
      <c r="L37" s="14" t="str">
        <f>VLOOKUP($C37,Sheet2!$A$2:$E$10,5,0)</f>
        <v>Trolley (H)</v>
      </c>
      <c r="M37" s="14"/>
      <c r="N37" s="63">
        <v>1</v>
      </c>
      <c r="O37" s="1" t="s">
        <v>120</v>
      </c>
      <c r="P37" s="1"/>
      <c r="Q37" s="8"/>
    </row>
    <row r="38" spans="1:17" ht="17.25" customHeight="1" x14ac:dyDescent="0.25">
      <c r="A38" s="15" t="s">
        <v>114</v>
      </c>
      <c r="B38" s="16" t="s">
        <v>21</v>
      </c>
      <c r="C38" s="1" t="s">
        <v>16</v>
      </c>
      <c r="D38" s="1" t="str">
        <f>VLOOKUP($C38,Sheet2!$A$2:$B$10,2,0)</f>
        <v>141120-14600</v>
      </c>
      <c r="E38" s="7" t="s">
        <v>17</v>
      </c>
      <c r="F38" s="12">
        <v>45962</v>
      </c>
      <c r="G38" s="13">
        <v>0.6875</v>
      </c>
      <c r="H38" s="1" t="s">
        <v>9</v>
      </c>
      <c r="I38" s="1" t="s">
        <v>10</v>
      </c>
      <c r="J38" s="1">
        <v>18</v>
      </c>
      <c r="K38" s="14">
        <f>VLOOKUP($C38,Sheet2!$A$2:$D$10,4,0)</f>
        <v>18</v>
      </c>
      <c r="L38" s="14" t="str">
        <f>VLOOKUP($C38,Sheet2!$A$2:$E$10,5,0)</f>
        <v>Trolley (H)</v>
      </c>
      <c r="M38" s="14"/>
      <c r="N38" s="64"/>
      <c r="O38" s="1" t="s">
        <v>120</v>
      </c>
      <c r="P38" s="1"/>
      <c r="Q38" s="8"/>
    </row>
    <row r="39" spans="1:17" ht="17.25" customHeight="1" x14ac:dyDescent="0.25">
      <c r="A39" s="15" t="s">
        <v>114</v>
      </c>
      <c r="B39" s="16" t="s">
        <v>27</v>
      </c>
      <c r="C39" s="1" t="s">
        <v>23</v>
      </c>
      <c r="D39" s="1" t="str">
        <f>VLOOKUP($C39,Sheet2!$A$2:$B$10,2,0)</f>
        <v>141185-74670</v>
      </c>
      <c r="E39" s="7" t="s">
        <v>24</v>
      </c>
      <c r="F39" s="12">
        <v>45962</v>
      </c>
      <c r="G39" s="13">
        <v>0.6875</v>
      </c>
      <c r="H39" s="1" t="s">
        <v>9</v>
      </c>
      <c r="I39" s="1" t="s">
        <v>10</v>
      </c>
      <c r="J39" s="1">
        <v>80</v>
      </c>
      <c r="K39" s="14">
        <f>VLOOKUP($C39,Sheet2!$A$2:$D$10,4,0)</f>
        <v>40</v>
      </c>
      <c r="L39" s="14" t="str">
        <f>VLOOKUP($C39,Sheet2!$A$2:$E$10,5,0)</f>
        <v>Trolley</v>
      </c>
      <c r="M39" s="14"/>
      <c r="N39" s="1">
        <f>J39/K39</f>
        <v>2</v>
      </c>
      <c r="O39" s="1" t="s">
        <v>120</v>
      </c>
      <c r="P39" s="1"/>
      <c r="Q39" s="8"/>
    </row>
    <row r="40" spans="1:17" ht="17.25" customHeight="1" x14ac:dyDescent="0.25">
      <c r="A40" s="15" t="s">
        <v>114</v>
      </c>
      <c r="B40" s="16" t="s">
        <v>34</v>
      </c>
      <c r="C40" s="1" t="s">
        <v>29</v>
      </c>
      <c r="D40" s="1" t="str">
        <f>VLOOKUP($C40,Sheet2!$A$2:$B$10,2,0)</f>
        <v>141140-91211</v>
      </c>
      <c r="E40" s="7" t="s">
        <v>30</v>
      </c>
      <c r="F40" s="12">
        <v>45962</v>
      </c>
      <c r="G40" s="13">
        <v>0.6875</v>
      </c>
      <c r="H40" s="1" t="s">
        <v>31</v>
      </c>
      <c r="I40" s="1" t="s">
        <v>10</v>
      </c>
      <c r="J40" s="1">
        <v>20</v>
      </c>
      <c r="K40" s="14">
        <f>VLOOKUP($C40,Sheet2!$A$2:$D$10,4,0)</f>
        <v>2</v>
      </c>
      <c r="L40" s="14" t="str">
        <f>VLOOKUP($C40,Sheet2!$A$2:$E$10,5,0)</f>
        <v>Bin</v>
      </c>
      <c r="M40" s="14">
        <f t="shared" ref="M40:M41" si="4">J40/K40</f>
        <v>10</v>
      </c>
      <c r="N40" s="1"/>
      <c r="O40" s="1" t="s">
        <v>120</v>
      </c>
      <c r="P40" s="1"/>
      <c r="Q40" s="8"/>
    </row>
    <row r="41" spans="1:17" ht="17.25" customHeight="1" x14ac:dyDescent="0.25">
      <c r="A41" s="15" t="s">
        <v>114</v>
      </c>
      <c r="B41" s="16" t="s">
        <v>42</v>
      </c>
      <c r="C41" s="1" t="s">
        <v>37</v>
      </c>
      <c r="D41" s="1" t="str">
        <f>VLOOKUP($C41,Sheet2!$A$2:$B$10,2,0)</f>
        <v>141150-91211</v>
      </c>
      <c r="E41" s="7" t="s">
        <v>38</v>
      </c>
      <c r="F41" s="12">
        <v>45962</v>
      </c>
      <c r="G41" s="13">
        <v>0.6875</v>
      </c>
      <c r="H41" s="1" t="s">
        <v>31</v>
      </c>
      <c r="I41" s="1" t="s">
        <v>10</v>
      </c>
      <c r="J41" s="1">
        <v>20</v>
      </c>
      <c r="K41" s="14">
        <f>VLOOKUP($C41,Sheet2!$A$2:$D$10,4,0)</f>
        <v>2</v>
      </c>
      <c r="L41" s="14" t="str">
        <f>VLOOKUP($C41,Sheet2!$A$2:$E$10,5,0)</f>
        <v>Bin</v>
      </c>
      <c r="M41" s="14">
        <f t="shared" si="4"/>
        <v>10</v>
      </c>
      <c r="N41" s="1"/>
      <c r="O41" s="1" t="s">
        <v>120</v>
      </c>
      <c r="P41" s="1"/>
      <c r="Q41" s="8"/>
    </row>
    <row r="42" spans="1:17" ht="17.25" customHeight="1" x14ac:dyDescent="0.25">
      <c r="A42" s="15" t="s">
        <v>114</v>
      </c>
      <c r="B42" s="16" t="s">
        <v>48</v>
      </c>
      <c r="C42" s="1" t="s">
        <v>45</v>
      </c>
      <c r="D42" s="1" t="str">
        <f>VLOOKUP($C42,Sheet2!$A$2:$B$10,2,0)</f>
        <v>141186-74360</v>
      </c>
      <c r="E42" s="7" t="s">
        <v>121</v>
      </c>
      <c r="F42" s="12">
        <v>45962</v>
      </c>
      <c r="G42" s="13">
        <v>0.6875</v>
      </c>
      <c r="H42" s="1" t="s">
        <v>31</v>
      </c>
      <c r="I42" s="1" t="s">
        <v>10</v>
      </c>
      <c r="J42" s="1">
        <v>80</v>
      </c>
      <c r="K42" s="14">
        <f>VLOOKUP($C42,Sheet2!$A$2:$D$10,4,0)</f>
        <v>40</v>
      </c>
      <c r="L42" s="14" t="str">
        <f>VLOOKUP($C42,Sheet2!$A$2:$E$10,5,0)</f>
        <v>Trolley</v>
      </c>
      <c r="M42" s="14"/>
      <c r="N42" s="1">
        <f>J42/K42</f>
        <v>2</v>
      </c>
      <c r="O42" s="1" t="s">
        <v>120</v>
      </c>
      <c r="P42" s="1"/>
      <c r="Q42" s="8"/>
    </row>
    <row r="43" spans="1:17" ht="17.25" customHeight="1" x14ac:dyDescent="0.25">
      <c r="A43" s="15" t="s">
        <v>115</v>
      </c>
      <c r="B43" s="16" t="s">
        <v>56</v>
      </c>
      <c r="C43" s="1" t="s">
        <v>50</v>
      </c>
      <c r="D43" s="1" t="str">
        <f>VLOOKUP($C43,Sheet2!$A$2:$B$10,2,0)</f>
        <v>116040-92240</v>
      </c>
      <c r="E43" s="7" t="s">
        <v>51</v>
      </c>
      <c r="F43" s="12">
        <v>45962</v>
      </c>
      <c r="G43" s="13">
        <v>0.6875</v>
      </c>
      <c r="H43" s="1" t="s">
        <v>52</v>
      </c>
      <c r="I43" s="1" t="s">
        <v>10</v>
      </c>
      <c r="J43" s="1">
        <v>18</v>
      </c>
      <c r="K43" s="14">
        <f>VLOOKUP($C43,Sheet2!$A$2:$D$10,4,0)</f>
        <v>6</v>
      </c>
      <c r="L43" s="14" t="str">
        <f>VLOOKUP($C43,Sheet2!$A$2:$E$10,5,0)</f>
        <v>Bin</v>
      </c>
      <c r="M43" s="14">
        <f t="shared" ref="M43:M51" si="5">J43/K43</f>
        <v>3</v>
      </c>
      <c r="N43" s="1"/>
      <c r="O43" s="1" t="s">
        <v>120</v>
      </c>
      <c r="P43" s="1"/>
      <c r="Q43" s="8"/>
    </row>
    <row r="44" spans="1:17" ht="17.25" customHeight="1" x14ac:dyDescent="0.25">
      <c r="A44" s="15" t="s">
        <v>115</v>
      </c>
      <c r="B44" s="16" t="s">
        <v>64</v>
      </c>
      <c r="C44" s="1" t="s">
        <v>59</v>
      </c>
      <c r="D44" s="1" t="str">
        <f>VLOOKUP($C44,Sheet2!$A$2:$B$10,2,0)</f>
        <v>114010-50820</v>
      </c>
      <c r="E44" s="7" t="s">
        <v>60</v>
      </c>
      <c r="F44" s="12">
        <v>45962</v>
      </c>
      <c r="G44" s="13">
        <v>0.6875</v>
      </c>
      <c r="H44" s="1" t="s">
        <v>52</v>
      </c>
      <c r="I44" s="1" t="s">
        <v>10</v>
      </c>
      <c r="J44" s="1">
        <v>8</v>
      </c>
      <c r="K44" s="14">
        <f>VLOOKUP($C44,Sheet2!$A$2:$D$10,4,0)</f>
        <v>1</v>
      </c>
      <c r="L44" s="14" t="str">
        <f>VLOOKUP($C44,Sheet2!$A$2:$E$10,5,0)</f>
        <v>Bin</v>
      </c>
      <c r="M44" s="14">
        <f t="shared" si="5"/>
        <v>8</v>
      </c>
      <c r="N44" s="1"/>
      <c r="O44" s="1" t="s">
        <v>120</v>
      </c>
      <c r="P44" s="1"/>
      <c r="Q44" s="8"/>
    </row>
    <row r="45" spans="1:17" ht="17.25" customHeight="1" x14ac:dyDescent="0.25">
      <c r="A45" s="15" t="s">
        <v>115</v>
      </c>
      <c r="B45" s="16" t="s">
        <v>70</v>
      </c>
      <c r="C45" s="1" t="s">
        <v>67</v>
      </c>
      <c r="D45" s="1" t="str">
        <f>VLOOKUP($C45,Sheet2!$A$2:$B$10,2,0)</f>
        <v>114010-50830</v>
      </c>
      <c r="E45" s="7" t="s">
        <v>60</v>
      </c>
      <c r="F45" s="12">
        <v>45962</v>
      </c>
      <c r="G45" s="13">
        <v>0.6875</v>
      </c>
      <c r="H45" s="1" t="s">
        <v>52</v>
      </c>
      <c r="I45" s="1" t="s">
        <v>10</v>
      </c>
      <c r="J45" s="1">
        <v>9</v>
      </c>
      <c r="K45" s="14">
        <f>VLOOKUP($C45,Sheet2!$A$2:$D$10,4,0)</f>
        <v>1</v>
      </c>
      <c r="L45" s="14" t="str">
        <f>VLOOKUP($C45,Sheet2!$A$2:$E$10,5,0)</f>
        <v>Bin</v>
      </c>
      <c r="M45" s="14">
        <f t="shared" si="5"/>
        <v>9</v>
      </c>
      <c r="N45" s="1"/>
      <c r="O45" s="1" t="s">
        <v>120</v>
      </c>
      <c r="P45" s="1"/>
      <c r="Q45" s="8"/>
    </row>
    <row r="46" spans="1:17" x14ac:dyDescent="0.25">
      <c r="A46" s="9"/>
      <c r="B46" s="9"/>
      <c r="C46" s="9"/>
      <c r="D46" s="10"/>
      <c r="E46" s="9"/>
      <c r="F46" s="9"/>
      <c r="G46" s="9"/>
      <c r="H46" s="9"/>
      <c r="I46" s="9"/>
      <c r="J46" s="9"/>
      <c r="K46" s="9"/>
      <c r="L46" s="9"/>
      <c r="M46" s="9">
        <v>40</v>
      </c>
      <c r="N46" s="9">
        <v>5</v>
      </c>
      <c r="O46" s="9"/>
      <c r="P46" s="9"/>
      <c r="Q46" s="11"/>
    </row>
    <row r="47" spans="1:17" ht="17.25" customHeight="1" x14ac:dyDescent="0.25">
      <c r="A47" s="15" t="s">
        <v>116</v>
      </c>
      <c r="B47" s="16" t="s">
        <v>35</v>
      </c>
      <c r="C47" s="1" t="s">
        <v>29</v>
      </c>
      <c r="D47" s="1" t="str">
        <f>VLOOKUP($C47,Sheet2!$A$2:$B$10,2,0)</f>
        <v>141140-91211</v>
      </c>
      <c r="E47" s="7" t="s">
        <v>30</v>
      </c>
      <c r="F47" s="12">
        <v>45962</v>
      </c>
      <c r="G47" s="13">
        <v>0.89583333333333337</v>
      </c>
      <c r="H47" s="1" t="s">
        <v>31</v>
      </c>
      <c r="I47" s="1" t="s">
        <v>10</v>
      </c>
      <c r="J47" s="1">
        <v>34</v>
      </c>
      <c r="K47" s="14">
        <f>VLOOKUP($C47,Sheet2!$A$2:$D$10,4,0)</f>
        <v>2</v>
      </c>
      <c r="L47" s="14" t="str">
        <f>VLOOKUP($C47,Sheet2!$A$2:$E$10,5,0)</f>
        <v>Bin</v>
      </c>
      <c r="M47" s="14">
        <f t="shared" si="5"/>
        <v>17</v>
      </c>
      <c r="N47" s="1"/>
      <c r="O47" s="1" t="s">
        <v>120</v>
      </c>
      <c r="P47" s="1"/>
      <c r="Q47" s="8"/>
    </row>
    <row r="48" spans="1:17" ht="17.25" customHeight="1" x14ac:dyDescent="0.25">
      <c r="A48" s="15" t="s">
        <v>116</v>
      </c>
      <c r="B48" s="16" t="s">
        <v>43</v>
      </c>
      <c r="C48" s="1" t="s">
        <v>37</v>
      </c>
      <c r="D48" s="1" t="str">
        <f>VLOOKUP($C48,Sheet2!$A$2:$B$10,2,0)</f>
        <v>141150-91211</v>
      </c>
      <c r="E48" s="7" t="s">
        <v>38</v>
      </c>
      <c r="F48" s="12">
        <v>45962</v>
      </c>
      <c r="G48" s="13">
        <v>0.89583333333333337</v>
      </c>
      <c r="H48" s="1" t="s">
        <v>31</v>
      </c>
      <c r="I48" s="1" t="s">
        <v>10</v>
      </c>
      <c r="J48" s="1">
        <v>20</v>
      </c>
      <c r="K48" s="14">
        <f>VLOOKUP($C48,Sheet2!$A$2:$D$10,4,0)</f>
        <v>2</v>
      </c>
      <c r="L48" s="14" t="str">
        <f>VLOOKUP($C48,Sheet2!$A$2:$E$10,5,0)</f>
        <v>Bin</v>
      </c>
      <c r="M48" s="14">
        <f t="shared" si="5"/>
        <v>10</v>
      </c>
      <c r="N48" s="1"/>
      <c r="O48" s="1" t="s">
        <v>120</v>
      </c>
      <c r="P48" s="1"/>
      <c r="Q48" s="8"/>
    </row>
    <row r="49" spans="1:17" ht="17.25" customHeight="1" x14ac:dyDescent="0.25">
      <c r="A49" s="15" t="s">
        <v>117</v>
      </c>
      <c r="B49" s="16" t="s">
        <v>57</v>
      </c>
      <c r="C49" s="1" t="s">
        <v>50</v>
      </c>
      <c r="D49" s="1" t="str">
        <f>VLOOKUP($C49,Sheet2!$A$2:$B$10,2,0)</f>
        <v>116040-92240</v>
      </c>
      <c r="E49" s="7" t="s">
        <v>51</v>
      </c>
      <c r="F49" s="12">
        <v>45962</v>
      </c>
      <c r="G49" s="13">
        <v>0.89583333333333337</v>
      </c>
      <c r="H49" s="1" t="s">
        <v>52</v>
      </c>
      <c r="I49" s="1" t="s">
        <v>10</v>
      </c>
      <c r="J49" s="1">
        <v>18</v>
      </c>
      <c r="K49" s="14">
        <f>VLOOKUP($C49,Sheet2!$A$2:$D$10,4,0)</f>
        <v>6</v>
      </c>
      <c r="L49" s="14" t="str">
        <f>VLOOKUP($C49,Sheet2!$A$2:$E$10,5,0)</f>
        <v>Bin</v>
      </c>
      <c r="M49" s="14">
        <f t="shared" si="5"/>
        <v>3</v>
      </c>
      <c r="N49" s="1"/>
      <c r="O49" s="1" t="s">
        <v>120</v>
      </c>
      <c r="P49" s="1"/>
      <c r="Q49" s="8"/>
    </row>
    <row r="50" spans="1:17" ht="17.25" customHeight="1" x14ac:dyDescent="0.25">
      <c r="A50" s="15" t="s">
        <v>117</v>
      </c>
      <c r="B50" s="16" t="s">
        <v>65</v>
      </c>
      <c r="C50" s="1" t="s">
        <v>59</v>
      </c>
      <c r="D50" s="1" t="str">
        <f>VLOOKUP($C50,Sheet2!$A$2:$B$10,2,0)</f>
        <v>114010-50820</v>
      </c>
      <c r="E50" s="7" t="s">
        <v>60</v>
      </c>
      <c r="F50" s="12">
        <v>45962</v>
      </c>
      <c r="G50" s="13">
        <v>0.89583333333333337</v>
      </c>
      <c r="H50" s="1" t="s">
        <v>52</v>
      </c>
      <c r="I50" s="1" t="s">
        <v>10</v>
      </c>
      <c r="J50" s="1">
        <v>4</v>
      </c>
      <c r="K50" s="14">
        <f>VLOOKUP($C50,Sheet2!$A$2:$D$10,4,0)</f>
        <v>1</v>
      </c>
      <c r="L50" s="14" t="str">
        <f>VLOOKUP($C50,Sheet2!$A$2:$E$10,5,0)</f>
        <v>Bin</v>
      </c>
      <c r="M50" s="14">
        <f t="shared" si="5"/>
        <v>4</v>
      </c>
      <c r="N50" s="1"/>
      <c r="O50" s="1" t="s">
        <v>120</v>
      </c>
      <c r="P50" s="1"/>
      <c r="Q50" s="8"/>
    </row>
    <row r="51" spans="1:17" ht="17.25" customHeight="1" x14ac:dyDescent="0.25">
      <c r="A51" s="15" t="s">
        <v>117</v>
      </c>
      <c r="B51" s="16" t="s">
        <v>71</v>
      </c>
      <c r="C51" s="1" t="s">
        <v>67</v>
      </c>
      <c r="D51" s="1" t="str">
        <f>VLOOKUP($C51,Sheet2!$A$2:$B$10,2,0)</f>
        <v>114010-50830</v>
      </c>
      <c r="E51" s="7" t="s">
        <v>60</v>
      </c>
      <c r="F51" s="12">
        <v>45962</v>
      </c>
      <c r="G51" s="13">
        <v>0.89583333333333337</v>
      </c>
      <c r="H51" s="1" t="s">
        <v>52</v>
      </c>
      <c r="I51" s="1" t="s">
        <v>10</v>
      </c>
      <c r="J51" s="1">
        <v>16</v>
      </c>
      <c r="K51" s="14">
        <f>VLOOKUP($C51,Sheet2!$A$2:$D$10,4,0)</f>
        <v>1</v>
      </c>
      <c r="L51" s="14" t="str">
        <f>VLOOKUP($C51,Sheet2!$A$2:$E$10,5,0)</f>
        <v>Bin</v>
      </c>
      <c r="M51" s="14">
        <f t="shared" si="5"/>
        <v>16</v>
      </c>
      <c r="N51" s="1"/>
      <c r="O51" s="1" t="s">
        <v>120</v>
      </c>
      <c r="P51" s="1"/>
      <c r="Q51" s="8"/>
    </row>
    <row r="52" spans="1:17" x14ac:dyDescent="0.25">
      <c r="A52" s="9"/>
      <c r="B52" s="9"/>
      <c r="C52" s="9"/>
      <c r="D52" s="10"/>
      <c r="E52" s="9"/>
      <c r="F52" s="9"/>
      <c r="G52" s="9"/>
      <c r="H52" s="9"/>
      <c r="I52" s="9"/>
      <c r="J52" s="9"/>
      <c r="K52" s="9"/>
      <c r="L52" s="9"/>
      <c r="M52" s="9">
        <v>50</v>
      </c>
      <c r="N52" s="9"/>
      <c r="O52" s="9"/>
      <c r="P52" s="9"/>
      <c r="Q52" s="11"/>
    </row>
  </sheetData>
  <mergeCells count="7">
    <mergeCell ref="N37:N38"/>
    <mergeCell ref="A1:F1"/>
    <mergeCell ref="J1:N1"/>
    <mergeCell ref="N4:N5"/>
    <mergeCell ref="N6:N7"/>
    <mergeCell ref="N8:N9"/>
    <mergeCell ref="N27:N28"/>
  </mergeCells>
  <conditionalFormatting sqref="B2">
    <cfRule type="duplicateValues" dxfId="1039" priority="45"/>
    <cfRule type="duplicateValues" dxfId="1038" priority="44"/>
  </conditionalFormatting>
  <conditionalFormatting sqref="B27:B35 B37:B45 B47:B51 B4:B25">
    <cfRule type="duplicateValues" dxfId="1037" priority="37"/>
  </conditionalFormatting>
  <conditionalFormatting sqref="C2:D2">
    <cfRule type="duplicateValues" dxfId="1036" priority="46"/>
    <cfRule type="duplicateValues" dxfId="1035" priority="47"/>
  </conditionalFormatting>
  <conditionalFormatting sqref="D3">
    <cfRule type="duplicateValues" dxfId="1033" priority="43"/>
    <cfRule type="duplicateValues" dxfId="1032" priority="42"/>
  </conditionalFormatting>
  <conditionalFormatting sqref="D26">
    <cfRule type="duplicateValues" dxfId="1026" priority="26"/>
    <cfRule type="duplicateValues" dxfId="1025" priority="27"/>
  </conditionalFormatting>
  <conditionalFormatting sqref="D36">
    <cfRule type="duplicateValues" dxfId="1023" priority="20"/>
    <cfRule type="duplicateValues" dxfId="1022" priority="19"/>
  </conditionalFormatting>
  <conditionalFormatting sqref="D46">
    <cfRule type="duplicateValues" dxfId="1021" priority="12"/>
    <cfRule type="duplicateValues" dxfId="1019" priority="13"/>
  </conditionalFormatting>
  <conditionalFormatting sqref="D52">
    <cfRule type="duplicateValues" dxfId="1018" priority="5"/>
    <cfRule type="duplicateValues" dxfId="1016" priority="6"/>
  </conditionalFormatting>
  <pageMargins left="0.17" right="0.17" top="0.19" bottom="0.17" header="0.17" footer="0.17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operator="containsText" text="17521M68PA0" id="{E8545AFB-17A7-452F-A809-68B851647CAE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C4:D25 C27:D35 C37:D45 C47:D51</xm:sqref>
        </x14:conditionalFormatting>
        <x14:conditionalFormatting xmlns:xm="http://schemas.microsoft.com/office/excel/2006/main">
          <x14:cfRule type="containsText" priority="54" operator="containsText" text="17521M68PA0" id="{A691CD28-DD42-4E39-8C1D-A680EC773F4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2" operator="containsText" text="17521M74T00" id="{CEA9C315-BAB8-41FB-8A9D-4C9D1D7780F9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17521M68PA0" id="{4701A8C1-AA2C-4E7B-A9B5-897EB3C6187D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9" operator="containsText" text="17521M74T00" id="{FD9018B5-BE6F-4312-93CE-F98399C6E682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D4:D25 D27:D35 D37:D45 D47:D51</xm:sqref>
        </x14:conditionalFormatting>
        <x14:conditionalFormatting xmlns:xm="http://schemas.microsoft.com/office/excel/2006/main">
          <x14:cfRule type="containsText" priority="28" operator="containsText" text="17521M68PA0" id="{B4459F38-BB55-4D2D-9643-E2AFF6596D2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ontainsText" priority="21" operator="containsText" text="17521M68PA0" id="{D4F389AB-1A04-4067-AEC8-8059E09324A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ontainsText" priority="14" operator="containsText" text="17521M68PA0" id="{14D160CC-6196-4C82-9CB8-20CD2CD4F443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D46</xm:sqref>
        </x14:conditionalFormatting>
        <x14:conditionalFormatting xmlns:xm="http://schemas.microsoft.com/office/excel/2006/main">
          <x14:cfRule type="containsText" priority="7" operator="containsText" text="17521M68PA0" id="{2FAF7334-E7F5-4CE1-9CE1-486B650FA2E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D52</xm:sqref>
        </x14:conditionalFormatting>
        <x14:conditionalFormatting xmlns:xm="http://schemas.microsoft.com/office/excel/2006/main">
          <x14:cfRule type="containsText" priority="48" operator="containsText" text="17521M68PA0" id="{2B73595E-4402-47A6-92A6-229B98C3D4C4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9" operator="containsText" text="17521M74T00" id="{2FEE7225-E02F-4E60-B477-BCE19874D0CB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39" operator="containsText" text="BELT,WATER PUMP - 7PK 975" id="{0D0F2337-92F5-4B3A-9703-294D500DD6A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D561BBB0-8A0A-40BC-A446-56458114A60E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E3:E52</xm:sqref>
        </x14:conditionalFormatting>
        <x14:conditionalFormatting xmlns:xm="http://schemas.microsoft.com/office/excel/2006/main">
          <x14:cfRule type="containsText" priority="23" operator="containsText" text="BELT,WATER PUMP - 7PK 975" id="{DE6F0393-08F2-4346-9BC2-7CA033E5751D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containsText" priority="16" operator="containsText" text="BELT,WATER PUMP - 7PK 975" id="{BDD4D412-56D2-43A1-AC52-A734A8527C7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E36</xm:sqref>
        </x14:conditionalFormatting>
        <x14:conditionalFormatting xmlns:xm="http://schemas.microsoft.com/office/excel/2006/main">
          <x14:cfRule type="containsText" priority="9" operator="containsText" text="BELT,WATER PUMP - 7PK 975" id="{898B15A2-65B2-4968-AEC0-E2BF3F948F7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E46</xm:sqref>
        </x14:conditionalFormatting>
        <x14:conditionalFormatting xmlns:xm="http://schemas.microsoft.com/office/excel/2006/main">
          <x14:cfRule type="containsText" priority="2" operator="containsText" text="BELT,WATER PUMP - 7PK 975" id="{B12FD63E-DEAA-4D5B-AA02-C4C0C9495FA1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E52</xm:sqref>
        </x14:conditionalFormatting>
        <x14:conditionalFormatting xmlns:xm="http://schemas.microsoft.com/office/excel/2006/main">
          <x14:cfRule type="containsText" priority="50" operator="containsText" text="BELT,WATER PUMP - 5PK 913" id="{2AD3E42F-FE61-4A9F-A02C-0ED24A196841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1" operator="containsText" text="BELT,WATER PUMP - 7PK 975" id="{34BB0587-4F93-4394-A234-84B0BFA1B92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52" operator="containsText" text="5PK 913" id="{8B9119D6-C8DC-411B-8B3E-5DA374A86BB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3" operator="containsText" text="7PK 975" id="{5E209407-F6AB-4D00-A87A-0C0E06ABB1BC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</xm:sqref>
        </x14:conditionalFormatting>
        <x14:conditionalFormatting xmlns:xm="http://schemas.microsoft.com/office/excel/2006/main">
          <x14:cfRule type="containsText" priority="40" operator="containsText" text="5PK 913" id="{6ACD63B8-5540-4F86-B9F3-0F3C31BBEB7B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1" operator="containsText" text="7PK 975" id="{7CC814F6-99CC-4424-B87B-CDC3A6898D4D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P3:Q3</xm:sqref>
        </x14:conditionalFormatting>
        <x14:conditionalFormatting xmlns:xm="http://schemas.microsoft.com/office/excel/2006/main">
          <x14:cfRule type="containsText" priority="25" operator="containsText" text="7PK 975" id="{52192756-709F-4B3A-9993-309ED126990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" operator="containsText" text="5PK 913" id="{BB4F744E-75B6-4CAC-8C09-25854BBA8172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P26:Q26</xm:sqref>
        </x14:conditionalFormatting>
        <x14:conditionalFormatting xmlns:xm="http://schemas.microsoft.com/office/excel/2006/main">
          <x14:cfRule type="containsText" priority="18" operator="containsText" text="7PK 975" id="{95E2B125-ECE2-4C29-A51E-65902E74E84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" operator="containsText" text="5PK 913" id="{703CF647-57EE-4979-8E9E-370772AE52C7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P36:Q36</xm:sqref>
        </x14:conditionalFormatting>
        <x14:conditionalFormatting xmlns:xm="http://schemas.microsoft.com/office/excel/2006/main">
          <x14:cfRule type="containsText" priority="10" operator="containsText" text="5PK 913" id="{2339A421-7C88-41FE-A6AC-A58C279CCE19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1" operator="containsText" text="7PK 975" id="{EE4A8FEA-F88A-40DE-8029-D4C712C37549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P46:Q46</xm:sqref>
        </x14:conditionalFormatting>
        <x14:conditionalFormatting xmlns:xm="http://schemas.microsoft.com/office/excel/2006/main">
          <x14:cfRule type="containsText" priority="3" operator="containsText" text="5PK 913" id="{5BFEF261-4C6D-4FA8-84F6-9142FB9F31D6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7PK 975" id="{92ECA44B-0600-4127-9743-275BABF99E85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P52:Q52</xm:sqref>
        </x14:conditionalFormatting>
        <x14:conditionalFormatting xmlns:xm="http://schemas.microsoft.com/office/excel/2006/main">
          <x14:cfRule type="containsText" priority="33" operator="containsText" text="5PK 913" id="{047996AD-538E-4DAC-8F2D-6AE02B30D55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Q4:Q25 Q27:Q35 Q37:Q45 Q47:Q51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A7D1-670F-4254-9D32-96171A9EDDF7}">
  <sheetPr>
    <pageSetUpPr fitToPage="1"/>
  </sheetPr>
  <dimension ref="A1:Q48"/>
  <sheetViews>
    <sheetView topLeftCell="A13" workbookViewId="0">
      <selection activeCell="E12" sqref="E12"/>
    </sheetView>
  </sheetViews>
  <sheetFormatPr defaultColWidth="99.140625" defaultRowHeight="15" x14ac:dyDescent="0.25"/>
  <cols>
    <col min="1" max="1" width="15.1406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12.5703125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bestFit="1" customWidth="1"/>
    <col min="12" max="12" width="11.7109375" customWidth="1"/>
    <col min="13" max="13" width="7.140625" bestFit="1" customWidth="1"/>
    <col min="14" max="14" width="7.85546875" bestFit="1" customWidth="1"/>
    <col min="15" max="15" width="15.28515625" bestFit="1" customWidth="1"/>
    <col min="16" max="16" width="8.5703125" bestFit="1" customWidth="1"/>
    <col min="17" max="17" width="12.7109375" bestFit="1" customWidth="1"/>
  </cols>
  <sheetData>
    <row r="1" spans="1:17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"/>
      <c r="P1" s="3"/>
      <c r="Q1" s="1"/>
    </row>
    <row r="2" spans="1:17" ht="15.75" x14ac:dyDescent="0.25">
      <c r="A2" s="4" t="s">
        <v>74</v>
      </c>
      <c r="B2" s="5">
        <v>45964</v>
      </c>
      <c r="C2" s="6"/>
      <c r="D2" s="6"/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8"/>
      <c r="Q2" s="8"/>
    </row>
    <row r="3" spans="1:17" ht="30" x14ac:dyDescent="0.25">
      <c r="A3" s="9" t="s">
        <v>75</v>
      </c>
      <c r="B3" s="9" t="s">
        <v>0</v>
      </c>
      <c r="C3" s="9" t="s">
        <v>1</v>
      </c>
      <c r="D3" s="10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84</v>
      </c>
      <c r="Q3" s="11" t="s">
        <v>85</v>
      </c>
    </row>
    <row r="4" spans="1:17" ht="17.25" customHeight="1" x14ac:dyDescent="0.25">
      <c r="A4" s="15" t="s">
        <v>162</v>
      </c>
      <c r="B4" s="16" t="s">
        <v>122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45964</v>
      </c>
      <c r="G4" s="13">
        <v>0.35416666666666669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166</v>
      </c>
      <c r="P4" s="1"/>
      <c r="Q4" s="8"/>
    </row>
    <row r="5" spans="1:17" ht="17.25" customHeight="1" x14ac:dyDescent="0.25">
      <c r="A5" s="15" t="s">
        <v>162</v>
      </c>
      <c r="B5" s="16" t="s">
        <v>126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45964</v>
      </c>
      <c r="G5" s="13">
        <v>0.35416666666666669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/>
      <c r="Q5" s="8"/>
    </row>
    <row r="6" spans="1:17" ht="17.25" customHeight="1" x14ac:dyDescent="0.25">
      <c r="A6" s="15" t="s">
        <v>162</v>
      </c>
      <c r="B6" s="16" t="s">
        <v>130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45964</v>
      </c>
      <c r="G6" s="13">
        <v>0.35416666666666669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166</v>
      </c>
      <c r="P6" s="1"/>
      <c r="Q6" s="8"/>
    </row>
    <row r="7" spans="1:17" ht="17.25" customHeight="1" x14ac:dyDescent="0.25">
      <c r="A7" s="15" t="s">
        <v>162</v>
      </c>
      <c r="B7" s="16" t="s">
        <v>131</v>
      </c>
      <c r="C7" s="1" t="s">
        <v>23</v>
      </c>
      <c r="D7" s="1" t="str">
        <f>VLOOKUP($C7,Sheet2!$A$2:$B$10,2,0)</f>
        <v>141185-74670</v>
      </c>
      <c r="E7" s="7" t="s">
        <v>24</v>
      </c>
      <c r="F7" s="12">
        <v>45964</v>
      </c>
      <c r="G7" s="13">
        <v>0.35416666666666669</v>
      </c>
      <c r="H7" s="1" t="s">
        <v>9</v>
      </c>
      <c r="I7" s="1" t="s">
        <v>10</v>
      </c>
      <c r="J7" s="1">
        <v>40</v>
      </c>
      <c r="K7" s="14">
        <f>VLOOKUP($C7,Sheet2!$A$2:$D$10,4,0)</f>
        <v>40</v>
      </c>
      <c r="L7" s="14" t="str">
        <f>VLOOKUP($C7,Sheet2!$A$2:$E$10,5,0)</f>
        <v>Trolley</v>
      </c>
      <c r="M7" s="14"/>
      <c r="N7" s="1">
        <f>J7/K7</f>
        <v>1</v>
      </c>
      <c r="O7" s="1" t="s">
        <v>166</v>
      </c>
      <c r="P7" s="1"/>
      <c r="Q7" s="8"/>
    </row>
    <row r="8" spans="1:17" ht="17.25" customHeight="1" x14ac:dyDescent="0.25">
      <c r="A8" s="15" t="s">
        <v>162</v>
      </c>
      <c r="B8" s="16" t="s">
        <v>134</v>
      </c>
      <c r="C8" s="1" t="s">
        <v>29</v>
      </c>
      <c r="D8" s="1" t="str">
        <f>VLOOKUP($C8,Sheet2!$A$2:$B$10,2,0)</f>
        <v>141140-91211</v>
      </c>
      <c r="E8" s="7" t="s">
        <v>30</v>
      </c>
      <c r="F8" s="12">
        <v>45964</v>
      </c>
      <c r="G8" s="13">
        <v>0.35416666666666669</v>
      </c>
      <c r="H8" s="1" t="s">
        <v>31</v>
      </c>
      <c r="I8" s="1" t="s">
        <v>10</v>
      </c>
      <c r="J8" s="1">
        <v>20</v>
      </c>
      <c r="K8" s="14">
        <f>VLOOKUP($C8,Sheet2!$A$2:$D$10,4,0)</f>
        <v>2</v>
      </c>
      <c r="L8" s="14" t="str">
        <f>VLOOKUP($C8,Sheet2!$A$2:$E$10,5,0)</f>
        <v>Bin</v>
      </c>
      <c r="M8" s="14">
        <f>J8/K8</f>
        <v>10</v>
      </c>
      <c r="N8" s="1"/>
      <c r="O8" s="1" t="s">
        <v>166</v>
      </c>
      <c r="P8" s="1"/>
      <c r="Q8" s="8"/>
    </row>
    <row r="9" spans="1:17" ht="17.25" customHeight="1" x14ac:dyDescent="0.25">
      <c r="A9" s="15" t="s">
        <v>162</v>
      </c>
      <c r="B9" s="16" t="s">
        <v>135</v>
      </c>
      <c r="C9" s="1" t="s">
        <v>29</v>
      </c>
      <c r="D9" s="1" t="str">
        <f>VLOOKUP($C9,Sheet2!$A$2:$B$10,2,0)</f>
        <v>141140-91211</v>
      </c>
      <c r="E9" s="7" t="s">
        <v>30</v>
      </c>
      <c r="F9" s="12">
        <v>45964</v>
      </c>
      <c r="G9" s="13">
        <v>0.35416666666666669</v>
      </c>
      <c r="H9" s="1" t="s">
        <v>31</v>
      </c>
      <c r="I9" s="1" t="s">
        <v>10</v>
      </c>
      <c r="J9" s="1">
        <v>4</v>
      </c>
      <c r="K9" s="14">
        <f>VLOOKUP($C9,Sheet2!$A$2:$D$10,4,0)</f>
        <v>2</v>
      </c>
      <c r="L9" s="14" t="str">
        <f>VLOOKUP($C9,Sheet2!$A$2:$E$10,5,0)</f>
        <v>Bin</v>
      </c>
      <c r="M9" s="14">
        <f>J9/K9</f>
        <v>2</v>
      </c>
      <c r="N9" s="1"/>
      <c r="O9" s="1" t="s">
        <v>166</v>
      </c>
      <c r="P9" s="1"/>
      <c r="Q9" s="8"/>
    </row>
    <row r="10" spans="1:17" ht="17.25" customHeight="1" x14ac:dyDescent="0.25">
      <c r="A10" s="15" t="s">
        <v>162</v>
      </c>
      <c r="B10" s="16" t="s">
        <v>139</v>
      </c>
      <c r="C10" s="1" t="s">
        <v>37</v>
      </c>
      <c r="D10" s="1" t="str">
        <f>VLOOKUP($C10,Sheet2!$A$2:$B$10,2,0)</f>
        <v>141150-91211</v>
      </c>
      <c r="E10" s="7" t="s">
        <v>38</v>
      </c>
      <c r="F10" s="12">
        <v>45964</v>
      </c>
      <c r="G10" s="13">
        <v>0.35416666666666669</v>
      </c>
      <c r="H10" s="1" t="s">
        <v>31</v>
      </c>
      <c r="I10" s="1" t="s">
        <v>10</v>
      </c>
      <c r="J10" s="1">
        <v>20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10</v>
      </c>
      <c r="N10" s="1"/>
      <c r="O10" s="1" t="s">
        <v>166</v>
      </c>
      <c r="P10" s="1"/>
      <c r="Q10" s="8"/>
    </row>
    <row r="11" spans="1:17" ht="17.25" customHeight="1" x14ac:dyDescent="0.25">
      <c r="A11" s="15" t="s">
        <v>162</v>
      </c>
      <c r="B11" s="16" t="s">
        <v>140</v>
      </c>
      <c r="C11" s="1" t="s">
        <v>37</v>
      </c>
      <c r="D11" s="1" t="str">
        <f>VLOOKUP($C11,Sheet2!$A$2:$B$10,2,0)</f>
        <v>141150-91211</v>
      </c>
      <c r="E11" s="7" t="s">
        <v>38</v>
      </c>
      <c r="F11" s="12">
        <v>45964</v>
      </c>
      <c r="G11" s="13">
        <v>0.35416666666666669</v>
      </c>
      <c r="H11" s="1" t="s">
        <v>31</v>
      </c>
      <c r="I11" s="1" t="s">
        <v>10</v>
      </c>
      <c r="J11" s="1">
        <v>4</v>
      </c>
      <c r="K11" s="14">
        <f>VLOOKUP($C11,Sheet2!$A$2:$D$10,4,0)</f>
        <v>2</v>
      </c>
      <c r="L11" s="14" t="str">
        <f>VLOOKUP($C11,Sheet2!$A$2:$E$10,5,0)</f>
        <v>Bin</v>
      </c>
      <c r="M11" s="14">
        <f>J11/K11</f>
        <v>2</v>
      </c>
      <c r="N11" s="1"/>
      <c r="O11" s="1" t="s">
        <v>166</v>
      </c>
      <c r="P11" s="1"/>
      <c r="Q11" s="8"/>
    </row>
    <row r="12" spans="1:17" ht="17.25" customHeight="1" x14ac:dyDescent="0.25">
      <c r="A12" s="15" t="s">
        <v>162</v>
      </c>
      <c r="B12" s="16" t="s">
        <v>144</v>
      </c>
      <c r="C12" s="1" t="s">
        <v>45</v>
      </c>
      <c r="D12" s="1" t="str">
        <f>VLOOKUP($C12,Sheet2!$A$2:$B$10,2,0)</f>
        <v>141186-74360</v>
      </c>
      <c r="E12" s="7" t="s">
        <v>46</v>
      </c>
      <c r="F12" s="12">
        <v>45964</v>
      </c>
      <c r="G12" s="13">
        <v>0.35416666666666669</v>
      </c>
      <c r="H12" s="1" t="s">
        <v>31</v>
      </c>
      <c r="I12" s="1" t="s">
        <v>10</v>
      </c>
      <c r="J12" s="1">
        <v>40</v>
      </c>
      <c r="K12" s="14">
        <f>VLOOKUP($C12,Sheet2!$A$2:$D$10,4,0)</f>
        <v>40</v>
      </c>
      <c r="L12" s="14" t="str">
        <f>VLOOKUP($C12,Sheet2!$A$2:$E$10,5,0)</f>
        <v>Trolley</v>
      </c>
      <c r="M12" s="14"/>
      <c r="N12" s="1">
        <f>J12/K12</f>
        <v>1</v>
      </c>
      <c r="O12" s="1" t="s">
        <v>166</v>
      </c>
      <c r="P12" s="1"/>
      <c r="Q12" s="8"/>
    </row>
    <row r="13" spans="1:17" ht="17.25" customHeight="1" x14ac:dyDescent="0.25">
      <c r="A13" s="15" t="s">
        <v>163</v>
      </c>
      <c r="B13" s="16" t="s">
        <v>148</v>
      </c>
      <c r="C13" s="1" t="s">
        <v>50</v>
      </c>
      <c r="D13" s="1" t="str">
        <f>VLOOKUP($C13,Sheet2!$A$2:$B$10,2,0)</f>
        <v>116040-92240</v>
      </c>
      <c r="E13" s="7" t="s">
        <v>51</v>
      </c>
      <c r="F13" s="12">
        <v>45964</v>
      </c>
      <c r="G13" s="13">
        <v>0.35416666666666669</v>
      </c>
      <c r="H13" s="1" t="s">
        <v>52</v>
      </c>
      <c r="I13" s="1" t="s">
        <v>10</v>
      </c>
      <c r="J13" s="1">
        <v>18</v>
      </c>
      <c r="K13" s="14">
        <f>VLOOKUP($C13,Sheet2!$A$2:$D$10,4,0)</f>
        <v>6</v>
      </c>
      <c r="L13" s="14" t="str">
        <f>VLOOKUP($C13,Sheet2!$A$2:$E$10,5,0)</f>
        <v>Bin</v>
      </c>
      <c r="M13" s="14">
        <f>J13/K13</f>
        <v>3</v>
      </c>
      <c r="N13" s="1"/>
      <c r="O13" s="1" t="s">
        <v>166</v>
      </c>
      <c r="P13" s="1"/>
      <c r="Q13" s="8"/>
    </row>
    <row r="14" spans="1:17" ht="17.25" customHeight="1" x14ac:dyDescent="0.25">
      <c r="A14" s="15" t="s">
        <v>163</v>
      </c>
      <c r="B14" s="16" t="s">
        <v>152</v>
      </c>
      <c r="C14" s="1" t="s">
        <v>59</v>
      </c>
      <c r="D14" s="1" t="str">
        <f>VLOOKUP($C14,Sheet2!$A$2:$B$10,2,0)</f>
        <v>114010-50820</v>
      </c>
      <c r="E14" s="7" t="s">
        <v>60</v>
      </c>
      <c r="F14" s="12">
        <v>45964</v>
      </c>
      <c r="G14" s="13">
        <v>0.35416666666666669</v>
      </c>
      <c r="H14" s="1" t="s">
        <v>52</v>
      </c>
      <c r="I14" s="1" t="s">
        <v>10</v>
      </c>
      <c r="J14" s="1">
        <v>12</v>
      </c>
      <c r="K14" s="14">
        <f>VLOOKUP($C14,Sheet2!$A$2:$D$10,4,0)</f>
        <v>1</v>
      </c>
      <c r="L14" s="14" t="str">
        <f>VLOOKUP($C14,Sheet2!$A$2:$E$10,5,0)</f>
        <v>Bin</v>
      </c>
      <c r="M14" s="14">
        <f>J14/K14</f>
        <v>12</v>
      </c>
      <c r="N14" s="1"/>
      <c r="O14" s="1" t="s">
        <v>166</v>
      </c>
      <c r="P14" s="1"/>
      <c r="Q14" s="8"/>
    </row>
    <row r="15" spans="1:17" ht="17.25" customHeight="1" x14ac:dyDescent="0.25">
      <c r="A15" s="15" t="s">
        <v>163</v>
      </c>
      <c r="B15" s="16" t="s">
        <v>153</v>
      </c>
      <c r="C15" s="1" t="s">
        <v>59</v>
      </c>
      <c r="D15" s="1" t="str">
        <f>VLOOKUP($C15,Sheet2!$A$2:$B$10,2,0)</f>
        <v>114010-50820</v>
      </c>
      <c r="E15" s="7" t="s">
        <v>60</v>
      </c>
      <c r="F15" s="12">
        <v>45964</v>
      </c>
      <c r="G15" s="13">
        <v>0.35416666666666669</v>
      </c>
      <c r="H15" s="1" t="s">
        <v>52</v>
      </c>
      <c r="I15" s="1" t="s">
        <v>10</v>
      </c>
      <c r="J15" s="1">
        <v>2</v>
      </c>
      <c r="K15" s="14">
        <f>VLOOKUP($C15,Sheet2!$A$2:$D$10,4,0)</f>
        <v>1</v>
      </c>
      <c r="L15" s="14" t="str">
        <f>VLOOKUP($C15,Sheet2!$A$2:$E$10,5,0)</f>
        <v>Bin</v>
      </c>
      <c r="M15" s="14">
        <f>J15/K15</f>
        <v>2</v>
      </c>
      <c r="N15" s="1"/>
      <c r="O15" s="1" t="s">
        <v>166</v>
      </c>
      <c r="P15" s="1"/>
      <c r="Q15" s="8"/>
    </row>
    <row r="16" spans="1:17" ht="17.25" customHeight="1" x14ac:dyDescent="0.25">
      <c r="A16" s="15" t="s">
        <v>163</v>
      </c>
      <c r="B16" s="16" t="s">
        <v>157</v>
      </c>
      <c r="C16" s="1" t="s">
        <v>67</v>
      </c>
      <c r="D16" s="1" t="str">
        <f>VLOOKUP($C16,Sheet2!$A$2:$B$10,2,0)</f>
        <v>114010-50830</v>
      </c>
      <c r="E16" s="7" t="s">
        <v>60</v>
      </c>
      <c r="F16" s="12">
        <v>45964</v>
      </c>
      <c r="G16" s="13">
        <v>0.35416666666666669</v>
      </c>
      <c r="H16" s="1" t="s">
        <v>52</v>
      </c>
      <c r="I16" s="1" t="s">
        <v>10</v>
      </c>
      <c r="J16" s="1">
        <v>8</v>
      </c>
      <c r="K16" s="14">
        <f>VLOOKUP($C16,Sheet2!$A$2:$D$10,4,0)</f>
        <v>1</v>
      </c>
      <c r="L16" s="14" t="str">
        <f>VLOOKUP($C16,Sheet2!$A$2:$E$10,5,0)</f>
        <v>Bin</v>
      </c>
      <c r="M16" s="14">
        <f>J16/K16</f>
        <v>8</v>
      </c>
      <c r="N16" s="1"/>
      <c r="O16" s="1" t="s">
        <v>166</v>
      </c>
      <c r="P16" s="1"/>
      <c r="Q16" s="8"/>
    </row>
    <row r="17" spans="1:17" ht="17.25" customHeight="1" x14ac:dyDescent="0.25">
      <c r="A17" s="15" t="s">
        <v>163</v>
      </c>
      <c r="B17" s="16" t="s">
        <v>158</v>
      </c>
      <c r="C17" s="1" t="s">
        <v>67</v>
      </c>
      <c r="D17" s="1" t="str">
        <f>VLOOKUP($C17,Sheet2!$A$2:$B$10,2,0)</f>
        <v>114010-50830</v>
      </c>
      <c r="E17" s="7" t="s">
        <v>60</v>
      </c>
      <c r="F17" s="12">
        <v>45964</v>
      </c>
      <c r="G17" s="13">
        <v>0.35416666666666669</v>
      </c>
      <c r="H17" s="1" t="s">
        <v>52</v>
      </c>
      <c r="I17" s="1" t="s">
        <v>10</v>
      </c>
      <c r="J17" s="1">
        <v>3</v>
      </c>
      <c r="K17" s="14">
        <f>VLOOKUP($C17,Sheet2!$A$2:$D$10,4,0)</f>
        <v>1</v>
      </c>
      <c r="L17" s="14" t="str">
        <f>VLOOKUP($C17,Sheet2!$A$2:$E$10,5,0)</f>
        <v>Bin</v>
      </c>
      <c r="M17" s="14">
        <f>J17/K17</f>
        <v>3</v>
      </c>
      <c r="N17" s="1"/>
      <c r="O17" s="1" t="s">
        <v>166</v>
      </c>
      <c r="P17" s="1"/>
      <c r="Q17" s="8"/>
    </row>
    <row r="18" spans="1:17" x14ac:dyDescent="0.25">
      <c r="A18" s="9"/>
      <c r="B18" s="9"/>
      <c r="C18" s="9"/>
      <c r="D18" s="10"/>
      <c r="E18" s="9"/>
      <c r="F18" s="9"/>
      <c r="G18" s="9"/>
      <c r="H18" s="9"/>
      <c r="I18" s="9"/>
      <c r="J18" s="9"/>
      <c r="K18" s="9"/>
      <c r="L18" s="9"/>
      <c r="M18" s="9">
        <v>52</v>
      </c>
      <c r="N18" s="9">
        <v>4</v>
      </c>
      <c r="O18" s="9"/>
      <c r="P18" s="9"/>
      <c r="Q18" s="11"/>
    </row>
    <row r="19" spans="1:17" ht="17.25" customHeight="1" x14ac:dyDescent="0.25">
      <c r="A19" s="15" t="s">
        <v>164</v>
      </c>
      <c r="B19" s="16" t="s">
        <v>123</v>
      </c>
      <c r="C19" s="1" t="s">
        <v>7</v>
      </c>
      <c r="D19" s="1" t="str">
        <f>VLOOKUP($C19,Sheet2!$A$2:$B$10,2,0)</f>
        <v>141110-14600</v>
      </c>
      <c r="E19" s="7" t="s">
        <v>8</v>
      </c>
      <c r="F19" s="12">
        <v>45964</v>
      </c>
      <c r="G19" s="13">
        <v>0.5625</v>
      </c>
      <c r="H19" s="1" t="s">
        <v>9</v>
      </c>
      <c r="I19" s="1" t="s">
        <v>10</v>
      </c>
      <c r="J19" s="1">
        <v>18</v>
      </c>
      <c r="K19" s="14">
        <f>VLOOKUP($C19,Sheet2!$A$2:$D$10,4,0)</f>
        <v>18</v>
      </c>
      <c r="L19" s="14" t="str">
        <f>VLOOKUP($C19,Sheet2!$A$2:$E$10,5,0)</f>
        <v>Trolley (H)</v>
      </c>
      <c r="M19" s="14"/>
      <c r="N19" s="63">
        <v>1</v>
      </c>
      <c r="O19" s="1" t="s">
        <v>171</v>
      </c>
      <c r="P19" s="1"/>
      <c r="Q19" s="8"/>
    </row>
    <row r="20" spans="1:17" ht="17.25" customHeight="1" x14ac:dyDescent="0.25">
      <c r="A20" s="15" t="s">
        <v>164</v>
      </c>
      <c r="B20" s="16" t="s">
        <v>127</v>
      </c>
      <c r="C20" s="1" t="s">
        <v>16</v>
      </c>
      <c r="D20" s="1" t="str">
        <f>VLOOKUP($C20,Sheet2!$A$2:$B$10,2,0)</f>
        <v>141120-14600</v>
      </c>
      <c r="E20" s="7" t="s">
        <v>17</v>
      </c>
      <c r="F20" s="12">
        <v>45964</v>
      </c>
      <c r="G20" s="13">
        <v>0.5625</v>
      </c>
      <c r="H20" s="1" t="s">
        <v>9</v>
      </c>
      <c r="I20" s="1" t="s">
        <v>10</v>
      </c>
      <c r="J20" s="1">
        <v>18</v>
      </c>
      <c r="K20" s="14">
        <f>VLOOKUP($C20,Sheet2!$A$2:$D$10,4,0)</f>
        <v>18</v>
      </c>
      <c r="L20" s="14" t="str">
        <f>VLOOKUP($C20,Sheet2!$A$2:$E$10,5,0)</f>
        <v>Trolley (H)</v>
      </c>
      <c r="M20" s="14"/>
      <c r="N20" s="64"/>
      <c r="O20" s="1" t="s">
        <v>171</v>
      </c>
      <c r="P20" s="1"/>
      <c r="Q20" s="8"/>
    </row>
    <row r="21" spans="1:17" ht="17.25" customHeight="1" x14ac:dyDescent="0.25">
      <c r="A21" s="15" t="s">
        <v>164</v>
      </c>
      <c r="B21" s="16" t="s">
        <v>132</v>
      </c>
      <c r="C21" s="1" t="s">
        <v>23</v>
      </c>
      <c r="D21" s="1" t="str">
        <f>VLOOKUP($C21,Sheet2!$A$2:$B$10,2,0)</f>
        <v>141185-74670</v>
      </c>
      <c r="E21" s="7" t="s">
        <v>24</v>
      </c>
      <c r="F21" s="12">
        <v>45964</v>
      </c>
      <c r="G21" s="13">
        <v>0.5625</v>
      </c>
      <c r="H21" s="1" t="s">
        <v>9</v>
      </c>
      <c r="I21" s="1" t="s">
        <v>10</v>
      </c>
      <c r="J21" s="1">
        <v>40</v>
      </c>
      <c r="K21" s="14">
        <f>VLOOKUP($C21,Sheet2!$A$2:$D$10,4,0)</f>
        <v>40</v>
      </c>
      <c r="L21" s="14" t="str">
        <f>VLOOKUP($C21,Sheet2!$A$2:$E$10,5,0)</f>
        <v>Trolley</v>
      </c>
      <c r="M21" s="14"/>
      <c r="N21" s="1">
        <f>J21/K21</f>
        <v>1</v>
      </c>
      <c r="O21" s="1" t="s">
        <v>171</v>
      </c>
      <c r="P21" s="1"/>
      <c r="Q21" s="8"/>
    </row>
    <row r="22" spans="1:17" ht="17.25" customHeight="1" x14ac:dyDescent="0.25">
      <c r="A22" s="15" t="s">
        <v>164</v>
      </c>
      <c r="B22" s="16" t="s">
        <v>136</v>
      </c>
      <c r="C22" s="1" t="s">
        <v>29</v>
      </c>
      <c r="D22" s="1" t="str">
        <f>VLOOKUP($C22,Sheet2!$A$2:$B$10,2,0)</f>
        <v>141140-91211</v>
      </c>
      <c r="E22" s="7" t="s">
        <v>30</v>
      </c>
      <c r="F22" s="12">
        <v>45964</v>
      </c>
      <c r="G22" s="13">
        <v>0.5625</v>
      </c>
      <c r="H22" s="1" t="s">
        <v>31</v>
      </c>
      <c r="I22" s="1" t="s">
        <v>10</v>
      </c>
      <c r="J22" s="1">
        <v>20</v>
      </c>
      <c r="K22" s="14">
        <f>VLOOKUP($C22,Sheet2!$A$2:$D$10,4,0)</f>
        <v>2</v>
      </c>
      <c r="L22" s="14" t="str">
        <f>VLOOKUP($C22,Sheet2!$A$2:$E$10,5,0)</f>
        <v>Bin</v>
      </c>
      <c r="M22" s="14">
        <f>J22/K22</f>
        <v>10</v>
      </c>
      <c r="N22" s="1"/>
      <c r="O22" s="1" t="s">
        <v>171</v>
      </c>
      <c r="P22" s="1"/>
      <c r="Q22" s="8"/>
    </row>
    <row r="23" spans="1:17" ht="17.25" customHeight="1" x14ac:dyDescent="0.25">
      <c r="A23" s="15" t="s">
        <v>164</v>
      </c>
      <c r="B23" s="16" t="s">
        <v>141</v>
      </c>
      <c r="C23" s="1" t="s">
        <v>37</v>
      </c>
      <c r="D23" s="1" t="str">
        <f>VLOOKUP($C23,Sheet2!$A$2:$B$10,2,0)</f>
        <v>141150-91211</v>
      </c>
      <c r="E23" s="7" t="s">
        <v>38</v>
      </c>
      <c r="F23" s="12">
        <v>45964</v>
      </c>
      <c r="G23" s="13">
        <v>0.5625</v>
      </c>
      <c r="H23" s="1" t="s">
        <v>31</v>
      </c>
      <c r="I23" s="1" t="s">
        <v>10</v>
      </c>
      <c r="J23" s="1">
        <v>20</v>
      </c>
      <c r="K23" s="14">
        <f>VLOOKUP($C23,Sheet2!$A$2:$D$10,4,0)</f>
        <v>2</v>
      </c>
      <c r="L23" s="14" t="str">
        <f>VLOOKUP($C23,Sheet2!$A$2:$E$10,5,0)</f>
        <v>Bin</v>
      </c>
      <c r="M23" s="14">
        <f>J23/K23</f>
        <v>10</v>
      </c>
      <c r="N23" s="1"/>
      <c r="O23" s="1" t="s">
        <v>171</v>
      </c>
      <c r="P23" s="1"/>
      <c r="Q23" s="8"/>
    </row>
    <row r="24" spans="1:17" ht="17.25" customHeight="1" x14ac:dyDescent="0.25">
      <c r="A24" s="15" t="s">
        <v>164</v>
      </c>
      <c r="B24" s="16" t="s">
        <v>145</v>
      </c>
      <c r="C24" s="1" t="s">
        <v>45</v>
      </c>
      <c r="D24" s="1" t="str">
        <f>VLOOKUP($C24,Sheet2!$A$2:$B$10,2,0)</f>
        <v>141186-74360</v>
      </c>
      <c r="E24" s="7" t="s">
        <v>46</v>
      </c>
      <c r="F24" s="12">
        <v>45964</v>
      </c>
      <c r="G24" s="13">
        <v>0.5625</v>
      </c>
      <c r="H24" s="1" t="s">
        <v>31</v>
      </c>
      <c r="I24" s="1" t="s">
        <v>10</v>
      </c>
      <c r="J24" s="1">
        <v>40</v>
      </c>
      <c r="K24" s="14">
        <f>VLOOKUP($C24,Sheet2!$A$2:$D$10,4,0)</f>
        <v>40</v>
      </c>
      <c r="L24" s="14" t="str">
        <f>VLOOKUP($C24,Sheet2!$A$2:$E$10,5,0)</f>
        <v>Trolley</v>
      </c>
      <c r="M24" s="14"/>
      <c r="N24" s="1">
        <f>J24/K24</f>
        <v>1</v>
      </c>
      <c r="O24" s="1" t="s">
        <v>171</v>
      </c>
      <c r="P24" s="1"/>
      <c r="Q24" s="8"/>
    </row>
    <row r="25" spans="1:17" ht="17.25" customHeight="1" x14ac:dyDescent="0.25">
      <c r="A25" s="15" t="s">
        <v>165</v>
      </c>
      <c r="B25" s="16" t="s">
        <v>149</v>
      </c>
      <c r="C25" s="1" t="s">
        <v>50</v>
      </c>
      <c r="D25" s="1" t="str">
        <f>VLOOKUP($C25,Sheet2!$A$2:$B$10,2,0)</f>
        <v>116040-92240</v>
      </c>
      <c r="E25" s="7" t="s">
        <v>51</v>
      </c>
      <c r="F25" s="12">
        <v>45964</v>
      </c>
      <c r="G25" s="13">
        <v>0.5625</v>
      </c>
      <c r="H25" s="1" t="s">
        <v>52</v>
      </c>
      <c r="I25" s="1" t="s">
        <v>10</v>
      </c>
      <c r="J25" s="1">
        <v>18</v>
      </c>
      <c r="K25" s="14">
        <f>VLOOKUP($C25,Sheet2!$A$2:$D$10,4,0)</f>
        <v>6</v>
      </c>
      <c r="L25" s="14" t="str">
        <f>VLOOKUP($C25,Sheet2!$A$2:$E$10,5,0)</f>
        <v>Bin</v>
      </c>
      <c r="M25" s="14">
        <f>J25/K25</f>
        <v>3</v>
      </c>
      <c r="N25" s="1"/>
      <c r="O25" s="1" t="s">
        <v>171</v>
      </c>
      <c r="P25" s="1"/>
      <c r="Q25" s="8"/>
    </row>
    <row r="26" spans="1:17" ht="17.25" customHeight="1" x14ac:dyDescent="0.25">
      <c r="A26" s="15" t="s">
        <v>165</v>
      </c>
      <c r="B26" s="16" t="s">
        <v>154</v>
      </c>
      <c r="C26" s="1" t="s">
        <v>59</v>
      </c>
      <c r="D26" s="1" t="str">
        <f>VLOOKUP($C26,Sheet2!$A$2:$B$10,2,0)</f>
        <v>114010-50820</v>
      </c>
      <c r="E26" s="7" t="s">
        <v>60</v>
      </c>
      <c r="F26" s="12">
        <v>45964</v>
      </c>
      <c r="G26" s="13">
        <v>0.5625</v>
      </c>
      <c r="H26" s="1" t="s">
        <v>52</v>
      </c>
      <c r="I26" s="1" t="s">
        <v>10</v>
      </c>
      <c r="J26" s="1">
        <v>10</v>
      </c>
      <c r="K26" s="14">
        <f>VLOOKUP($C26,Sheet2!$A$2:$D$10,4,0)</f>
        <v>1</v>
      </c>
      <c r="L26" s="14" t="str">
        <f>VLOOKUP($C26,Sheet2!$A$2:$E$10,5,0)</f>
        <v>Bin</v>
      </c>
      <c r="M26" s="14">
        <f>J26/K26</f>
        <v>10</v>
      </c>
      <c r="N26" s="1"/>
      <c r="O26" s="1" t="s">
        <v>171</v>
      </c>
      <c r="P26" s="1"/>
      <c r="Q26" s="8"/>
    </row>
    <row r="27" spans="1:17" ht="17.25" customHeight="1" x14ac:dyDescent="0.25">
      <c r="A27" s="15" t="s">
        <v>165</v>
      </c>
      <c r="B27" s="16" t="s">
        <v>159</v>
      </c>
      <c r="C27" s="1" t="s">
        <v>67</v>
      </c>
      <c r="D27" s="1" t="str">
        <f>VLOOKUP($C27,Sheet2!$A$2:$B$10,2,0)</f>
        <v>114010-50830</v>
      </c>
      <c r="E27" s="7" t="s">
        <v>60</v>
      </c>
      <c r="F27" s="12">
        <v>45964</v>
      </c>
      <c r="G27" s="13">
        <v>0.5625</v>
      </c>
      <c r="H27" s="1" t="s">
        <v>52</v>
      </c>
      <c r="I27" s="1" t="s">
        <v>10</v>
      </c>
      <c r="J27" s="1">
        <v>10</v>
      </c>
      <c r="K27" s="14">
        <f>VLOOKUP($C27,Sheet2!$A$2:$D$10,4,0)</f>
        <v>1</v>
      </c>
      <c r="L27" s="14" t="str">
        <f>VLOOKUP($C27,Sheet2!$A$2:$E$10,5,0)</f>
        <v>Bin</v>
      </c>
      <c r="M27" s="14">
        <f>J27/K27</f>
        <v>10</v>
      </c>
      <c r="N27" s="1"/>
      <c r="O27" s="1" t="s">
        <v>171</v>
      </c>
      <c r="P27" s="1"/>
      <c r="Q27" s="8"/>
    </row>
    <row r="28" spans="1:17" x14ac:dyDescent="0.25">
      <c r="A28" s="9"/>
      <c r="B28" s="9"/>
      <c r="C28" s="9"/>
      <c r="D28" s="10"/>
      <c r="E28" s="9"/>
      <c r="F28" s="9"/>
      <c r="G28" s="9"/>
      <c r="H28" s="9"/>
      <c r="I28" s="9"/>
      <c r="J28" s="9"/>
      <c r="K28" s="9"/>
      <c r="L28" s="9"/>
      <c r="M28" s="9">
        <v>43</v>
      </c>
      <c r="N28" s="9">
        <v>3</v>
      </c>
      <c r="O28" s="9"/>
      <c r="P28" s="9"/>
      <c r="Q28" s="11"/>
    </row>
    <row r="29" spans="1:17" ht="17.25" customHeight="1" x14ac:dyDescent="0.25">
      <c r="A29" s="15" t="s">
        <v>167</v>
      </c>
      <c r="B29" s="16" t="s">
        <v>124</v>
      </c>
      <c r="C29" s="1" t="s">
        <v>7</v>
      </c>
      <c r="D29" s="1" t="str">
        <f>VLOOKUP($C29,Sheet2!$A$2:$B$10,2,0)</f>
        <v>141110-14600</v>
      </c>
      <c r="E29" s="7" t="s">
        <v>8</v>
      </c>
      <c r="F29" s="12">
        <v>45964</v>
      </c>
      <c r="G29" s="13">
        <v>0.77083333333333337</v>
      </c>
      <c r="H29" s="1" t="s">
        <v>9</v>
      </c>
      <c r="I29" s="1" t="s">
        <v>10</v>
      </c>
      <c r="J29" s="1">
        <v>18</v>
      </c>
      <c r="K29" s="14">
        <f>VLOOKUP($C29,Sheet2!$A$2:$D$10,4,0)</f>
        <v>18</v>
      </c>
      <c r="L29" s="14" t="str">
        <f>VLOOKUP($C29,Sheet2!$A$2:$E$10,5,0)</f>
        <v>Trolley (H)</v>
      </c>
      <c r="M29" s="14"/>
      <c r="N29" s="63">
        <v>1</v>
      </c>
      <c r="O29" s="1" t="s">
        <v>119</v>
      </c>
      <c r="P29" s="1"/>
      <c r="Q29" s="8"/>
    </row>
    <row r="30" spans="1:17" ht="17.25" customHeight="1" x14ac:dyDescent="0.25">
      <c r="A30" s="15" t="s">
        <v>167</v>
      </c>
      <c r="B30" s="16" t="s">
        <v>128</v>
      </c>
      <c r="C30" s="1" t="s">
        <v>16</v>
      </c>
      <c r="D30" s="1" t="str">
        <f>VLOOKUP($C30,Sheet2!$A$2:$B$10,2,0)</f>
        <v>141120-14600</v>
      </c>
      <c r="E30" s="7" t="s">
        <v>17</v>
      </c>
      <c r="F30" s="12">
        <v>45964</v>
      </c>
      <c r="G30" s="13">
        <v>0.77083333333333337</v>
      </c>
      <c r="H30" s="1" t="s">
        <v>9</v>
      </c>
      <c r="I30" s="1" t="s">
        <v>10</v>
      </c>
      <c r="J30" s="1">
        <v>18</v>
      </c>
      <c r="K30" s="14">
        <f>VLOOKUP($C30,Sheet2!$A$2:$D$10,4,0)</f>
        <v>18</v>
      </c>
      <c r="L30" s="14" t="str">
        <f>VLOOKUP($C30,Sheet2!$A$2:$E$10,5,0)</f>
        <v>Trolley (H)</v>
      </c>
      <c r="M30" s="14"/>
      <c r="N30" s="64"/>
      <c r="O30" s="1" t="s">
        <v>119</v>
      </c>
      <c r="P30" s="1"/>
      <c r="Q30" s="8"/>
    </row>
    <row r="31" spans="1:17" ht="17.25" customHeight="1" x14ac:dyDescent="0.25">
      <c r="A31" s="15" t="s">
        <v>167</v>
      </c>
      <c r="B31" s="16" t="s">
        <v>133</v>
      </c>
      <c r="C31" s="1" t="s">
        <v>23</v>
      </c>
      <c r="D31" s="1" t="str">
        <f>VLOOKUP($C31,Sheet2!$A$2:$B$10,2,0)</f>
        <v>141185-74670</v>
      </c>
      <c r="E31" s="7" t="s">
        <v>24</v>
      </c>
      <c r="F31" s="12">
        <v>45964</v>
      </c>
      <c r="G31" s="13">
        <v>0.77083333333333337</v>
      </c>
      <c r="H31" s="1" t="s">
        <v>9</v>
      </c>
      <c r="I31" s="1" t="s">
        <v>10</v>
      </c>
      <c r="J31" s="1">
        <v>40</v>
      </c>
      <c r="K31" s="14">
        <f>VLOOKUP($C31,Sheet2!$A$2:$D$10,4,0)</f>
        <v>40</v>
      </c>
      <c r="L31" s="14" t="str">
        <f>VLOOKUP($C31,Sheet2!$A$2:$E$10,5,0)</f>
        <v>Trolley</v>
      </c>
      <c r="M31" s="14"/>
      <c r="N31" s="1">
        <f>J31/K31</f>
        <v>1</v>
      </c>
      <c r="O31" s="1" t="s">
        <v>119</v>
      </c>
      <c r="P31" s="1"/>
      <c r="Q31" s="8"/>
    </row>
    <row r="32" spans="1:17" ht="17.25" customHeight="1" x14ac:dyDescent="0.25">
      <c r="A32" s="15" t="s">
        <v>167</v>
      </c>
      <c r="B32" s="16" t="s">
        <v>137</v>
      </c>
      <c r="C32" s="1" t="s">
        <v>29</v>
      </c>
      <c r="D32" s="1" t="str">
        <f>VLOOKUP($C32,Sheet2!$A$2:$B$10,2,0)</f>
        <v>141140-91211</v>
      </c>
      <c r="E32" s="7" t="s">
        <v>30</v>
      </c>
      <c r="F32" s="12">
        <v>45964</v>
      </c>
      <c r="G32" s="13">
        <v>0.77083333333333337</v>
      </c>
      <c r="H32" s="1" t="s">
        <v>31</v>
      </c>
      <c r="I32" s="1" t="s">
        <v>10</v>
      </c>
      <c r="J32" s="1">
        <v>18</v>
      </c>
      <c r="K32" s="14">
        <f>VLOOKUP($C32,Sheet2!$A$2:$D$10,4,0)</f>
        <v>2</v>
      </c>
      <c r="L32" s="14" t="str">
        <f>VLOOKUP($C32,Sheet2!$A$2:$E$10,5,0)</f>
        <v>Bin</v>
      </c>
      <c r="M32" s="14">
        <f>J32/K32</f>
        <v>9</v>
      </c>
      <c r="N32" s="1"/>
      <c r="O32" s="1" t="s">
        <v>119</v>
      </c>
      <c r="P32" s="1"/>
      <c r="Q32" s="8"/>
    </row>
    <row r="33" spans="1:17" ht="17.25" customHeight="1" x14ac:dyDescent="0.25">
      <c r="A33" s="15" t="s">
        <v>167</v>
      </c>
      <c r="B33" s="16" t="s">
        <v>142</v>
      </c>
      <c r="C33" s="1" t="s">
        <v>37</v>
      </c>
      <c r="D33" s="1" t="str">
        <f>VLOOKUP($C33,Sheet2!$A$2:$B$10,2,0)</f>
        <v>141150-91211</v>
      </c>
      <c r="E33" s="7" t="s">
        <v>38</v>
      </c>
      <c r="F33" s="12">
        <v>45964</v>
      </c>
      <c r="G33" s="13">
        <v>0.77083333333333337</v>
      </c>
      <c r="H33" s="1" t="s">
        <v>31</v>
      </c>
      <c r="I33" s="1" t="s">
        <v>10</v>
      </c>
      <c r="J33" s="1">
        <v>18</v>
      </c>
      <c r="K33" s="14">
        <f>VLOOKUP($C33,Sheet2!$A$2:$D$10,4,0)</f>
        <v>2</v>
      </c>
      <c r="L33" s="14" t="str">
        <f>VLOOKUP($C33,Sheet2!$A$2:$E$10,5,0)</f>
        <v>Bin</v>
      </c>
      <c r="M33" s="14">
        <f>J33/K33</f>
        <v>9</v>
      </c>
      <c r="N33" s="1"/>
      <c r="O33" s="1" t="s">
        <v>119</v>
      </c>
      <c r="P33" s="1"/>
      <c r="Q33" s="8"/>
    </row>
    <row r="34" spans="1:17" ht="17.25" customHeight="1" x14ac:dyDescent="0.25">
      <c r="A34" s="15" t="s">
        <v>167</v>
      </c>
      <c r="B34" s="16" t="s">
        <v>146</v>
      </c>
      <c r="C34" s="1" t="s">
        <v>45</v>
      </c>
      <c r="D34" s="1" t="str">
        <f>VLOOKUP($C34,Sheet2!$A$2:$B$10,2,0)</f>
        <v>141186-74360</v>
      </c>
      <c r="E34" s="7" t="s">
        <v>46</v>
      </c>
      <c r="F34" s="12">
        <v>45964</v>
      </c>
      <c r="G34" s="13">
        <v>0.77083333333333337</v>
      </c>
      <c r="H34" s="1" t="s">
        <v>31</v>
      </c>
      <c r="I34" s="1" t="s">
        <v>10</v>
      </c>
      <c r="J34" s="1">
        <v>40</v>
      </c>
      <c r="K34" s="14">
        <f>VLOOKUP($C34,Sheet2!$A$2:$D$10,4,0)</f>
        <v>40</v>
      </c>
      <c r="L34" s="14" t="str">
        <f>VLOOKUP($C34,Sheet2!$A$2:$E$10,5,0)</f>
        <v>Trolley</v>
      </c>
      <c r="M34" s="14"/>
      <c r="N34" s="1">
        <f>J34/K34</f>
        <v>1</v>
      </c>
      <c r="O34" s="1" t="s">
        <v>119</v>
      </c>
      <c r="P34" s="1"/>
      <c r="Q34" s="8"/>
    </row>
    <row r="35" spans="1:17" ht="17.25" customHeight="1" x14ac:dyDescent="0.25">
      <c r="A35" s="15" t="s">
        <v>168</v>
      </c>
      <c r="B35" s="16" t="s">
        <v>150</v>
      </c>
      <c r="C35" s="1" t="s">
        <v>50</v>
      </c>
      <c r="D35" s="1" t="str">
        <f>VLOOKUP($C35,Sheet2!$A$2:$B$10,2,0)</f>
        <v>116040-92240</v>
      </c>
      <c r="E35" s="7" t="s">
        <v>51</v>
      </c>
      <c r="F35" s="12">
        <v>45964</v>
      </c>
      <c r="G35" s="13">
        <v>0.77083333333333337</v>
      </c>
      <c r="H35" s="1" t="s">
        <v>52</v>
      </c>
      <c r="I35" s="1" t="s">
        <v>10</v>
      </c>
      <c r="J35" s="1">
        <v>18</v>
      </c>
      <c r="K35" s="14">
        <f>VLOOKUP($C35,Sheet2!$A$2:$D$10,4,0)</f>
        <v>6</v>
      </c>
      <c r="L35" s="14" t="str">
        <f>VLOOKUP($C35,Sheet2!$A$2:$E$10,5,0)</f>
        <v>Bin</v>
      </c>
      <c r="M35" s="14">
        <f>J35/K35</f>
        <v>3</v>
      </c>
      <c r="N35" s="1"/>
      <c r="O35" s="1" t="s">
        <v>119</v>
      </c>
      <c r="P35" s="1"/>
      <c r="Q35" s="8"/>
    </row>
    <row r="36" spans="1:17" ht="17.25" customHeight="1" x14ac:dyDescent="0.25">
      <c r="A36" s="15" t="s">
        <v>168</v>
      </c>
      <c r="B36" s="16" t="s">
        <v>155</v>
      </c>
      <c r="C36" s="1" t="s">
        <v>59</v>
      </c>
      <c r="D36" s="1" t="str">
        <f>VLOOKUP($C36,Sheet2!$A$2:$B$10,2,0)</f>
        <v>114010-50820</v>
      </c>
      <c r="E36" s="7" t="s">
        <v>60</v>
      </c>
      <c r="F36" s="12">
        <v>45964</v>
      </c>
      <c r="G36" s="13">
        <v>0.77083333333333337</v>
      </c>
      <c r="H36" s="1" t="s">
        <v>52</v>
      </c>
      <c r="I36" s="1" t="s">
        <v>10</v>
      </c>
      <c r="J36" s="1">
        <v>6</v>
      </c>
      <c r="K36" s="14">
        <f>VLOOKUP($C36,Sheet2!$A$2:$D$10,4,0)</f>
        <v>1</v>
      </c>
      <c r="L36" s="14" t="str">
        <f>VLOOKUP($C36,Sheet2!$A$2:$E$10,5,0)</f>
        <v>Bin</v>
      </c>
      <c r="M36" s="14">
        <f>J36/K36</f>
        <v>6</v>
      </c>
      <c r="N36" s="1"/>
      <c r="O36" s="1" t="s">
        <v>119</v>
      </c>
      <c r="P36" s="1"/>
      <c r="Q36" s="8"/>
    </row>
    <row r="37" spans="1:17" ht="17.25" customHeight="1" x14ac:dyDescent="0.25">
      <c r="A37" s="15" t="s">
        <v>168</v>
      </c>
      <c r="B37" s="16" t="s">
        <v>160</v>
      </c>
      <c r="C37" s="1" t="s">
        <v>67</v>
      </c>
      <c r="D37" s="1" t="str">
        <f>VLOOKUP($C37,Sheet2!$A$2:$B$10,2,0)</f>
        <v>114010-50830</v>
      </c>
      <c r="E37" s="7" t="s">
        <v>60</v>
      </c>
      <c r="F37" s="12">
        <v>45964</v>
      </c>
      <c r="G37" s="13">
        <v>0.77083333333333337</v>
      </c>
      <c r="H37" s="1" t="s">
        <v>52</v>
      </c>
      <c r="I37" s="1" t="s">
        <v>10</v>
      </c>
      <c r="J37" s="1">
        <v>12</v>
      </c>
      <c r="K37" s="14">
        <f>VLOOKUP($C37,Sheet2!$A$2:$D$10,4,0)</f>
        <v>1</v>
      </c>
      <c r="L37" s="14" t="str">
        <f>VLOOKUP($C37,Sheet2!$A$2:$E$10,5,0)</f>
        <v>Bin</v>
      </c>
      <c r="M37" s="14">
        <f>J37/K37</f>
        <v>12</v>
      </c>
      <c r="N37" s="1"/>
      <c r="O37" s="1" t="s">
        <v>119</v>
      </c>
      <c r="P37" s="1"/>
      <c r="Q37" s="8"/>
    </row>
    <row r="38" spans="1:17" x14ac:dyDescent="0.25">
      <c r="A38" s="9"/>
      <c r="B38" s="9"/>
      <c r="C38" s="9"/>
      <c r="D38" s="10"/>
      <c r="E38" s="9"/>
      <c r="F38" s="9"/>
      <c r="G38" s="9"/>
      <c r="H38" s="9"/>
      <c r="I38" s="9"/>
      <c r="J38" s="9"/>
      <c r="K38" s="9"/>
      <c r="L38" s="9"/>
      <c r="M38" s="9">
        <v>39</v>
      </c>
      <c r="N38" s="9">
        <v>3</v>
      </c>
      <c r="O38" s="9"/>
      <c r="P38" s="9"/>
      <c r="Q38" s="11"/>
    </row>
    <row r="39" spans="1:17" ht="17.25" customHeight="1" x14ac:dyDescent="0.25">
      <c r="A39" s="15" t="s">
        <v>169</v>
      </c>
      <c r="B39" s="16" t="s">
        <v>125</v>
      </c>
      <c r="C39" s="1" t="s">
        <v>7</v>
      </c>
      <c r="D39" s="1" t="str">
        <f>VLOOKUP($C39,Sheet2!$A$2:$B$10,2,0)</f>
        <v>141110-14600</v>
      </c>
      <c r="E39" s="7" t="s">
        <v>8</v>
      </c>
      <c r="F39" s="12">
        <v>45964</v>
      </c>
      <c r="G39" s="13">
        <v>0.97916666666666663</v>
      </c>
      <c r="H39" s="1" t="s">
        <v>9</v>
      </c>
      <c r="I39" s="1" t="s">
        <v>10</v>
      </c>
      <c r="J39" s="1">
        <v>18</v>
      </c>
      <c r="K39" s="14">
        <f>VLOOKUP($C39,Sheet2!$A$2:$D$10,4,0)</f>
        <v>18</v>
      </c>
      <c r="L39" s="14" t="str">
        <f>VLOOKUP($C39,Sheet2!$A$2:$E$10,5,0)</f>
        <v>Trolley (H)</v>
      </c>
      <c r="M39" s="14"/>
      <c r="N39" s="63">
        <v>1</v>
      </c>
      <c r="O39" s="1" t="s">
        <v>166</v>
      </c>
      <c r="P39" s="1"/>
      <c r="Q39" s="8"/>
    </row>
    <row r="40" spans="1:17" ht="17.25" customHeight="1" x14ac:dyDescent="0.25">
      <c r="A40" s="15" t="s">
        <v>169</v>
      </c>
      <c r="B40" s="16" t="s">
        <v>129</v>
      </c>
      <c r="C40" s="1" t="s">
        <v>16</v>
      </c>
      <c r="D40" s="1" t="str">
        <f>VLOOKUP($C40,Sheet2!$A$2:$B$10,2,0)</f>
        <v>141120-14600</v>
      </c>
      <c r="E40" s="7" t="s">
        <v>17</v>
      </c>
      <c r="F40" s="12">
        <v>45964</v>
      </c>
      <c r="G40" s="13">
        <v>0.97916666666666663</v>
      </c>
      <c r="H40" s="1" t="s">
        <v>9</v>
      </c>
      <c r="I40" s="1" t="s">
        <v>10</v>
      </c>
      <c r="J40" s="1">
        <v>18</v>
      </c>
      <c r="K40" s="14">
        <f>VLOOKUP($C40,Sheet2!$A$2:$D$10,4,0)</f>
        <v>18</v>
      </c>
      <c r="L40" s="14" t="str">
        <f>VLOOKUP($C40,Sheet2!$A$2:$E$10,5,0)</f>
        <v>Trolley (H)</v>
      </c>
      <c r="M40" s="14"/>
      <c r="N40" s="64"/>
      <c r="O40" s="1" t="s">
        <v>166</v>
      </c>
      <c r="P40" s="1"/>
      <c r="Q40" s="8"/>
    </row>
    <row r="41" spans="1:17" ht="17.25" customHeight="1" x14ac:dyDescent="0.25">
      <c r="A41" s="15" t="s">
        <v>169</v>
      </c>
      <c r="B41" s="16" t="s">
        <v>138</v>
      </c>
      <c r="C41" s="1" t="s">
        <v>29</v>
      </c>
      <c r="D41" s="1" t="str">
        <f>VLOOKUP($C41,Sheet2!$A$2:$B$10,2,0)</f>
        <v>141140-91211</v>
      </c>
      <c r="E41" s="7" t="s">
        <v>30</v>
      </c>
      <c r="F41" s="12">
        <v>45964</v>
      </c>
      <c r="G41" s="13">
        <v>0.97916666666666663</v>
      </c>
      <c r="H41" s="1" t="s">
        <v>31</v>
      </c>
      <c r="I41" s="1" t="s">
        <v>10</v>
      </c>
      <c r="J41" s="1">
        <v>20</v>
      </c>
      <c r="K41" s="14">
        <f>VLOOKUP($C41,Sheet2!$A$2:$D$10,4,0)</f>
        <v>2</v>
      </c>
      <c r="L41" s="14" t="str">
        <f>VLOOKUP($C41,Sheet2!$A$2:$E$10,5,0)</f>
        <v>Bin</v>
      </c>
      <c r="M41" s="14">
        <f>J41/K41</f>
        <v>10</v>
      </c>
      <c r="N41" s="1"/>
      <c r="O41" s="1" t="s">
        <v>166</v>
      </c>
      <c r="P41" s="1"/>
      <c r="Q41" s="8"/>
    </row>
    <row r="42" spans="1:17" ht="17.25" customHeight="1" x14ac:dyDescent="0.25">
      <c r="A42" s="15" t="s">
        <v>169</v>
      </c>
      <c r="B42" s="16" t="s">
        <v>143</v>
      </c>
      <c r="C42" s="1" t="s">
        <v>37</v>
      </c>
      <c r="D42" s="1" t="str">
        <f>VLOOKUP($C42,Sheet2!$A$2:$B$10,2,0)</f>
        <v>141150-91211</v>
      </c>
      <c r="E42" s="7" t="s">
        <v>38</v>
      </c>
      <c r="F42" s="12">
        <v>45964</v>
      </c>
      <c r="G42" s="13">
        <v>0.97916666666666663</v>
      </c>
      <c r="H42" s="1" t="s">
        <v>31</v>
      </c>
      <c r="I42" s="1" t="s">
        <v>10</v>
      </c>
      <c r="J42" s="1">
        <v>20</v>
      </c>
      <c r="K42" s="14">
        <f>VLOOKUP($C42,Sheet2!$A$2:$D$10,4,0)</f>
        <v>2</v>
      </c>
      <c r="L42" s="14" t="str">
        <f>VLOOKUP($C42,Sheet2!$A$2:$E$10,5,0)</f>
        <v>Bin</v>
      </c>
      <c r="M42" s="14">
        <f>J42/K42</f>
        <v>10</v>
      </c>
      <c r="N42" s="1"/>
      <c r="O42" s="1" t="s">
        <v>166</v>
      </c>
      <c r="P42" s="1"/>
      <c r="Q42" s="8"/>
    </row>
    <row r="43" spans="1:17" ht="17.25" customHeight="1" x14ac:dyDescent="0.25">
      <c r="A43" s="15" t="s">
        <v>169</v>
      </c>
      <c r="B43" s="16" t="s">
        <v>147</v>
      </c>
      <c r="C43" s="1" t="s">
        <v>45</v>
      </c>
      <c r="D43" s="1" t="str">
        <f>VLOOKUP($C43,Sheet2!$A$2:$B$10,2,0)</f>
        <v>141186-74360</v>
      </c>
      <c r="E43" s="7" t="s">
        <v>46</v>
      </c>
      <c r="F43" s="12">
        <v>45964</v>
      </c>
      <c r="G43" s="13">
        <v>0.97916666666666663</v>
      </c>
      <c r="H43" s="1" t="s">
        <v>31</v>
      </c>
      <c r="I43" s="1" t="s">
        <v>10</v>
      </c>
      <c r="J43" s="1">
        <v>40</v>
      </c>
      <c r="K43" s="14">
        <f>VLOOKUP($C43,Sheet2!$A$2:$D$10,4,0)</f>
        <v>40</v>
      </c>
      <c r="L43" s="14" t="str">
        <f>VLOOKUP($C43,Sheet2!$A$2:$E$10,5,0)</f>
        <v>Trolley</v>
      </c>
      <c r="M43" s="14"/>
      <c r="N43" s="1">
        <f>J43/K43</f>
        <v>1</v>
      </c>
      <c r="O43" s="1" t="s">
        <v>166</v>
      </c>
      <c r="P43" s="1"/>
      <c r="Q43" s="8"/>
    </row>
    <row r="44" spans="1:17" ht="17.25" customHeight="1" x14ac:dyDescent="0.25">
      <c r="A44" s="15" t="s">
        <v>170</v>
      </c>
      <c r="B44" s="16" t="s">
        <v>151</v>
      </c>
      <c r="C44" s="1" t="s">
        <v>50</v>
      </c>
      <c r="D44" s="1" t="str">
        <f>VLOOKUP($C44,Sheet2!$A$2:$B$10,2,0)</f>
        <v>116040-92240</v>
      </c>
      <c r="E44" s="7" t="s">
        <v>51</v>
      </c>
      <c r="F44" s="12">
        <v>45964</v>
      </c>
      <c r="G44" s="13">
        <v>0.97916666666666663</v>
      </c>
      <c r="H44" s="1" t="s">
        <v>52</v>
      </c>
      <c r="I44" s="1" t="s">
        <v>10</v>
      </c>
      <c r="J44" s="1">
        <v>24</v>
      </c>
      <c r="K44" s="14">
        <f>VLOOKUP($C44,Sheet2!$A$2:$D$10,4,0)</f>
        <v>6</v>
      </c>
      <c r="L44" s="14" t="str">
        <f>VLOOKUP($C44,Sheet2!$A$2:$E$10,5,0)</f>
        <v>Bin</v>
      </c>
      <c r="M44" s="14">
        <f>J44/K44</f>
        <v>4</v>
      </c>
      <c r="N44" s="1"/>
      <c r="O44" s="1" t="s">
        <v>166</v>
      </c>
      <c r="P44" s="1"/>
      <c r="Q44" s="8"/>
    </row>
    <row r="45" spans="1:17" ht="17.25" customHeight="1" x14ac:dyDescent="0.25">
      <c r="A45" s="15" t="s">
        <v>170</v>
      </c>
      <c r="B45" s="16" t="s">
        <v>156</v>
      </c>
      <c r="C45" s="1" t="s">
        <v>59</v>
      </c>
      <c r="D45" s="1" t="str">
        <f>VLOOKUP($C45,Sheet2!$A$2:$B$10,2,0)</f>
        <v>114010-50820</v>
      </c>
      <c r="E45" s="7" t="s">
        <v>60</v>
      </c>
      <c r="F45" s="12">
        <v>45964</v>
      </c>
      <c r="G45" s="13">
        <v>0.97916666666666663</v>
      </c>
      <c r="H45" s="1" t="s">
        <v>52</v>
      </c>
      <c r="I45" s="1" t="s">
        <v>10</v>
      </c>
      <c r="J45" s="1">
        <v>9</v>
      </c>
      <c r="K45" s="14">
        <f>VLOOKUP($C45,Sheet2!$A$2:$D$10,4,0)</f>
        <v>1</v>
      </c>
      <c r="L45" s="14" t="str">
        <f>VLOOKUP($C45,Sheet2!$A$2:$E$10,5,0)</f>
        <v>Bin</v>
      </c>
      <c r="M45" s="14">
        <f>J45/K45</f>
        <v>9</v>
      </c>
      <c r="N45" s="1"/>
      <c r="O45" s="1" t="s">
        <v>166</v>
      </c>
      <c r="P45" s="1"/>
      <c r="Q45" s="8"/>
    </row>
    <row r="46" spans="1:17" ht="17.25" customHeight="1" x14ac:dyDescent="0.25">
      <c r="A46" s="15" t="s">
        <v>170</v>
      </c>
      <c r="B46" s="16" t="s">
        <v>161</v>
      </c>
      <c r="C46" s="1" t="s">
        <v>67</v>
      </c>
      <c r="D46" s="1" t="str">
        <f>VLOOKUP($C46,Sheet2!$A$2:$B$10,2,0)</f>
        <v>114010-50830</v>
      </c>
      <c r="E46" s="7" t="s">
        <v>60</v>
      </c>
      <c r="F46" s="12">
        <v>45964</v>
      </c>
      <c r="G46" s="13">
        <v>0.97916666666666663</v>
      </c>
      <c r="H46" s="1" t="s">
        <v>52</v>
      </c>
      <c r="I46" s="1" t="s">
        <v>10</v>
      </c>
      <c r="J46" s="1">
        <v>10</v>
      </c>
      <c r="K46" s="14">
        <f>VLOOKUP($C46,Sheet2!$A$2:$D$10,4,0)</f>
        <v>1</v>
      </c>
      <c r="L46" s="14" t="str">
        <f>VLOOKUP($C46,Sheet2!$A$2:$E$10,5,0)</f>
        <v>Bin</v>
      </c>
      <c r="M46" s="14">
        <f>J46/K46</f>
        <v>10</v>
      </c>
      <c r="N46" s="1"/>
      <c r="O46" s="1" t="s">
        <v>166</v>
      </c>
      <c r="P46" s="1"/>
      <c r="Q46" s="8"/>
    </row>
    <row r="47" spans="1:17" x14ac:dyDescent="0.25">
      <c r="A47" s="9"/>
      <c r="B47" s="9"/>
      <c r="C47" s="9"/>
      <c r="D47" s="10"/>
      <c r="E47" s="9"/>
      <c r="F47" s="9"/>
      <c r="G47" s="9"/>
      <c r="H47" s="9"/>
      <c r="I47" s="9"/>
      <c r="J47" s="9"/>
      <c r="K47" s="9"/>
      <c r="L47" s="9"/>
      <c r="M47" s="9">
        <v>43</v>
      </c>
      <c r="N47" s="9">
        <v>2</v>
      </c>
      <c r="O47" s="9"/>
      <c r="P47" s="9"/>
      <c r="Q47" s="11"/>
    </row>
    <row r="48" spans="1:17" x14ac:dyDescent="0.25">
      <c r="J48" s="17"/>
    </row>
  </sheetData>
  <mergeCells count="6">
    <mergeCell ref="N39:N40"/>
    <mergeCell ref="A1:F1"/>
    <mergeCell ref="J1:N1"/>
    <mergeCell ref="N4:N5"/>
    <mergeCell ref="N19:N20"/>
    <mergeCell ref="N29:N30"/>
  </mergeCells>
  <conditionalFormatting sqref="B2">
    <cfRule type="duplicateValues" dxfId="992" priority="49"/>
    <cfRule type="duplicateValues" dxfId="991" priority="48"/>
  </conditionalFormatting>
  <conditionalFormatting sqref="B4:B17 B19:B27 B29:B37 B39:B46">
    <cfRule type="duplicateValues" dxfId="990" priority="41"/>
  </conditionalFormatting>
  <conditionalFormatting sqref="C2:D2">
    <cfRule type="duplicateValues" dxfId="989" priority="50"/>
    <cfRule type="duplicateValues" dxfId="988" priority="51"/>
  </conditionalFormatting>
  <conditionalFormatting sqref="D3">
    <cfRule type="duplicateValues" dxfId="986" priority="47"/>
    <cfRule type="duplicateValues" dxfId="985" priority="46"/>
  </conditionalFormatting>
  <conditionalFormatting sqref="D18">
    <cfRule type="duplicateValues" dxfId="979" priority="26"/>
    <cfRule type="duplicateValues" dxfId="978" priority="27"/>
  </conditionalFormatting>
  <conditionalFormatting sqref="D28">
    <cfRule type="duplicateValues" dxfId="976" priority="20"/>
    <cfRule type="duplicateValues" dxfId="975" priority="19"/>
  </conditionalFormatting>
  <conditionalFormatting sqref="D38">
    <cfRule type="duplicateValues" dxfId="974" priority="12"/>
    <cfRule type="duplicateValues" dxfId="972" priority="13"/>
  </conditionalFormatting>
  <conditionalFormatting sqref="D47">
    <cfRule type="duplicateValues" dxfId="971" priority="5"/>
    <cfRule type="duplicateValues" dxfId="969" priority="6"/>
  </conditionalFormatting>
  <pageMargins left="0.17" right="0.17" top="0.18" bottom="0.17" header="0.17" footer="0.3"/>
  <pageSetup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operator="containsText" text="17521M68PA0" id="{9D476993-CD0F-4549-BCD0-4679FF47234C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C4:D17 C19:D27 C29:D37 C39:D46</xm:sqref>
        </x14:conditionalFormatting>
        <x14:conditionalFormatting xmlns:xm="http://schemas.microsoft.com/office/excel/2006/main">
          <x14:cfRule type="containsText" priority="58" operator="containsText" text="17521M68PA0" id="{EE0F4B15-3CDB-4729-B0C2-6828840A0B2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2" operator="containsText" text="17521M74T00" id="{DD34A5C5-B9D5-44C1-85E4-B150E0F21FEF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17521M68PA0" id="{7666ADA0-83B6-408F-BAF9-1E2EED44558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9" operator="containsText" text="17521M74T00" id="{EF5DE55B-25AB-45A5-A574-2EAAD0A534CC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D4:D17 D19:D27 D29:D37 D39:D46</xm:sqref>
        </x14:conditionalFormatting>
        <x14:conditionalFormatting xmlns:xm="http://schemas.microsoft.com/office/excel/2006/main">
          <x14:cfRule type="containsText" priority="28" operator="containsText" text="17521M68PA0" id="{B182A320-F88C-4F07-A4F3-7494E3A7041A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ontainsText" priority="21" operator="containsText" text="17521M68PA0" id="{CF4CCB13-EC24-4EBD-8D27-E3144E32873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containsText" priority="14" operator="containsText" text="17521M68PA0" id="{E617EECD-39FF-417C-949D-25FF7ABD736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ontainsText" priority="7" operator="containsText" text="17521M68PA0" id="{5CDF2570-2D7A-4118-B1FE-272AB2E99273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D47</xm:sqref>
        </x14:conditionalFormatting>
        <x14:conditionalFormatting xmlns:xm="http://schemas.microsoft.com/office/excel/2006/main">
          <x14:cfRule type="containsText" priority="52" operator="containsText" text="17521M68PA0" id="{8A30FA25-50CC-44B6-9CCD-3BE6DDAFC5A6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3" operator="containsText" text="17521M74T00" id="{16925DEF-76D5-464D-9E5B-6E04AFCB0616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3" operator="containsText" text="BELT,WATER PUMP - 7PK 975" id="{B7633BD7-E41A-49B9-9858-552F2BB2CB98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2EF810D1-E3E9-4A95-9703-46DB380FDB6D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E3:E47</xm:sqref>
        </x14:conditionalFormatting>
        <x14:conditionalFormatting xmlns:xm="http://schemas.microsoft.com/office/excel/2006/main">
          <x14:cfRule type="containsText" priority="23" operator="containsText" text="BELT,WATER PUMP - 7PK 975" id="{E9FCE54B-AF38-45FB-ABA1-6865C59D0DF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containsText" priority="16" operator="containsText" text="BELT,WATER PUMP - 7PK 975" id="{E693F140-3537-4F18-8AE9-4891EF93516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E28</xm:sqref>
        </x14:conditionalFormatting>
        <x14:conditionalFormatting xmlns:xm="http://schemas.microsoft.com/office/excel/2006/main">
          <x14:cfRule type="containsText" priority="9" operator="containsText" text="BELT,WATER PUMP - 7PK 975" id="{9C0B65B4-0247-4BA5-8F8E-AC839095D701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E38</xm:sqref>
        </x14:conditionalFormatting>
        <x14:conditionalFormatting xmlns:xm="http://schemas.microsoft.com/office/excel/2006/main">
          <x14:cfRule type="containsText" priority="2" operator="containsText" text="BELT,WATER PUMP - 7PK 975" id="{DE60BCA1-B502-418A-B208-9BF107A4B2A4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E47</xm:sqref>
        </x14:conditionalFormatting>
        <x14:conditionalFormatting xmlns:xm="http://schemas.microsoft.com/office/excel/2006/main">
          <x14:cfRule type="containsText" priority="54" operator="containsText" text="BELT,WATER PUMP - 5PK 913" id="{3146F679-8730-46EA-A3C0-399762C9C0CA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5" operator="containsText" text="BELT,WATER PUMP - 7PK 975" id="{8BAAA22E-29E6-4FC4-9B2A-E308F15EED0E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56" operator="containsText" text="5PK 913" id="{31067627-3128-4016-938C-5102A0B14D43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7" operator="containsText" text="7PK 975" id="{BB41CD2E-0D49-4E0E-92F9-3053159499AB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</xm:sqref>
        </x14:conditionalFormatting>
        <x14:conditionalFormatting xmlns:xm="http://schemas.microsoft.com/office/excel/2006/main">
          <x14:cfRule type="containsText" priority="44" operator="containsText" text="5PK 913" id="{6897D638-D080-49AE-A126-762630A7FD7E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5" operator="containsText" text="7PK 975" id="{A87E552D-49FB-49F2-AA5D-67F8211885ED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P3:Q3</xm:sqref>
        </x14:conditionalFormatting>
        <x14:conditionalFormatting xmlns:xm="http://schemas.microsoft.com/office/excel/2006/main">
          <x14:cfRule type="containsText" priority="25" operator="containsText" text="7PK 975" id="{EE0DF338-0803-4CF4-9A1D-87F1FA75047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" operator="containsText" text="5PK 913" id="{22665666-1912-4B19-9736-079B4E77CB79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P18:Q18</xm:sqref>
        </x14:conditionalFormatting>
        <x14:conditionalFormatting xmlns:xm="http://schemas.microsoft.com/office/excel/2006/main">
          <x14:cfRule type="containsText" priority="18" operator="containsText" text="7PK 975" id="{0D33F063-E037-43EA-8756-5FC2E161B92F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" operator="containsText" text="5PK 913" id="{C70147D9-5C09-4E64-AA66-2F89031E5448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P28:Q28</xm:sqref>
        </x14:conditionalFormatting>
        <x14:conditionalFormatting xmlns:xm="http://schemas.microsoft.com/office/excel/2006/main">
          <x14:cfRule type="containsText" priority="10" operator="containsText" text="5PK 913" id="{5083F2D4-DA60-4501-AC08-21FA64C7BA55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1" operator="containsText" text="7PK 975" id="{80D3C4B9-50BD-4A01-94E1-409DA042B51F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P38:Q38</xm:sqref>
        </x14:conditionalFormatting>
        <x14:conditionalFormatting xmlns:xm="http://schemas.microsoft.com/office/excel/2006/main">
          <x14:cfRule type="containsText" priority="3" operator="containsText" text="5PK 913" id="{7F6B860B-7233-43BE-A3FD-C3C7D0988B43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7PK 975" id="{FF6F9DC9-D183-46BD-8799-B85BBDA5CDB8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P47:Q47</xm:sqref>
        </x14:conditionalFormatting>
        <x14:conditionalFormatting xmlns:xm="http://schemas.microsoft.com/office/excel/2006/main">
          <x14:cfRule type="containsText" priority="37" operator="containsText" text="5PK 913" id="{81001F08-6829-41C9-92C6-93F2F492CE0D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Q4:Q17 Q19:Q27 Q29:Q37 Q39:Q46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E3BC-8CAE-419D-87A7-F1CBDF6D610B}">
  <sheetPr>
    <pageSetUpPr fitToPage="1"/>
  </sheetPr>
  <dimension ref="A1:Q51"/>
  <sheetViews>
    <sheetView topLeftCell="A10" workbookViewId="0">
      <selection activeCell="G20" sqref="G20"/>
    </sheetView>
  </sheetViews>
  <sheetFormatPr defaultColWidth="56.28515625" defaultRowHeight="15" x14ac:dyDescent="0.25"/>
  <cols>
    <col min="1" max="1" width="15.1406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12.5703125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5.28515625" bestFit="1" customWidth="1"/>
    <col min="16" max="16" width="8.5703125" bestFit="1" customWidth="1"/>
    <col min="17" max="17" width="12.7109375" bestFit="1" customWidth="1"/>
  </cols>
  <sheetData>
    <row r="1" spans="1:17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"/>
      <c r="P1" s="3"/>
      <c r="Q1" s="1"/>
    </row>
    <row r="2" spans="1:17" ht="15.75" x14ac:dyDescent="0.25">
      <c r="A2" s="4" t="s">
        <v>74</v>
      </c>
      <c r="B2" s="5">
        <v>45965</v>
      </c>
      <c r="C2" s="6"/>
      <c r="D2" s="6"/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8"/>
      <c r="Q2" s="8"/>
    </row>
    <row r="3" spans="1:17" ht="29.25" customHeight="1" x14ac:dyDescent="0.25">
      <c r="A3" s="9" t="s">
        <v>75</v>
      </c>
      <c r="B3" s="9" t="s">
        <v>0</v>
      </c>
      <c r="C3" s="9" t="s">
        <v>1</v>
      </c>
      <c r="D3" s="10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84</v>
      </c>
      <c r="Q3" s="11" t="s">
        <v>85</v>
      </c>
    </row>
    <row r="4" spans="1:17" ht="17.25" customHeight="1" x14ac:dyDescent="0.25">
      <c r="A4" s="15" t="s">
        <v>206</v>
      </c>
      <c r="B4" s="16" t="s">
        <v>172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45965</v>
      </c>
      <c r="G4" s="13">
        <v>0.35416666666666669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171</v>
      </c>
      <c r="P4" s="1"/>
      <c r="Q4" s="8"/>
    </row>
    <row r="5" spans="1:17" ht="17.25" customHeight="1" x14ac:dyDescent="0.25">
      <c r="A5" s="15" t="s">
        <v>206</v>
      </c>
      <c r="B5" s="16" t="s">
        <v>175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45965</v>
      </c>
      <c r="G5" s="13">
        <v>0.35416666666666669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171</v>
      </c>
      <c r="P5" s="1"/>
      <c r="Q5" s="8"/>
    </row>
    <row r="6" spans="1:17" ht="17.25" customHeight="1" x14ac:dyDescent="0.25">
      <c r="A6" s="15" t="s">
        <v>206</v>
      </c>
      <c r="B6" s="16" t="s">
        <v>178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45965</v>
      </c>
      <c r="G6" s="13">
        <v>0.35416666666666669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171</v>
      </c>
      <c r="P6" s="1"/>
      <c r="Q6" s="8"/>
    </row>
    <row r="7" spans="1:17" ht="17.25" customHeight="1" x14ac:dyDescent="0.25">
      <c r="A7" s="15" t="s">
        <v>206</v>
      </c>
      <c r="B7" s="16" t="s">
        <v>181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45965</v>
      </c>
      <c r="G7" s="13">
        <v>0.35416666666666669</v>
      </c>
      <c r="H7" s="1" t="s">
        <v>31</v>
      </c>
      <c r="I7" s="1" t="s">
        <v>10</v>
      </c>
      <c r="J7" s="1">
        <v>20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10</v>
      </c>
      <c r="N7" s="1"/>
      <c r="O7" s="1" t="s">
        <v>171</v>
      </c>
      <c r="P7" s="1"/>
      <c r="Q7" s="8"/>
    </row>
    <row r="8" spans="1:17" ht="17.25" customHeight="1" x14ac:dyDescent="0.25">
      <c r="A8" s="15" t="s">
        <v>206</v>
      </c>
      <c r="B8" s="16" t="s">
        <v>185</v>
      </c>
      <c r="C8" s="1" t="s">
        <v>37</v>
      </c>
      <c r="D8" s="1" t="str">
        <f>VLOOKUP($C8,Sheet2!$A$2:$B$10,2,0)</f>
        <v>141150-91211</v>
      </c>
      <c r="E8" s="7" t="s">
        <v>38</v>
      </c>
      <c r="F8" s="12">
        <v>45965</v>
      </c>
      <c r="G8" s="13">
        <v>0.35416666666666669</v>
      </c>
      <c r="H8" s="1" t="s">
        <v>31</v>
      </c>
      <c r="I8" s="1" t="s">
        <v>10</v>
      </c>
      <c r="J8" s="1">
        <v>20</v>
      </c>
      <c r="K8" s="14">
        <f>VLOOKUP($C8,Sheet2!$A$2:$D$10,4,0)</f>
        <v>2</v>
      </c>
      <c r="L8" s="14" t="str">
        <f>VLOOKUP($C8,Sheet2!$A$2:$E$10,5,0)</f>
        <v>Bin</v>
      </c>
      <c r="M8" s="14">
        <f>J8/K8</f>
        <v>10</v>
      </c>
      <c r="N8" s="1"/>
      <c r="O8" s="1" t="s">
        <v>171</v>
      </c>
      <c r="P8" s="1"/>
      <c r="Q8" s="8"/>
    </row>
    <row r="9" spans="1:17" ht="17.25" customHeight="1" x14ac:dyDescent="0.25">
      <c r="A9" s="15" t="s">
        <v>206</v>
      </c>
      <c r="B9" s="16" t="s">
        <v>189</v>
      </c>
      <c r="C9" s="1" t="s">
        <v>45</v>
      </c>
      <c r="D9" s="1" t="str">
        <f>VLOOKUP($C9,Sheet2!$A$2:$B$10,2,0)</f>
        <v>141186-74360</v>
      </c>
      <c r="E9" s="7" t="s">
        <v>46</v>
      </c>
      <c r="F9" s="12">
        <v>45965</v>
      </c>
      <c r="G9" s="13">
        <v>0.35416666666666669</v>
      </c>
      <c r="H9" s="1" t="s">
        <v>31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171</v>
      </c>
      <c r="P9" s="1"/>
      <c r="Q9" s="8"/>
    </row>
    <row r="10" spans="1:17" ht="17.25" customHeight="1" x14ac:dyDescent="0.25">
      <c r="A10" s="15" t="s">
        <v>207</v>
      </c>
      <c r="B10" s="16" t="s">
        <v>193</v>
      </c>
      <c r="C10" s="1" t="s">
        <v>50</v>
      </c>
      <c r="D10" s="1" t="str">
        <f>VLOOKUP($C10,Sheet2!$A$2:$B$10,2,0)</f>
        <v>116040-92240</v>
      </c>
      <c r="E10" s="7" t="s">
        <v>51</v>
      </c>
      <c r="F10" s="12">
        <v>45965</v>
      </c>
      <c r="G10" s="13">
        <v>0.35416666666666669</v>
      </c>
      <c r="H10" s="1" t="s">
        <v>52</v>
      </c>
      <c r="I10" s="1" t="s">
        <v>10</v>
      </c>
      <c r="J10" s="1">
        <v>18</v>
      </c>
      <c r="K10" s="14">
        <f>VLOOKUP($C10,Sheet2!$A$2:$D$10,4,0)</f>
        <v>6</v>
      </c>
      <c r="L10" s="14" t="str">
        <f>VLOOKUP($C10,Sheet2!$A$2:$E$10,5,0)</f>
        <v>Bin</v>
      </c>
      <c r="M10" s="14">
        <f>J10/K10</f>
        <v>3</v>
      </c>
      <c r="N10" s="1"/>
      <c r="O10" s="1" t="s">
        <v>171</v>
      </c>
      <c r="P10" s="1"/>
      <c r="Q10" s="8"/>
    </row>
    <row r="11" spans="1:17" ht="17.25" customHeight="1" x14ac:dyDescent="0.25">
      <c r="A11" s="15" t="s">
        <v>207</v>
      </c>
      <c r="B11" s="16" t="s">
        <v>197</v>
      </c>
      <c r="C11" s="1" t="s">
        <v>59</v>
      </c>
      <c r="D11" s="1" t="str">
        <f>VLOOKUP($C11,Sheet2!$A$2:$B$10,2,0)</f>
        <v>114010-50820</v>
      </c>
      <c r="E11" s="7" t="s">
        <v>60</v>
      </c>
      <c r="F11" s="12">
        <v>45965</v>
      </c>
      <c r="G11" s="13">
        <v>0.35416666666666669</v>
      </c>
      <c r="H11" s="1" t="s">
        <v>52</v>
      </c>
      <c r="I11" s="1" t="s">
        <v>10</v>
      </c>
      <c r="J11" s="1">
        <v>8</v>
      </c>
      <c r="K11" s="14">
        <f>VLOOKUP($C11,Sheet2!$A$2:$D$10,4,0)</f>
        <v>1</v>
      </c>
      <c r="L11" s="14" t="str">
        <f>VLOOKUP($C11,Sheet2!$A$2:$E$10,5,0)</f>
        <v>Bin</v>
      </c>
      <c r="M11" s="14">
        <f>J11/K11</f>
        <v>8</v>
      </c>
      <c r="N11" s="1"/>
      <c r="O11" s="1" t="s">
        <v>171</v>
      </c>
      <c r="P11" s="1"/>
      <c r="Q11" s="8"/>
    </row>
    <row r="12" spans="1:17" ht="17.25" customHeight="1" x14ac:dyDescent="0.25">
      <c r="A12" s="15" t="s">
        <v>207</v>
      </c>
      <c r="B12" s="16" t="s">
        <v>201</v>
      </c>
      <c r="C12" s="1" t="s">
        <v>67</v>
      </c>
      <c r="D12" s="1" t="str">
        <f>VLOOKUP($C12,Sheet2!$A$2:$B$10,2,0)</f>
        <v>114010-50830</v>
      </c>
      <c r="E12" s="7" t="s">
        <v>60</v>
      </c>
      <c r="F12" s="12">
        <v>45965</v>
      </c>
      <c r="G12" s="13">
        <v>0.35416666666666669</v>
      </c>
      <c r="H12" s="1" t="s">
        <v>52</v>
      </c>
      <c r="I12" s="1" t="s">
        <v>10</v>
      </c>
      <c r="J12" s="1">
        <v>12</v>
      </c>
      <c r="K12" s="14">
        <f>VLOOKUP($C12,Sheet2!$A$2:$D$10,4,0)</f>
        <v>1</v>
      </c>
      <c r="L12" s="14" t="str">
        <f>VLOOKUP($C12,Sheet2!$A$2:$E$10,5,0)</f>
        <v>Bin</v>
      </c>
      <c r="M12" s="14">
        <f>J12/K12</f>
        <v>12</v>
      </c>
      <c r="N12" s="1"/>
      <c r="O12" s="1" t="s">
        <v>171</v>
      </c>
      <c r="P12" s="1"/>
      <c r="Q12" s="8"/>
    </row>
    <row r="13" spans="1:17" ht="17.25" customHeight="1" x14ac:dyDescent="0.25">
      <c r="A13" s="15" t="s">
        <v>207</v>
      </c>
      <c r="B13" s="16" t="s">
        <v>202</v>
      </c>
      <c r="C13" s="1" t="s">
        <v>67</v>
      </c>
      <c r="D13" s="1" t="str">
        <f>VLOOKUP($C13,Sheet2!$A$2:$B$10,2,0)</f>
        <v>114010-50830</v>
      </c>
      <c r="E13" s="7" t="s">
        <v>60</v>
      </c>
      <c r="F13" s="12">
        <v>45965</v>
      </c>
      <c r="G13" s="13">
        <v>0.35416666666666669</v>
      </c>
      <c r="H13" s="1" t="s">
        <v>52</v>
      </c>
      <c r="I13" s="1" t="s">
        <v>10</v>
      </c>
      <c r="J13" s="1">
        <v>1</v>
      </c>
      <c r="K13" s="14">
        <f>VLOOKUP($C13,Sheet2!$A$2:$D$10,4,0)</f>
        <v>1</v>
      </c>
      <c r="L13" s="14" t="str">
        <f>VLOOKUP($C13,Sheet2!$A$2:$E$10,5,0)</f>
        <v>Bin</v>
      </c>
      <c r="M13" s="14">
        <f>J13/K13</f>
        <v>1</v>
      </c>
      <c r="N13" s="1"/>
      <c r="O13" s="1" t="s">
        <v>171</v>
      </c>
      <c r="P13" s="1"/>
      <c r="Q13" s="8"/>
    </row>
    <row r="14" spans="1:17" x14ac:dyDescent="0.25">
      <c r="A14" s="9"/>
      <c r="B14" s="9"/>
      <c r="C14" s="9"/>
      <c r="D14" s="10"/>
      <c r="E14" s="9"/>
      <c r="F14" s="9"/>
      <c r="G14" s="9"/>
      <c r="H14" s="9"/>
      <c r="I14" s="9"/>
      <c r="J14" s="9"/>
      <c r="K14" s="9"/>
      <c r="L14" s="9"/>
      <c r="M14" s="9">
        <v>44</v>
      </c>
      <c r="N14" s="9">
        <v>3</v>
      </c>
      <c r="O14" s="9"/>
      <c r="P14" s="9"/>
      <c r="Q14" s="11"/>
    </row>
    <row r="15" spans="1:17" ht="17.25" customHeight="1" x14ac:dyDescent="0.25">
      <c r="A15" s="15" t="s">
        <v>208</v>
      </c>
      <c r="B15" s="16" t="s">
        <v>173</v>
      </c>
      <c r="C15" s="1" t="s">
        <v>7</v>
      </c>
      <c r="D15" s="1" t="str">
        <f>VLOOKUP($C15,Sheet2!$A$2:$B$10,2,0)</f>
        <v>141110-14600</v>
      </c>
      <c r="E15" s="7" t="s">
        <v>8</v>
      </c>
      <c r="F15" s="12">
        <v>45965</v>
      </c>
      <c r="G15" s="13">
        <v>0.5625</v>
      </c>
      <c r="H15" s="1" t="s">
        <v>9</v>
      </c>
      <c r="I15" s="1" t="s">
        <v>10</v>
      </c>
      <c r="J15" s="1">
        <v>36</v>
      </c>
      <c r="K15" s="14">
        <f>VLOOKUP($C15,Sheet2!$A$2:$D$10,4,0)</f>
        <v>18</v>
      </c>
      <c r="L15" s="14" t="str">
        <f>VLOOKUP($C15,Sheet2!$A$2:$E$10,5,0)</f>
        <v>Trolley (H)</v>
      </c>
      <c r="M15" s="14"/>
      <c r="N15" s="63">
        <v>2</v>
      </c>
      <c r="O15" s="1" t="s">
        <v>166</v>
      </c>
      <c r="P15" s="1"/>
      <c r="Q15" s="8"/>
    </row>
    <row r="16" spans="1:17" ht="17.25" customHeight="1" x14ac:dyDescent="0.25">
      <c r="A16" s="15" t="s">
        <v>208</v>
      </c>
      <c r="B16" s="16" t="s">
        <v>176</v>
      </c>
      <c r="C16" s="1" t="s">
        <v>16</v>
      </c>
      <c r="D16" s="1" t="str">
        <f>VLOOKUP($C16,Sheet2!$A$2:$B$10,2,0)</f>
        <v>141120-14600</v>
      </c>
      <c r="E16" s="7" t="s">
        <v>17</v>
      </c>
      <c r="F16" s="12">
        <v>45965</v>
      </c>
      <c r="G16" s="13">
        <v>0.5625</v>
      </c>
      <c r="H16" s="1" t="s">
        <v>9</v>
      </c>
      <c r="I16" s="1" t="s">
        <v>10</v>
      </c>
      <c r="J16" s="1">
        <v>36</v>
      </c>
      <c r="K16" s="14">
        <f>VLOOKUP($C16,Sheet2!$A$2:$D$10,4,0)</f>
        <v>18</v>
      </c>
      <c r="L16" s="14" t="str">
        <f>VLOOKUP($C16,Sheet2!$A$2:$E$10,5,0)</f>
        <v>Trolley (H)</v>
      </c>
      <c r="M16" s="14"/>
      <c r="N16" s="64"/>
      <c r="O16" s="1" t="s">
        <v>166</v>
      </c>
      <c r="P16" s="1"/>
      <c r="Q16" s="8"/>
    </row>
    <row r="17" spans="1:17" ht="17.25" customHeight="1" x14ac:dyDescent="0.25">
      <c r="A17" s="15" t="s">
        <v>208</v>
      </c>
      <c r="B17" s="16" t="s">
        <v>179</v>
      </c>
      <c r="C17" s="1" t="s">
        <v>23</v>
      </c>
      <c r="D17" s="1" t="str">
        <f>VLOOKUP($C17,Sheet2!$A$2:$B$10,2,0)</f>
        <v>141185-74670</v>
      </c>
      <c r="E17" s="7" t="s">
        <v>24</v>
      </c>
      <c r="F17" s="12">
        <v>45965</v>
      </c>
      <c r="G17" s="13">
        <v>0.5625</v>
      </c>
      <c r="H17" s="1" t="s">
        <v>9</v>
      </c>
      <c r="I17" s="1" t="s">
        <v>10</v>
      </c>
      <c r="J17" s="1">
        <v>40</v>
      </c>
      <c r="K17" s="14">
        <f>VLOOKUP($C17,Sheet2!$A$2:$D$10,4,0)</f>
        <v>40</v>
      </c>
      <c r="L17" s="14" t="str">
        <f>VLOOKUP($C17,Sheet2!$A$2:$E$10,5,0)</f>
        <v>Trolley</v>
      </c>
      <c r="M17" s="14"/>
      <c r="N17" s="1">
        <f>J17/K17</f>
        <v>1</v>
      </c>
      <c r="O17" s="1" t="s">
        <v>166</v>
      </c>
      <c r="P17" s="1"/>
      <c r="Q17" s="8"/>
    </row>
    <row r="18" spans="1:17" ht="17.25" customHeight="1" x14ac:dyDescent="0.25">
      <c r="A18" s="15" t="s">
        <v>208</v>
      </c>
      <c r="B18" s="16" t="s">
        <v>182</v>
      </c>
      <c r="C18" s="1" t="s">
        <v>29</v>
      </c>
      <c r="D18" s="1" t="str">
        <f>VLOOKUP($C18,Sheet2!$A$2:$B$10,2,0)</f>
        <v>141140-91211</v>
      </c>
      <c r="E18" s="7" t="s">
        <v>30</v>
      </c>
      <c r="F18" s="12">
        <v>45965</v>
      </c>
      <c r="G18" s="13">
        <v>0.5625</v>
      </c>
      <c r="H18" s="1" t="s">
        <v>31</v>
      </c>
      <c r="I18" s="1" t="s">
        <v>10</v>
      </c>
      <c r="J18" s="1">
        <v>20</v>
      </c>
      <c r="K18" s="14">
        <f>VLOOKUP($C18,Sheet2!$A$2:$D$10,4,0)</f>
        <v>2</v>
      </c>
      <c r="L18" s="14" t="str">
        <f>VLOOKUP($C18,Sheet2!$A$2:$E$10,5,0)</f>
        <v>Bin</v>
      </c>
      <c r="M18" s="14">
        <f>J18/K18</f>
        <v>10</v>
      </c>
      <c r="N18" s="1"/>
      <c r="O18" s="1" t="s">
        <v>166</v>
      </c>
      <c r="P18" s="1"/>
      <c r="Q18" s="8"/>
    </row>
    <row r="19" spans="1:17" ht="17.25" customHeight="1" x14ac:dyDescent="0.25">
      <c r="A19" s="15" t="s">
        <v>208</v>
      </c>
      <c r="B19" s="16" t="s">
        <v>186</v>
      </c>
      <c r="C19" s="1" t="s">
        <v>37</v>
      </c>
      <c r="D19" s="1" t="str">
        <f>VLOOKUP($C19,Sheet2!$A$2:$B$10,2,0)</f>
        <v>141150-91211</v>
      </c>
      <c r="E19" s="7" t="s">
        <v>38</v>
      </c>
      <c r="F19" s="12">
        <v>45965</v>
      </c>
      <c r="G19" s="13">
        <v>0.5625</v>
      </c>
      <c r="H19" s="1" t="s">
        <v>31</v>
      </c>
      <c r="I19" s="1" t="s">
        <v>10</v>
      </c>
      <c r="J19" s="1">
        <v>20</v>
      </c>
      <c r="K19" s="14">
        <f>VLOOKUP($C19,Sheet2!$A$2:$D$10,4,0)</f>
        <v>2</v>
      </c>
      <c r="L19" s="14" t="str">
        <f>VLOOKUP($C19,Sheet2!$A$2:$E$10,5,0)</f>
        <v>Bin</v>
      </c>
      <c r="M19" s="14">
        <f>J19/K19</f>
        <v>10</v>
      </c>
      <c r="N19" s="1"/>
      <c r="O19" s="1" t="s">
        <v>166</v>
      </c>
      <c r="P19" s="1"/>
      <c r="Q19" s="8"/>
    </row>
    <row r="20" spans="1:17" ht="17.25" customHeight="1" x14ac:dyDescent="0.25">
      <c r="A20" s="15" t="s">
        <v>208</v>
      </c>
      <c r="B20" s="16" t="s">
        <v>190</v>
      </c>
      <c r="C20" s="1" t="s">
        <v>45</v>
      </c>
      <c r="D20" s="1" t="str">
        <f>VLOOKUP($C20,Sheet2!$A$2:$B$10,2,0)</f>
        <v>141186-74360</v>
      </c>
      <c r="E20" s="7" t="s">
        <v>46</v>
      </c>
      <c r="F20" s="12">
        <v>45965</v>
      </c>
      <c r="G20" s="13">
        <v>0.5625</v>
      </c>
      <c r="H20" s="1" t="s">
        <v>31</v>
      </c>
      <c r="I20" s="1" t="s">
        <v>10</v>
      </c>
      <c r="J20" s="1">
        <v>40</v>
      </c>
      <c r="K20" s="14">
        <f>VLOOKUP($C20,Sheet2!$A$2:$D$10,4,0)</f>
        <v>40</v>
      </c>
      <c r="L20" s="14" t="str">
        <f>VLOOKUP($C20,Sheet2!$A$2:$E$10,5,0)</f>
        <v>Trolley</v>
      </c>
      <c r="M20" s="14"/>
      <c r="N20" s="1">
        <f>J20/K20</f>
        <v>1</v>
      </c>
      <c r="O20" s="1" t="s">
        <v>166</v>
      </c>
      <c r="P20" s="1"/>
      <c r="Q20" s="8"/>
    </row>
    <row r="21" spans="1:17" ht="17.25" customHeight="1" x14ac:dyDescent="0.25">
      <c r="A21" s="15" t="s">
        <v>209</v>
      </c>
      <c r="B21" s="16" t="s">
        <v>194</v>
      </c>
      <c r="C21" s="1" t="s">
        <v>50</v>
      </c>
      <c r="D21" s="1" t="str">
        <f>VLOOKUP($C21,Sheet2!$A$2:$B$10,2,0)</f>
        <v>116040-92240</v>
      </c>
      <c r="E21" s="7" t="s">
        <v>51</v>
      </c>
      <c r="F21" s="12">
        <v>45965</v>
      </c>
      <c r="G21" s="13">
        <v>0.5625</v>
      </c>
      <c r="H21" s="1" t="s">
        <v>52</v>
      </c>
      <c r="I21" s="1" t="s">
        <v>10</v>
      </c>
      <c r="J21" s="1">
        <v>24</v>
      </c>
      <c r="K21" s="14">
        <f>VLOOKUP($C21,Sheet2!$A$2:$D$10,4,0)</f>
        <v>6</v>
      </c>
      <c r="L21" s="14" t="str">
        <f>VLOOKUP($C21,Sheet2!$A$2:$E$10,5,0)</f>
        <v>Bin</v>
      </c>
      <c r="M21" s="14">
        <f>J21/K21</f>
        <v>4</v>
      </c>
      <c r="N21" s="1"/>
      <c r="O21" s="1" t="s">
        <v>166</v>
      </c>
      <c r="P21" s="1"/>
      <c r="Q21" s="8"/>
    </row>
    <row r="22" spans="1:17" ht="17.25" customHeight="1" x14ac:dyDescent="0.25">
      <c r="A22" s="15" t="s">
        <v>209</v>
      </c>
      <c r="B22" s="16" t="s">
        <v>198</v>
      </c>
      <c r="C22" s="1" t="s">
        <v>59</v>
      </c>
      <c r="D22" s="1" t="str">
        <f>VLOOKUP($C22,Sheet2!$A$2:$B$10,2,0)</f>
        <v>114010-50820</v>
      </c>
      <c r="E22" s="7" t="s">
        <v>60</v>
      </c>
      <c r="F22" s="12">
        <v>45965</v>
      </c>
      <c r="G22" s="13">
        <v>0.5625</v>
      </c>
      <c r="H22" s="1" t="s">
        <v>52</v>
      </c>
      <c r="I22" s="1" t="s">
        <v>10</v>
      </c>
      <c r="J22" s="1">
        <v>9</v>
      </c>
      <c r="K22" s="14">
        <f>VLOOKUP($C22,Sheet2!$A$2:$D$10,4,0)</f>
        <v>1</v>
      </c>
      <c r="L22" s="14" t="str">
        <f>VLOOKUP($C22,Sheet2!$A$2:$E$10,5,0)</f>
        <v>Bin</v>
      </c>
      <c r="M22" s="14">
        <f>J22/K22</f>
        <v>9</v>
      </c>
      <c r="N22" s="1"/>
      <c r="O22" s="1" t="s">
        <v>166</v>
      </c>
      <c r="P22" s="1"/>
      <c r="Q22" s="8"/>
    </row>
    <row r="23" spans="1:17" ht="17.25" customHeight="1" x14ac:dyDescent="0.25">
      <c r="A23" s="15" t="s">
        <v>209</v>
      </c>
      <c r="B23" s="16" t="s">
        <v>203</v>
      </c>
      <c r="C23" s="1" t="s">
        <v>67</v>
      </c>
      <c r="D23" s="1" t="str">
        <f>VLOOKUP($C23,Sheet2!$A$2:$B$10,2,0)</f>
        <v>114010-50830</v>
      </c>
      <c r="E23" s="7" t="s">
        <v>60</v>
      </c>
      <c r="F23" s="12">
        <v>45965</v>
      </c>
      <c r="G23" s="13">
        <v>0.5625</v>
      </c>
      <c r="H23" s="1" t="s">
        <v>52</v>
      </c>
      <c r="I23" s="1" t="s">
        <v>10</v>
      </c>
      <c r="J23" s="1">
        <v>11</v>
      </c>
      <c r="K23" s="14">
        <f>VLOOKUP($C23,Sheet2!$A$2:$D$10,4,0)</f>
        <v>1</v>
      </c>
      <c r="L23" s="14" t="str">
        <f>VLOOKUP($C23,Sheet2!$A$2:$E$10,5,0)</f>
        <v>Bin</v>
      </c>
      <c r="M23" s="14">
        <f>J23/K23</f>
        <v>11</v>
      </c>
      <c r="N23" s="1"/>
      <c r="O23" s="1" t="s">
        <v>166</v>
      </c>
      <c r="P23" s="1"/>
      <c r="Q23" s="8"/>
    </row>
    <row r="24" spans="1:17" x14ac:dyDescent="0.25">
      <c r="A24" s="9"/>
      <c r="B24" s="9"/>
      <c r="C24" s="9"/>
      <c r="D24" s="10"/>
      <c r="E24" s="9"/>
      <c r="F24" s="9"/>
      <c r="G24" s="9"/>
      <c r="H24" s="9"/>
      <c r="I24" s="9"/>
      <c r="J24" s="9"/>
      <c r="K24" s="9"/>
      <c r="L24" s="9"/>
      <c r="M24" s="9">
        <v>44</v>
      </c>
      <c r="N24" s="9">
        <v>4</v>
      </c>
      <c r="O24" s="9"/>
      <c r="P24" s="9"/>
      <c r="Q24" s="11"/>
    </row>
    <row r="25" spans="1:17" ht="17.25" customHeight="1" x14ac:dyDescent="0.25">
      <c r="A25" s="15" t="s">
        <v>210</v>
      </c>
      <c r="B25" s="16" t="s">
        <v>174</v>
      </c>
      <c r="C25" s="1" t="s">
        <v>7</v>
      </c>
      <c r="D25" s="1" t="str">
        <f>VLOOKUP($C25,Sheet2!$A$2:$B$10,2,0)</f>
        <v>141110-14600</v>
      </c>
      <c r="E25" s="7" t="s">
        <v>8</v>
      </c>
      <c r="F25" s="12">
        <v>45965</v>
      </c>
      <c r="G25" s="13">
        <v>0.77083333333333337</v>
      </c>
      <c r="H25" s="1" t="s">
        <v>9</v>
      </c>
      <c r="I25" s="1" t="s">
        <v>10</v>
      </c>
      <c r="J25" s="1">
        <v>36</v>
      </c>
      <c r="K25" s="14">
        <f>VLOOKUP($C25,Sheet2!$A$2:$D$10,4,0)</f>
        <v>18</v>
      </c>
      <c r="L25" s="14" t="str">
        <f>VLOOKUP($C25,Sheet2!$A$2:$E$10,5,0)</f>
        <v>Trolley (H)</v>
      </c>
      <c r="M25" s="14"/>
      <c r="N25" s="63">
        <v>2</v>
      </c>
      <c r="O25" s="1" t="s">
        <v>119</v>
      </c>
      <c r="P25" s="1"/>
      <c r="Q25" s="8"/>
    </row>
    <row r="26" spans="1:17" ht="17.25" customHeight="1" x14ac:dyDescent="0.25">
      <c r="A26" s="15" t="s">
        <v>210</v>
      </c>
      <c r="B26" s="16" t="s">
        <v>177</v>
      </c>
      <c r="C26" s="1" t="s">
        <v>16</v>
      </c>
      <c r="D26" s="1" t="str">
        <f>VLOOKUP($C26,Sheet2!$A$2:$B$10,2,0)</f>
        <v>141120-14600</v>
      </c>
      <c r="E26" s="7" t="s">
        <v>17</v>
      </c>
      <c r="F26" s="12">
        <v>45965</v>
      </c>
      <c r="G26" s="13">
        <v>0.77083333333333337</v>
      </c>
      <c r="H26" s="1" t="s">
        <v>9</v>
      </c>
      <c r="I26" s="1" t="s">
        <v>10</v>
      </c>
      <c r="J26" s="1">
        <v>36</v>
      </c>
      <c r="K26" s="14">
        <f>VLOOKUP($C26,Sheet2!$A$2:$D$10,4,0)</f>
        <v>18</v>
      </c>
      <c r="L26" s="14" t="str">
        <f>VLOOKUP($C26,Sheet2!$A$2:$E$10,5,0)</f>
        <v>Trolley (H)</v>
      </c>
      <c r="M26" s="14"/>
      <c r="N26" s="64"/>
      <c r="O26" s="1" t="s">
        <v>119</v>
      </c>
      <c r="P26" s="1"/>
      <c r="Q26" s="8"/>
    </row>
    <row r="27" spans="1:17" ht="17.25" customHeight="1" x14ac:dyDescent="0.25">
      <c r="A27" s="15" t="s">
        <v>210</v>
      </c>
      <c r="B27" s="16" t="s">
        <v>180</v>
      </c>
      <c r="C27" s="1" t="s">
        <v>23</v>
      </c>
      <c r="D27" s="1" t="str">
        <f>VLOOKUP($C27,Sheet2!$A$2:$B$10,2,0)</f>
        <v>141185-74670</v>
      </c>
      <c r="E27" s="7" t="s">
        <v>24</v>
      </c>
      <c r="F27" s="12">
        <v>45965</v>
      </c>
      <c r="G27" s="13">
        <v>0.77083333333333337</v>
      </c>
      <c r="H27" s="1" t="s">
        <v>9</v>
      </c>
      <c r="I27" s="1" t="s">
        <v>10</v>
      </c>
      <c r="J27" s="1">
        <v>40</v>
      </c>
      <c r="K27" s="14">
        <f>VLOOKUP($C27,Sheet2!$A$2:$D$10,4,0)</f>
        <v>40</v>
      </c>
      <c r="L27" s="14" t="str">
        <f>VLOOKUP($C27,Sheet2!$A$2:$E$10,5,0)</f>
        <v>Trolley</v>
      </c>
      <c r="M27" s="14"/>
      <c r="N27" s="1">
        <f>J27/K27</f>
        <v>1</v>
      </c>
      <c r="O27" s="1" t="s">
        <v>119</v>
      </c>
      <c r="P27" s="1"/>
      <c r="Q27" s="8"/>
    </row>
    <row r="28" spans="1:17" ht="17.25" customHeight="1" x14ac:dyDescent="0.25">
      <c r="A28" s="15" t="s">
        <v>210</v>
      </c>
      <c r="B28" s="16" t="s">
        <v>183</v>
      </c>
      <c r="C28" s="1" t="s">
        <v>29</v>
      </c>
      <c r="D28" s="1" t="str">
        <f>VLOOKUP($C28,Sheet2!$A$2:$B$10,2,0)</f>
        <v>141140-91211</v>
      </c>
      <c r="E28" s="7" t="s">
        <v>30</v>
      </c>
      <c r="F28" s="12">
        <v>45965</v>
      </c>
      <c r="G28" s="13">
        <v>0.77083333333333337</v>
      </c>
      <c r="H28" s="1" t="s">
        <v>31</v>
      </c>
      <c r="I28" s="1" t="s">
        <v>10</v>
      </c>
      <c r="J28" s="1">
        <v>12</v>
      </c>
      <c r="K28" s="14">
        <f>VLOOKUP($C28,Sheet2!$A$2:$D$10,4,0)</f>
        <v>2</v>
      </c>
      <c r="L28" s="14" t="str">
        <f>VLOOKUP($C28,Sheet2!$A$2:$E$10,5,0)</f>
        <v>Bin</v>
      </c>
      <c r="M28" s="14">
        <f>J28/K28</f>
        <v>6</v>
      </c>
      <c r="N28" s="1"/>
      <c r="O28" s="1" t="s">
        <v>119</v>
      </c>
      <c r="P28" s="1"/>
      <c r="Q28" s="8"/>
    </row>
    <row r="29" spans="1:17" ht="17.25" customHeight="1" x14ac:dyDescent="0.25">
      <c r="A29" s="15" t="s">
        <v>210</v>
      </c>
      <c r="B29" s="16" t="s">
        <v>187</v>
      </c>
      <c r="C29" s="1" t="s">
        <v>37</v>
      </c>
      <c r="D29" s="1" t="str">
        <f>VLOOKUP($C29,Sheet2!$A$2:$B$10,2,0)</f>
        <v>141150-91211</v>
      </c>
      <c r="E29" s="7" t="s">
        <v>38</v>
      </c>
      <c r="F29" s="12">
        <v>45965</v>
      </c>
      <c r="G29" s="13">
        <v>0.77083333333333337</v>
      </c>
      <c r="H29" s="1" t="s">
        <v>31</v>
      </c>
      <c r="I29" s="1" t="s">
        <v>10</v>
      </c>
      <c r="J29" s="1">
        <v>12</v>
      </c>
      <c r="K29" s="14">
        <f>VLOOKUP($C29,Sheet2!$A$2:$D$10,4,0)</f>
        <v>2</v>
      </c>
      <c r="L29" s="14" t="str">
        <f>VLOOKUP($C29,Sheet2!$A$2:$E$10,5,0)</f>
        <v>Bin</v>
      </c>
      <c r="M29" s="14">
        <f>J29/K29</f>
        <v>6</v>
      </c>
      <c r="N29" s="1"/>
      <c r="O29" s="1" t="s">
        <v>119</v>
      </c>
      <c r="P29" s="1"/>
      <c r="Q29" s="8"/>
    </row>
    <row r="30" spans="1:17" ht="17.25" customHeight="1" x14ac:dyDescent="0.25">
      <c r="A30" s="15" t="s">
        <v>210</v>
      </c>
      <c r="B30" s="16" t="s">
        <v>191</v>
      </c>
      <c r="C30" s="1" t="s">
        <v>45</v>
      </c>
      <c r="D30" s="1" t="str">
        <f>VLOOKUP($C30,Sheet2!$A$2:$B$10,2,0)</f>
        <v>141186-74360</v>
      </c>
      <c r="E30" s="7" t="s">
        <v>46</v>
      </c>
      <c r="F30" s="12">
        <v>45965</v>
      </c>
      <c r="G30" s="13">
        <v>0.77083333333333337</v>
      </c>
      <c r="H30" s="1" t="s">
        <v>31</v>
      </c>
      <c r="I30" s="1" t="s">
        <v>10</v>
      </c>
      <c r="J30" s="1">
        <v>40</v>
      </c>
      <c r="K30" s="14">
        <f>VLOOKUP($C30,Sheet2!$A$2:$D$10,4,0)</f>
        <v>40</v>
      </c>
      <c r="L30" s="14" t="str">
        <f>VLOOKUP($C30,Sheet2!$A$2:$E$10,5,0)</f>
        <v>Trolley</v>
      </c>
      <c r="M30" s="14"/>
      <c r="N30" s="1">
        <f>J30/K30</f>
        <v>1</v>
      </c>
      <c r="O30" s="1" t="s">
        <v>119</v>
      </c>
      <c r="P30" s="1"/>
      <c r="Q30" s="8"/>
    </row>
    <row r="31" spans="1:17" ht="17.25" customHeight="1" x14ac:dyDescent="0.25">
      <c r="A31" s="15" t="s">
        <v>211</v>
      </c>
      <c r="B31" s="16" t="s">
        <v>195</v>
      </c>
      <c r="C31" s="1" t="s">
        <v>50</v>
      </c>
      <c r="D31" s="1" t="str">
        <f>VLOOKUP($C31,Sheet2!$A$2:$B$10,2,0)</f>
        <v>116040-92240</v>
      </c>
      <c r="E31" s="7" t="s">
        <v>51</v>
      </c>
      <c r="F31" s="12">
        <v>45965</v>
      </c>
      <c r="G31" s="13">
        <v>0.77083333333333337</v>
      </c>
      <c r="H31" s="1" t="s">
        <v>52</v>
      </c>
      <c r="I31" s="1" t="s">
        <v>10</v>
      </c>
      <c r="J31" s="1">
        <v>12</v>
      </c>
      <c r="K31" s="14">
        <f>VLOOKUP($C31,Sheet2!$A$2:$D$10,4,0)</f>
        <v>6</v>
      </c>
      <c r="L31" s="14" t="str">
        <f>VLOOKUP($C31,Sheet2!$A$2:$E$10,5,0)</f>
        <v>Bin</v>
      </c>
      <c r="M31" s="14">
        <f>J31/K31</f>
        <v>2</v>
      </c>
      <c r="N31" s="1"/>
      <c r="O31" s="1" t="s">
        <v>119</v>
      </c>
      <c r="P31" s="1"/>
      <c r="Q31" s="8"/>
    </row>
    <row r="32" spans="1:17" ht="17.25" customHeight="1" x14ac:dyDescent="0.25">
      <c r="A32" s="15" t="s">
        <v>211</v>
      </c>
      <c r="B32" s="16" t="s">
        <v>199</v>
      </c>
      <c r="C32" s="1" t="s">
        <v>59</v>
      </c>
      <c r="D32" s="1" t="str">
        <f>VLOOKUP($C32,Sheet2!$A$2:$B$10,2,0)</f>
        <v>114010-50820</v>
      </c>
      <c r="E32" s="7" t="s">
        <v>60</v>
      </c>
      <c r="F32" s="12">
        <v>45965</v>
      </c>
      <c r="G32" s="13">
        <v>0.77083333333333337</v>
      </c>
      <c r="H32" s="1" t="s">
        <v>52</v>
      </c>
      <c r="I32" s="1" t="s">
        <v>10</v>
      </c>
      <c r="J32" s="1">
        <v>5</v>
      </c>
      <c r="K32" s="14">
        <f>VLOOKUP($C32,Sheet2!$A$2:$D$10,4,0)</f>
        <v>1</v>
      </c>
      <c r="L32" s="14" t="str">
        <f>VLOOKUP($C32,Sheet2!$A$2:$E$10,5,0)</f>
        <v>Bin</v>
      </c>
      <c r="M32" s="14">
        <f>J32/K32</f>
        <v>5</v>
      </c>
      <c r="N32" s="1"/>
      <c r="O32" s="1" t="s">
        <v>119</v>
      </c>
      <c r="P32" s="1"/>
      <c r="Q32" s="8"/>
    </row>
    <row r="33" spans="1:17" ht="17.25" customHeight="1" thickBot="1" x14ac:dyDescent="0.3">
      <c r="A33" s="15" t="s">
        <v>211</v>
      </c>
      <c r="B33" s="16" t="s">
        <v>204</v>
      </c>
      <c r="C33" s="1" t="s">
        <v>67</v>
      </c>
      <c r="D33" s="1" t="str">
        <f>VLOOKUP($C33,Sheet2!$A$2:$B$10,2,0)</f>
        <v>114010-50830</v>
      </c>
      <c r="E33" s="7" t="s">
        <v>60</v>
      </c>
      <c r="F33" s="12">
        <v>45965</v>
      </c>
      <c r="G33" s="19">
        <v>0.77083333333333337</v>
      </c>
      <c r="H33" s="1" t="s">
        <v>52</v>
      </c>
      <c r="I33" s="1" t="s">
        <v>10</v>
      </c>
      <c r="J33" s="1">
        <v>8</v>
      </c>
      <c r="K33" s="14">
        <f>VLOOKUP($C33,Sheet2!$A$2:$D$10,4,0)</f>
        <v>1</v>
      </c>
      <c r="L33" s="14" t="str">
        <f>VLOOKUP($C33,Sheet2!$A$2:$E$10,5,0)</f>
        <v>Bin</v>
      </c>
      <c r="M33" s="14">
        <f>J33/K33</f>
        <v>8</v>
      </c>
      <c r="N33" s="1"/>
      <c r="O33" s="1" t="s">
        <v>119</v>
      </c>
      <c r="P33" s="1"/>
      <c r="Q33" s="8"/>
    </row>
    <row r="34" spans="1:17" ht="17.25" customHeight="1" thickTop="1" x14ac:dyDescent="0.25">
      <c r="A34" s="15" t="s">
        <v>264</v>
      </c>
      <c r="B34" s="16" t="s">
        <v>214</v>
      </c>
      <c r="C34" s="1" t="s">
        <v>7</v>
      </c>
      <c r="D34" s="1" t="str">
        <f>VLOOKUP($C34,Sheet2!$A$2:$B$10,2,0)</f>
        <v>141110-14600</v>
      </c>
      <c r="E34" s="7" t="s">
        <v>8</v>
      </c>
      <c r="F34" s="12">
        <v>45965</v>
      </c>
      <c r="G34" s="18">
        <v>0.78125</v>
      </c>
      <c r="H34" s="1" t="s">
        <v>9</v>
      </c>
      <c r="I34" s="1" t="s">
        <v>10</v>
      </c>
      <c r="J34" s="1">
        <v>18</v>
      </c>
      <c r="K34" s="14">
        <f>VLOOKUP($C34,Sheet2!$A$2:$D$10,4,0)</f>
        <v>18</v>
      </c>
      <c r="L34" s="14" t="str">
        <f>VLOOKUP($C34,Sheet2!$A$2:$E$10,5,0)</f>
        <v>Trolley (H)</v>
      </c>
      <c r="M34" s="14"/>
      <c r="N34" s="63">
        <v>1</v>
      </c>
      <c r="O34" s="1" t="s">
        <v>119</v>
      </c>
      <c r="P34" s="1"/>
      <c r="Q34" s="8"/>
    </row>
    <row r="35" spans="1:17" ht="17.25" customHeight="1" x14ac:dyDescent="0.25">
      <c r="A35" s="15" t="s">
        <v>264</v>
      </c>
      <c r="B35" s="16" t="s">
        <v>215</v>
      </c>
      <c r="C35" s="1" t="s">
        <v>16</v>
      </c>
      <c r="D35" s="1" t="str">
        <f>VLOOKUP($C35,Sheet2!$A$2:$B$10,2,0)</f>
        <v>141120-14600</v>
      </c>
      <c r="E35" s="7" t="s">
        <v>17</v>
      </c>
      <c r="F35" s="12">
        <v>45965</v>
      </c>
      <c r="G35" s="13">
        <v>0.78125</v>
      </c>
      <c r="H35" s="1" t="s">
        <v>9</v>
      </c>
      <c r="I35" s="1" t="s">
        <v>10</v>
      </c>
      <c r="J35" s="1">
        <v>18</v>
      </c>
      <c r="K35" s="14">
        <f>VLOOKUP($C35,Sheet2!$A$2:$D$10,4,0)</f>
        <v>18</v>
      </c>
      <c r="L35" s="14" t="str">
        <f>VLOOKUP($C35,Sheet2!$A$2:$E$10,5,0)</f>
        <v>Trolley (H)</v>
      </c>
      <c r="M35" s="14"/>
      <c r="N35" s="64"/>
      <c r="O35" s="1" t="s">
        <v>119</v>
      </c>
      <c r="P35" s="1"/>
      <c r="Q35" s="8"/>
    </row>
    <row r="36" spans="1:17" ht="17.25" customHeight="1" x14ac:dyDescent="0.25">
      <c r="A36" s="15" t="s">
        <v>264</v>
      </c>
      <c r="B36" s="16" t="s">
        <v>216</v>
      </c>
      <c r="C36" s="1" t="s">
        <v>23</v>
      </c>
      <c r="D36" s="1" t="str">
        <f>VLOOKUP($C36,Sheet2!$A$2:$B$10,2,0)</f>
        <v>141185-74670</v>
      </c>
      <c r="E36" s="7" t="s">
        <v>24</v>
      </c>
      <c r="F36" s="12">
        <v>45965</v>
      </c>
      <c r="G36" s="13">
        <v>0.78125</v>
      </c>
      <c r="H36" s="1" t="s">
        <v>9</v>
      </c>
      <c r="I36" s="1" t="s">
        <v>10</v>
      </c>
      <c r="J36" s="1">
        <v>40</v>
      </c>
      <c r="K36" s="14">
        <f>VLOOKUP($C36,Sheet2!$A$2:$D$10,4,0)</f>
        <v>40</v>
      </c>
      <c r="L36" s="14" t="str">
        <f>VLOOKUP($C36,Sheet2!$A$2:$E$10,5,0)</f>
        <v>Trolley</v>
      </c>
      <c r="M36" s="14"/>
      <c r="N36" s="1">
        <v>1</v>
      </c>
      <c r="O36" s="1" t="s">
        <v>119</v>
      </c>
      <c r="P36" s="1"/>
      <c r="Q36" s="8"/>
    </row>
    <row r="37" spans="1:17" ht="17.25" customHeight="1" x14ac:dyDescent="0.25">
      <c r="A37" s="15" t="s">
        <v>264</v>
      </c>
      <c r="B37" s="16" t="s">
        <v>217</v>
      </c>
      <c r="C37" s="1" t="s">
        <v>29</v>
      </c>
      <c r="D37" s="1" t="str">
        <f>VLOOKUP($C37,Sheet2!$A$2:$B$10,2,0)</f>
        <v>141140-91211</v>
      </c>
      <c r="E37" s="7" t="s">
        <v>30</v>
      </c>
      <c r="F37" s="12">
        <v>45965</v>
      </c>
      <c r="G37" s="13">
        <v>0.78125</v>
      </c>
      <c r="H37" s="1" t="s">
        <v>31</v>
      </c>
      <c r="I37" s="1" t="s">
        <v>10</v>
      </c>
      <c r="J37" s="1">
        <v>12</v>
      </c>
      <c r="K37" s="14">
        <f>VLOOKUP($C37,Sheet2!$A$2:$D$10,4,0)</f>
        <v>2</v>
      </c>
      <c r="L37" s="14" t="str">
        <f>VLOOKUP($C37,Sheet2!$A$2:$E$10,5,0)</f>
        <v>Bin</v>
      </c>
      <c r="M37" s="14">
        <f>J37/K37</f>
        <v>6</v>
      </c>
      <c r="N37" s="1"/>
      <c r="O37" s="1" t="s">
        <v>119</v>
      </c>
      <c r="P37" s="1"/>
      <c r="Q37" s="8"/>
    </row>
    <row r="38" spans="1:17" ht="17.25" customHeight="1" x14ac:dyDescent="0.25">
      <c r="A38" s="15" t="s">
        <v>264</v>
      </c>
      <c r="B38" s="16" t="s">
        <v>218</v>
      </c>
      <c r="C38" s="1" t="s">
        <v>37</v>
      </c>
      <c r="D38" s="1" t="str">
        <f>VLOOKUP($C38,Sheet2!$A$2:$B$10,2,0)</f>
        <v>141150-91211</v>
      </c>
      <c r="E38" s="7" t="s">
        <v>38</v>
      </c>
      <c r="F38" s="12">
        <v>45965</v>
      </c>
      <c r="G38" s="13">
        <v>0.78125</v>
      </c>
      <c r="H38" s="1" t="s">
        <v>31</v>
      </c>
      <c r="I38" s="1" t="s">
        <v>10</v>
      </c>
      <c r="J38" s="1">
        <v>12</v>
      </c>
      <c r="K38" s="14">
        <f>VLOOKUP($C38,Sheet2!$A$2:$D$10,4,0)</f>
        <v>2</v>
      </c>
      <c r="L38" s="14" t="str">
        <f>VLOOKUP($C38,Sheet2!$A$2:$E$10,5,0)</f>
        <v>Bin</v>
      </c>
      <c r="M38" s="14">
        <f>J38/K38</f>
        <v>6</v>
      </c>
      <c r="N38" s="1"/>
      <c r="O38" s="1" t="s">
        <v>119</v>
      </c>
      <c r="P38" s="1"/>
      <c r="Q38" s="8"/>
    </row>
    <row r="39" spans="1:17" ht="17.25" customHeight="1" x14ac:dyDescent="0.25">
      <c r="A39" s="15" t="s">
        <v>264</v>
      </c>
      <c r="B39" s="16" t="s">
        <v>219</v>
      </c>
      <c r="C39" s="1" t="s">
        <v>45</v>
      </c>
      <c r="D39" s="1" t="str">
        <f>VLOOKUP($C39,Sheet2!$A$2:$B$10,2,0)</f>
        <v>141186-74360</v>
      </c>
      <c r="E39" s="7" t="s">
        <v>46</v>
      </c>
      <c r="F39" s="12">
        <v>45965</v>
      </c>
      <c r="G39" s="13">
        <v>0.78125</v>
      </c>
      <c r="H39" s="1" t="s">
        <v>31</v>
      </c>
      <c r="I39" s="1" t="s">
        <v>10</v>
      </c>
      <c r="J39" s="1">
        <v>40</v>
      </c>
      <c r="K39" s="14">
        <f>VLOOKUP($C39,Sheet2!$A$2:$D$10,4,0)</f>
        <v>40</v>
      </c>
      <c r="L39" s="14" t="str">
        <f>VLOOKUP($C39,Sheet2!$A$2:$E$10,5,0)</f>
        <v>Trolley</v>
      </c>
      <c r="M39" s="14"/>
      <c r="N39" s="1">
        <v>1</v>
      </c>
      <c r="O39" s="1" t="s">
        <v>119</v>
      </c>
      <c r="P39" s="1"/>
      <c r="Q39" s="8"/>
    </row>
    <row r="40" spans="1:17" ht="17.25" customHeight="1" x14ac:dyDescent="0.25">
      <c r="A40" s="15" t="s">
        <v>265</v>
      </c>
      <c r="B40" s="16" t="s">
        <v>220</v>
      </c>
      <c r="C40" s="1" t="s">
        <v>50</v>
      </c>
      <c r="D40" s="1" t="str">
        <f>VLOOKUP($C40,Sheet2!$A$2:$B$10,2,0)</f>
        <v>116040-92240</v>
      </c>
      <c r="E40" s="7" t="s">
        <v>51</v>
      </c>
      <c r="F40" s="12">
        <v>45965</v>
      </c>
      <c r="G40" s="13">
        <v>0.78125</v>
      </c>
      <c r="H40" s="1" t="s">
        <v>52</v>
      </c>
      <c r="I40" s="1" t="s">
        <v>10</v>
      </c>
      <c r="J40" s="1">
        <v>12</v>
      </c>
      <c r="K40" s="14">
        <f>VLOOKUP($C40,Sheet2!$A$2:$D$10,4,0)</f>
        <v>6</v>
      </c>
      <c r="L40" s="14" t="str">
        <f>VLOOKUP($C40,Sheet2!$A$2:$E$10,5,0)</f>
        <v>Bin</v>
      </c>
      <c r="M40" s="14">
        <f t="shared" ref="M40:M42" si="0">J40/K40</f>
        <v>2</v>
      </c>
      <c r="N40" s="1"/>
      <c r="O40" s="1" t="s">
        <v>119</v>
      </c>
      <c r="P40" s="1"/>
      <c r="Q40" s="8"/>
    </row>
    <row r="41" spans="1:17" ht="17.25" customHeight="1" x14ac:dyDescent="0.25">
      <c r="A41" s="15" t="s">
        <v>265</v>
      </c>
      <c r="B41" s="16" t="s">
        <v>221</v>
      </c>
      <c r="C41" s="1" t="s">
        <v>59</v>
      </c>
      <c r="D41" s="1" t="str">
        <f>VLOOKUP($C41,Sheet2!$A$2:$B$10,2,0)</f>
        <v>114010-50820</v>
      </c>
      <c r="E41" s="7" t="s">
        <v>60</v>
      </c>
      <c r="F41" s="12">
        <v>45965</v>
      </c>
      <c r="G41" s="13">
        <v>0.78125</v>
      </c>
      <c r="H41" s="1" t="s">
        <v>52</v>
      </c>
      <c r="I41" s="1" t="s">
        <v>10</v>
      </c>
      <c r="J41" s="1">
        <v>6</v>
      </c>
      <c r="K41" s="14">
        <f>VLOOKUP($C41,Sheet2!$A$2:$D$10,4,0)</f>
        <v>1</v>
      </c>
      <c r="L41" s="14" t="str">
        <f>VLOOKUP($C41,Sheet2!$A$2:$E$10,5,0)</f>
        <v>Bin</v>
      </c>
      <c r="M41" s="14">
        <f t="shared" si="0"/>
        <v>6</v>
      </c>
      <c r="N41" s="1"/>
      <c r="O41" s="1" t="s">
        <v>119</v>
      </c>
      <c r="P41" s="1"/>
      <c r="Q41" s="8"/>
    </row>
    <row r="42" spans="1:17" ht="17.25" customHeight="1" x14ac:dyDescent="0.25">
      <c r="A42" s="15" t="s">
        <v>265</v>
      </c>
      <c r="B42" s="16" t="s">
        <v>222</v>
      </c>
      <c r="C42" s="1" t="s">
        <v>67</v>
      </c>
      <c r="D42" s="1" t="str">
        <f>VLOOKUP($C42,Sheet2!$A$2:$B$10,2,0)</f>
        <v>114010-50830</v>
      </c>
      <c r="E42" s="7" t="s">
        <v>60</v>
      </c>
      <c r="F42" s="12">
        <v>45965</v>
      </c>
      <c r="G42" s="13">
        <v>0.78125</v>
      </c>
      <c r="H42" s="1" t="s">
        <v>52</v>
      </c>
      <c r="I42" s="1" t="s">
        <v>10</v>
      </c>
      <c r="J42" s="1">
        <v>6</v>
      </c>
      <c r="K42" s="14">
        <f>VLOOKUP($C42,Sheet2!$A$2:$D$10,4,0)</f>
        <v>1</v>
      </c>
      <c r="L42" s="14" t="str">
        <f>VLOOKUP($C42,Sheet2!$A$2:$E$10,5,0)</f>
        <v>Bin</v>
      </c>
      <c r="M42" s="14">
        <f t="shared" si="0"/>
        <v>6</v>
      </c>
      <c r="N42" s="1"/>
      <c r="O42" s="1" t="s">
        <v>119</v>
      </c>
      <c r="P42" s="1"/>
      <c r="Q42" s="8"/>
    </row>
    <row r="43" spans="1:17" x14ac:dyDescent="0.25">
      <c r="A43" s="9"/>
      <c r="B43" s="9"/>
      <c r="C43" s="9"/>
      <c r="D43" s="10"/>
      <c r="E43" s="9"/>
      <c r="F43" s="9"/>
      <c r="G43" s="9"/>
      <c r="H43" s="9"/>
      <c r="I43" s="9"/>
      <c r="J43" s="9"/>
      <c r="K43" s="9"/>
      <c r="L43" s="9"/>
      <c r="M43" s="9">
        <v>53</v>
      </c>
      <c r="N43" s="9">
        <v>7</v>
      </c>
      <c r="O43" s="9"/>
      <c r="P43" s="9"/>
      <c r="Q43" s="11"/>
    </row>
    <row r="44" spans="1:17" ht="17.25" customHeight="1" x14ac:dyDescent="0.25">
      <c r="A44" s="15" t="s">
        <v>212</v>
      </c>
      <c r="B44" s="16" t="s">
        <v>184</v>
      </c>
      <c r="C44" s="1" t="s">
        <v>29</v>
      </c>
      <c r="D44" s="1" t="str">
        <f>VLOOKUP($C44,Sheet2!$A$2:$B$10,2,0)</f>
        <v>141140-91211</v>
      </c>
      <c r="E44" s="7" t="s">
        <v>30</v>
      </c>
      <c r="F44" s="12">
        <v>45965</v>
      </c>
      <c r="G44" s="13">
        <v>0.97916666666666663</v>
      </c>
      <c r="H44" s="1" t="s">
        <v>31</v>
      </c>
      <c r="I44" s="1" t="s">
        <v>10</v>
      </c>
      <c r="J44" s="1">
        <v>26</v>
      </c>
      <c r="K44" s="14">
        <f>VLOOKUP($C44,Sheet2!$A$2:$D$10,4,0)</f>
        <v>2</v>
      </c>
      <c r="L44" s="14" t="str">
        <f>VLOOKUP($C44,Sheet2!$A$2:$E$10,5,0)</f>
        <v>Bin</v>
      </c>
      <c r="M44" s="14">
        <f>J44/K44</f>
        <v>13</v>
      </c>
      <c r="N44" s="1"/>
      <c r="O44" s="1" t="s">
        <v>171</v>
      </c>
      <c r="P44" s="1"/>
      <c r="Q44" s="8"/>
    </row>
    <row r="45" spans="1:17" ht="17.25" customHeight="1" x14ac:dyDescent="0.25">
      <c r="A45" s="15" t="s">
        <v>212</v>
      </c>
      <c r="B45" s="16" t="s">
        <v>188</v>
      </c>
      <c r="C45" s="1" t="s">
        <v>37</v>
      </c>
      <c r="D45" s="1" t="str">
        <f>VLOOKUP($C45,Sheet2!$A$2:$B$10,2,0)</f>
        <v>141150-91211</v>
      </c>
      <c r="E45" s="7" t="s">
        <v>38</v>
      </c>
      <c r="F45" s="12">
        <v>45965</v>
      </c>
      <c r="G45" s="13">
        <v>0.97916666666666663</v>
      </c>
      <c r="H45" s="1" t="s">
        <v>31</v>
      </c>
      <c r="I45" s="1" t="s">
        <v>10</v>
      </c>
      <c r="J45" s="1">
        <v>26</v>
      </c>
      <c r="K45" s="14">
        <f>VLOOKUP($C45,Sheet2!$A$2:$D$10,4,0)</f>
        <v>2</v>
      </c>
      <c r="L45" s="14" t="str">
        <f>VLOOKUP($C45,Sheet2!$A$2:$E$10,5,0)</f>
        <v>Bin</v>
      </c>
      <c r="M45" s="14">
        <f>J45/K45</f>
        <v>13</v>
      </c>
      <c r="N45" s="1"/>
      <c r="O45" s="1" t="s">
        <v>171</v>
      </c>
      <c r="P45" s="1"/>
      <c r="Q45" s="8"/>
    </row>
    <row r="46" spans="1:17" ht="17.25" customHeight="1" x14ac:dyDescent="0.25">
      <c r="A46" s="15" t="s">
        <v>212</v>
      </c>
      <c r="B46" s="16" t="s">
        <v>192</v>
      </c>
      <c r="C46" s="1" t="s">
        <v>45</v>
      </c>
      <c r="D46" s="1" t="str">
        <f>VLOOKUP($C46,Sheet2!$A$2:$B$10,2,0)</f>
        <v>141186-74360</v>
      </c>
      <c r="E46" s="7" t="s">
        <v>46</v>
      </c>
      <c r="F46" s="12">
        <v>45965</v>
      </c>
      <c r="G46" s="13">
        <v>0.97916666666666663</v>
      </c>
      <c r="H46" s="1" t="s">
        <v>31</v>
      </c>
      <c r="I46" s="1" t="s">
        <v>10</v>
      </c>
      <c r="J46" s="1">
        <v>40</v>
      </c>
      <c r="K46" s="14">
        <f>VLOOKUP($C46,Sheet2!$A$2:$D$10,4,0)</f>
        <v>40</v>
      </c>
      <c r="L46" s="14" t="str">
        <f>VLOOKUP($C46,Sheet2!$A$2:$E$10,5,0)</f>
        <v>Trolley</v>
      </c>
      <c r="M46" s="14"/>
      <c r="N46" s="1">
        <f>J46/K46</f>
        <v>1</v>
      </c>
      <c r="O46" s="1" t="s">
        <v>171</v>
      </c>
      <c r="P46" s="1"/>
      <c r="Q46" s="8"/>
    </row>
    <row r="47" spans="1:17" ht="17.25" customHeight="1" x14ac:dyDescent="0.25">
      <c r="A47" s="15" t="s">
        <v>213</v>
      </c>
      <c r="B47" s="16" t="s">
        <v>196</v>
      </c>
      <c r="C47" s="1" t="s">
        <v>50</v>
      </c>
      <c r="D47" s="1" t="str">
        <f>VLOOKUP($C47,Sheet2!$A$2:$B$10,2,0)</f>
        <v>116040-92240</v>
      </c>
      <c r="E47" s="7" t="s">
        <v>51</v>
      </c>
      <c r="F47" s="12">
        <v>45965</v>
      </c>
      <c r="G47" s="13">
        <v>0.97916666666666663</v>
      </c>
      <c r="H47" s="1" t="s">
        <v>52</v>
      </c>
      <c r="I47" s="1" t="s">
        <v>10</v>
      </c>
      <c r="J47" s="1">
        <v>24</v>
      </c>
      <c r="K47" s="14">
        <f>VLOOKUP($C47,Sheet2!$A$2:$D$10,4,0)</f>
        <v>6</v>
      </c>
      <c r="L47" s="14" t="str">
        <f>VLOOKUP($C47,Sheet2!$A$2:$E$10,5,0)</f>
        <v>Bin</v>
      </c>
      <c r="M47" s="14">
        <f>J47/K47</f>
        <v>4</v>
      </c>
      <c r="N47" s="1"/>
      <c r="O47" s="1" t="s">
        <v>171</v>
      </c>
      <c r="P47" s="1"/>
      <c r="Q47" s="8"/>
    </row>
    <row r="48" spans="1:17" ht="17.25" customHeight="1" x14ac:dyDescent="0.25">
      <c r="A48" s="15" t="s">
        <v>213</v>
      </c>
      <c r="B48" s="16" t="s">
        <v>200</v>
      </c>
      <c r="C48" s="1" t="s">
        <v>59</v>
      </c>
      <c r="D48" s="1" t="str">
        <f>VLOOKUP($C48,Sheet2!$A$2:$B$10,2,0)</f>
        <v>114010-50820</v>
      </c>
      <c r="E48" s="7" t="s">
        <v>60</v>
      </c>
      <c r="F48" s="12">
        <v>45965</v>
      </c>
      <c r="G48" s="13">
        <v>0.97916666666666663</v>
      </c>
      <c r="H48" s="1" t="s">
        <v>52</v>
      </c>
      <c r="I48" s="1" t="s">
        <v>10</v>
      </c>
      <c r="J48" s="1">
        <v>9</v>
      </c>
      <c r="K48" s="14">
        <f>VLOOKUP($C48,Sheet2!$A$2:$D$10,4,0)</f>
        <v>1</v>
      </c>
      <c r="L48" s="14" t="str">
        <f>VLOOKUP($C48,Sheet2!$A$2:$E$10,5,0)</f>
        <v>Bin</v>
      </c>
      <c r="M48" s="14">
        <f>J48/K48</f>
        <v>9</v>
      </c>
      <c r="N48" s="1"/>
      <c r="O48" s="1" t="s">
        <v>171</v>
      </c>
      <c r="P48" s="1"/>
      <c r="Q48" s="8"/>
    </row>
    <row r="49" spans="1:17" ht="17.25" customHeight="1" x14ac:dyDescent="0.25">
      <c r="A49" s="15" t="s">
        <v>213</v>
      </c>
      <c r="B49" s="16" t="s">
        <v>205</v>
      </c>
      <c r="C49" s="1" t="s">
        <v>67</v>
      </c>
      <c r="D49" s="1" t="str">
        <f>VLOOKUP($C49,Sheet2!$A$2:$B$10,2,0)</f>
        <v>114010-50830</v>
      </c>
      <c r="E49" s="7" t="s">
        <v>60</v>
      </c>
      <c r="F49" s="12">
        <v>45965</v>
      </c>
      <c r="G49" s="13">
        <v>0.97916666666666663</v>
      </c>
      <c r="H49" s="1" t="s">
        <v>52</v>
      </c>
      <c r="I49" s="1" t="s">
        <v>10</v>
      </c>
      <c r="J49" s="1">
        <v>12</v>
      </c>
      <c r="K49" s="14">
        <f>VLOOKUP($C49,Sheet2!$A$2:$D$10,4,0)</f>
        <v>1</v>
      </c>
      <c r="L49" s="14" t="str">
        <f>VLOOKUP($C49,Sheet2!$A$2:$E$10,5,0)</f>
        <v>Bin</v>
      </c>
      <c r="M49" s="14">
        <f>J49/K49</f>
        <v>12</v>
      </c>
      <c r="N49" s="1"/>
      <c r="O49" s="1" t="s">
        <v>171</v>
      </c>
      <c r="P49" s="1"/>
      <c r="Q49" s="8"/>
    </row>
    <row r="50" spans="1:17" x14ac:dyDescent="0.25">
      <c r="A50" s="9"/>
      <c r="B50" s="9"/>
      <c r="C50" s="9"/>
      <c r="D50" s="10"/>
      <c r="E50" s="9"/>
      <c r="F50" s="9"/>
      <c r="G50" s="9"/>
      <c r="H50" s="9"/>
      <c r="I50" s="9"/>
      <c r="J50" s="9"/>
      <c r="K50" s="9"/>
      <c r="L50" s="9"/>
      <c r="M50" s="9">
        <v>51</v>
      </c>
      <c r="N50" s="9">
        <v>1</v>
      </c>
      <c r="O50" s="9"/>
      <c r="P50" s="9"/>
      <c r="Q50" s="11"/>
    </row>
    <row r="51" spans="1:17" x14ac:dyDescent="0.25">
      <c r="J51" s="17"/>
    </row>
  </sheetData>
  <mergeCells count="6">
    <mergeCell ref="N34:N35"/>
    <mergeCell ref="A1:F1"/>
    <mergeCell ref="J1:N1"/>
    <mergeCell ref="N4:N5"/>
    <mergeCell ref="N15:N16"/>
    <mergeCell ref="N25:N26"/>
  </mergeCells>
  <conditionalFormatting sqref="B2">
    <cfRule type="duplicateValues" dxfId="945" priority="60"/>
    <cfRule type="duplicateValues" dxfId="944" priority="59"/>
  </conditionalFormatting>
  <conditionalFormatting sqref="B44:B49 B4:B13 B15:B23 B25:B42">
    <cfRule type="duplicateValues" dxfId="943" priority="48"/>
  </conditionalFormatting>
  <conditionalFormatting sqref="C2:D2">
    <cfRule type="duplicateValues" dxfId="942" priority="61"/>
    <cfRule type="duplicateValues" dxfId="941" priority="62"/>
  </conditionalFormatting>
  <conditionalFormatting sqref="D3">
    <cfRule type="duplicateValues" dxfId="939" priority="58"/>
    <cfRule type="duplicateValues" dxfId="938" priority="57"/>
  </conditionalFormatting>
  <conditionalFormatting sqref="D14">
    <cfRule type="duplicateValues" dxfId="932" priority="39"/>
    <cfRule type="duplicateValues" dxfId="931" priority="40"/>
  </conditionalFormatting>
  <conditionalFormatting sqref="D24">
    <cfRule type="duplicateValues" dxfId="929" priority="33"/>
    <cfRule type="duplicateValues" dxfId="928" priority="32"/>
  </conditionalFormatting>
  <conditionalFormatting sqref="D43">
    <cfRule type="duplicateValues" dxfId="927" priority="25"/>
    <cfRule type="duplicateValues" dxfId="925" priority="26"/>
  </conditionalFormatting>
  <conditionalFormatting sqref="D50">
    <cfRule type="duplicateValues" dxfId="924" priority="18"/>
    <cfRule type="duplicateValues" dxfId="922" priority="19"/>
  </conditionalFormatting>
  <pageMargins left="0.17" right="0.17" top="0.17" bottom="0.2" header="0.3" footer="0.3"/>
  <pageSetup paperSize="9" scale="66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text="17521M68PA0" id="{9A62D9B9-AF59-41CE-8F65-73DB31A15A34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C4:D13 C15:D23 C25:D42 C44:D49</xm:sqref>
        </x14:conditionalFormatting>
        <x14:conditionalFormatting xmlns:xm="http://schemas.microsoft.com/office/excel/2006/main">
          <x14:cfRule type="containsText" priority="69" operator="containsText" text="17521M68PA0" id="{E232EFFC-8CB6-4D82-914C-4786A7A4CEDC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46" operator="containsText" text="17521M74T00" id="{0590D152-90D7-4A80-9B1B-E544CF0868E8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44" operator="containsText" text="17521M68PA0" id="{8A3F96CA-DB7D-41C7-B8E1-7F2021F9ADB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3" operator="containsText" text="17521M74T00" id="{8525EA15-3F9C-4729-B016-A7CF9278F944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D4:D13 D15:D23 D25:D42 D44:D49</xm:sqref>
        </x14:conditionalFormatting>
        <x14:conditionalFormatting xmlns:xm="http://schemas.microsoft.com/office/excel/2006/main">
          <x14:cfRule type="containsText" priority="41" operator="containsText" text="17521M68PA0" id="{13A83DBA-80A4-4209-A3C8-6B6EA47E9C6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ontainsText" priority="34" operator="containsText" text="17521M68PA0" id="{397EFE89-BC4C-4624-BD42-A563A253E9AE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D24</xm:sqref>
        </x14:conditionalFormatting>
        <x14:conditionalFormatting xmlns:xm="http://schemas.microsoft.com/office/excel/2006/main">
          <x14:cfRule type="containsText" priority="27" operator="containsText" text="17521M68PA0" id="{00C2125B-ABC8-433A-AD02-B4830B5CA71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D43</xm:sqref>
        </x14:conditionalFormatting>
        <x14:conditionalFormatting xmlns:xm="http://schemas.microsoft.com/office/excel/2006/main">
          <x14:cfRule type="containsText" priority="20" operator="containsText" text="17521M68PA0" id="{F20D975C-8ACF-4025-9D60-60B947110752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D50</xm:sqref>
        </x14:conditionalFormatting>
        <x14:conditionalFormatting xmlns:xm="http://schemas.microsoft.com/office/excel/2006/main">
          <x14:cfRule type="containsText" priority="63" operator="containsText" text="17521M68PA0" id="{C0D5D37C-EA25-4036-A6B6-CF194C6E61F0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64" operator="containsText" text="17521M74T00" id="{2EB01E81-9952-4740-A385-D9A310750250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54" operator="containsText" text="BELT,WATER PUMP - 7PK 975" id="{D944FA1A-B0DC-4399-8297-A4F2C7B26B5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4" operator="containsText" text="BELT,WATER PUMP - 5PK 913" id="{6E1B4652-1737-498F-A962-AD61802D4BE4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E3:E50</xm:sqref>
        </x14:conditionalFormatting>
        <x14:conditionalFormatting xmlns:xm="http://schemas.microsoft.com/office/excel/2006/main">
          <x14:cfRule type="containsText" priority="36" operator="containsText" text="BELT,WATER PUMP - 7PK 975" id="{E4D003A4-DF7A-433F-B9DE-D64380EE9DD7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29" operator="containsText" text="BELT,WATER PUMP - 7PK 975" id="{E204D68D-9E8B-4722-8089-99C5BB9D1F7A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containsText" priority="22" operator="containsText" text="BELT,WATER PUMP - 7PK 975" id="{ED50DEAE-B35D-4C85-82BF-EEF93296FE31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containsText" priority="15" operator="containsText" text="BELT,WATER PUMP - 7PK 975" id="{7EB5617F-C10A-41A8-8281-029DCDAADF85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E50</xm:sqref>
        </x14:conditionalFormatting>
        <x14:conditionalFormatting xmlns:xm="http://schemas.microsoft.com/office/excel/2006/main">
          <x14:cfRule type="containsText" priority="65" operator="containsText" text="BELT,WATER PUMP - 5PK 913" id="{526CC406-3329-483D-BFFF-A23F00A314DC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66" operator="containsText" text="BELT,WATER PUMP - 7PK 975" id="{AE7CF63E-AF84-42E8-844F-A463B4194C9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67" operator="containsText" text="5PK 913" id="{7DBF48B7-3977-4607-8276-ABD05E26FAF6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68" operator="containsText" text="7PK 975" id="{8C62E770-1CF7-4962-851C-0DE7AD5DB62D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</xm:sqref>
        </x14:conditionalFormatting>
        <x14:conditionalFormatting xmlns:xm="http://schemas.microsoft.com/office/excel/2006/main">
          <x14:cfRule type="containsText" priority="55" operator="containsText" text="5PK 913" id="{06B311D4-2A6B-47E2-A57E-4E2E6FE32BA5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6" operator="containsText" text="7PK 975" id="{42C77BDA-B8D0-448D-8F56-D8E474804AC8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P3:Q3</xm:sqref>
        </x14:conditionalFormatting>
        <x14:conditionalFormatting xmlns:xm="http://schemas.microsoft.com/office/excel/2006/main">
          <x14:cfRule type="containsText" priority="38" operator="containsText" text="7PK 975" id="{9B3C6866-2C0D-4CA0-82B2-94052753AEE7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37" operator="containsText" text="5PK 913" id="{4FE91200-48A2-46CD-BE40-1EF74198CC3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P14:Q14</xm:sqref>
        </x14:conditionalFormatting>
        <x14:conditionalFormatting xmlns:xm="http://schemas.microsoft.com/office/excel/2006/main">
          <x14:cfRule type="containsText" priority="31" operator="containsText" text="7PK 975" id="{33F57741-BBF1-4D47-940D-BC2A52B1745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5PK 913" id="{1FF71551-46E5-4B72-8827-D5285E71799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P24:Q24</xm:sqref>
        </x14:conditionalFormatting>
        <x14:conditionalFormatting xmlns:xm="http://schemas.microsoft.com/office/excel/2006/main">
          <x14:cfRule type="containsText" priority="23" operator="containsText" text="5PK 913" id="{E2EF4EE3-0DD8-4A5A-93DE-702BCF28AD2B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4" operator="containsText" text="7PK 975" id="{94347ABB-F36C-4500-A722-36CB4C345958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P43:Q43</xm:sqref>
        </x14:conditionalFormatting>
        <x14:conditionalFormatting xmlns:xm="http://schemas.microsoft.com/office/excel/2006/main">
          <x14:cfRule type="containsText" priority="16" operator="containsText" text="5PK 913" id="{79959CA0-B8B1-40A6-A5DD-8B43DBD6198E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7" operator="containsText" text="7PK 975" id="{0FEB2D40-0BCC-44EC-9A04-9BF5B34D8815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P50:Q50</xm:sqref>
        </x14:conditionalFormatting>
        <x14:conditionalFormatting xmlns:xm="http://schemas.microsoft.com/office/excel/2006/main">
          <x14:cfRule type="containsText" priority="47" operator="containsText" text="5PK 913" id="{2C079DA2-1F1E-4E94-8EA5-138E29D015E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Q4:Q13 Q15:Q23 Q25:Q42 Q44:Q49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CDE6-73B3-402C-B4C5-29559F2375B5}">
  <sheetPr>
    <pageSetUpPr fitToPage="1"/>
  </sheetPr>
  <dimension ref="A1:P47"/>
  <sheetViews>
    <sheetView workbookViewId="0">
      <selection activeCell="P3" sqref="P3"/>
    </sheetView>
  </sheetViews>
  <sheetFormatPr defaultColWidth="41" defaultRowHeight="15" x14ac:dyDescent="0.25"/>
  <cols>
    <col min="1" max="1" width="15.140625" bestFit="1" customWidth="1"/>
    <col min="2" max="2" width="21.28515625" bestFit="1" customWidth="1"/>
    <col min="3" max="3" width="16.28515625" bestFit="1" customWidth="1"/>
    <col min="4" max="4" width="14.140625" customWidth="1"/>
    <col min="5" max="5" width="38.7109375" bestFit="1" customWidth="1"/>
    <col min="6" max="6" width="12.7109375" bestFit="1" customWidth="1"/>
    <col min="7" max="7" width="9.42578125" customWidth="1"/>
    <col min="8" max="8" width="11.7109375" customWidth="1"/>
    <col min="9" max="9" width="5.42578125" customWidth="1"/>
    <col min="10" max="10" width="8" bestFit="1" customWidth="1"/>
    <col min="11" max="11" width="16.28515625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5.28515625" bestFit="1" customWidth="1"/>
    <col min="16" max="16" width="41.42578125" bestFit="1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"/>
      <c r="P1" s="3"/>
    </row>
    <row r="2" spans="1:16" ht="15.75" x14ac:dyDescent="0.25">
      <c r="A2" s="4" t="s">
        <v>74</v>
      </c>
      <c r="B2" s="5">
        <v>45966</v>
      </c>
      <c r="C2" s="6"/>
      <c r="D2" s="6"/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8"/>
    </row>
    <row r="3" spans="1:16" ht="29.25" customHeight="1" x14ac:dyDescent="0.25">
      <c r="A3" s="9" t="s">
        <v>75</v>
      </c>
      <c r="B3" s="9" t="s">
        <v>0</v>
      </c>
      <c r="C3" s="9" t="s">
        <v>1</v>
      </c>
      <c r="D3" s="10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ht="17.25" customHeight="1" x14ac:dyDescent="0.25">
      <c r="A4" s="15" t="s">
        <v>266</v>
      </c>
      <c r="B4" s="16" t="s">
        <v>223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45966</v>
      </c>
      <c r="G4" s="13">
        <v>0.27083333333333331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1">
        <v>1</v>
      </c>
      <c r="O4" s="1" t="s">
        <v>166</v>
      </c>
      <c r="P4" s="1" t="s">
        <v>409</v>
      </c>
    </row>
    <row r="5" spans="1:16" ht="17.25" customHeight="1" x14ac:dyDescent="0.25">
      <c r="A5" s="15" t="s">
        <v>266</v>
      </c>
      <c r="B5" s="16" t="s">
        <v>227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45966</v>
      </c>
      <c r="G5" s="13">
        <v>0.27083333333333331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1"/>
      <c r="O5" s="1" t="s">
        <v>166</v>
      </c>
      <c r="P5" s="1" t="s">
        <v>409</v>
      </c>
    </row>
    <row r="6" spans="1:16" ht="17.25" customHeight="1" x14ac:dyDescent="0.25">
      <c r="A6" s="15" t="s">
        <v>266</v>
      </c>
      <c r="B6" s="16" t="s">
        <v>231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45966</v>
      </c>
      <c r="G6" s="13">
        <v>0.27083333333333331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166</v>
      </c>
      <c r="P6" s="1" t="s">
        <v>411</v>
      </c>
    </row>
    <row r="7" spans="1:16" ht="17.25" customHeight="1" x14ac:dyDescent="0.25">
      <c r="A7" s="15" t="s">
        <v>266</v>
      </c>
      <c r="B7" s="16" t="s">
        <v>235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45966</v>
      </c>
      <c r="G7" s="13">
        <v>0.27083333333333331</v>
      </c>
      <c r="H7" s="1" t="s">
        <v>31</v>
      </c>
      <c r="I7" s="1" t="s">
        <v>10</v>
      </c>
      <c r="J7" s="1">
        <v>24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12</v>
      </c>
      <c r="N7" s="1"/>
      <c r="O7" s="1" t="s">
        <v>166</v>
      </c>
      <c r="P7" s="1" t="s">
        <v>412</v>
      </c>
    </row>
    <row r="8" spans="1:16" ht="17.25" customHeight="1" x14ac:dyDescent="0.25">
      <c r="A8" s="15" t="s">
        <v>266</v>
      </c>
      <c r="B8" s="16" t="s">
        <v>236</v>
      </c>
      <c r="C8" s="1" t="s">
        <v>29</v>
      </c>
      <c r="D8" s="1" t="str">
        <f>VLOOKUP($C8,Sheet2!$A$2:$B$10,2,0)</f>
        <v>141140-91211</v>
      </c>
      <c r="E8" s="7" t="s">
        <v>30</v>
      </c>
      <c r="F8" s="12">
        <v>45966</v>
      </c>
      <c r="G8" s="13">
        <v>0.27083333333333331</v>
      </c>
      <c r="H8" s="1" t="s">
        <v>31</v>
      </c>
      <c r="I8" s="1" t="s">
        <v>10</v>
      </c>
      <c r="J8" s="1">
        <v>8</v>
      </c>
      <c r="K8" s="14">
        <f>VLOOKUP($C8,Sheet2!$A$2:$D$10,4,0)</f>
        <v>2</v>
      </c>
      <c r="L8" s="14" t="str">
        <f>VLOOKUP($C8,Sheet2!$A$2:$E$10,5,0)</f>
        <v>Bin</v>
      </c>
      <c r="M8" s="14">
        <f t="shared" ref="M8:M10" si="0">J8/K8</f>
        <v>4</v>
      </c>
      <c r="N8" s="1"/>
      <c r="O8" s="1" t="s">
        <v>166</v>
      </c>
      <c r="P8" s="1" t="s">
        <v>412</v>
      </c>
    </row>
    <row r="9" spans="1:16" ht="17.25" customHeight="1" x14ac:dyDescent="0.25">
      <c r="A9" s="15" t="s">
        <v>266</v>
      </c>
      <c r="B9" s="16" t="s">
        <v>240</v>
      </c>
      <c r="C9" s="1" t="s">
        <v>37</v>
      </c>
      <c r="D9" s="1" t="str">
        <f>VLOOKUP($C9,Sheet2!$A$2:$B$10,2,0)</f>
        <v>141150-91211</v>
      </c>
      <c r="E9" s="7" t="s">
        <v>38</v>
      </c>
      <c r="F9" s="12">
        <v>45966</v>
      </c>
      <c r="G9" s="13">
        <v>0.27083333333333331</v>
      </c>
      <c r="H9" s="1" t="s">
        <v>31</v>
      </c>
      <c r="I9" s="1" t="s">
        <v>10</v>
      </c>
      <c r="J9" s="1">
        <v>24</v>
      </c>
      <c r="K9" s="14">
        <f>VLOOKUP($C9,Sheet2!$A$2:$D$10,4,0)</f>
        <v>2</v>
      </c>
      <c r="L9" s="14" t="str">
        <f>VLOOKUP($C9,Sheet2!$A$2:$E$10,5,0)</f>
        <v>Bin</v>
      </c>
      <c r="M9" s="14">
        <f t="shared" si="0"/>
        <v>12</v>
      </c>
      <c r="N9" s="1"/>
      <c r="O9" s="1" t="s">
        <v>166</v>
      </c>
      <c r="P9" s="1" t="s">
        <v>412</v>
      </c>
    </row>
    <row r="10" spans="1:16" ht="17.25" customHeight="1" x14ac:dyDescent="0.25">
      <c r="A10" s="15" t="s">
        <v>266</v>
      </c>
      <c r="B10" s="16" t="s">
        <v>241</v>
      </c>
      <c r="C10" s="1" t="s">
        <v>37</v>
      </c>
      <c r="D10" s="1" t="str">
        <f>VLOOKUP($C10,Sheet2!$A$2:$B$10,2,0)</f>
        <v>141150-91211</v>
      </c>
      <c r="E10" s="7" t="s">
        <v>38</v>
      </c>
      <c r="F10" s="12">
        <v>45966</v>
      </c>
      <c r="G10" s="13">
        <v>0.27083333333333331</v>
      </c>
      <c r="H10" s="1" t="s">
        <v>31</v>
      </c>
      <c r="I10" s="1" t="s">
        <v>10</v>
      </c>
      <c r="J10" s="1">
        <v>8</v>
      </c>
      <c r="K10" s="14">
        <f>VLOOKUP($C10,Sheet2!$A$2:$D$10,4,0)</f>
        <v>2</v>
      </c>
      <c r="L10" s="14" t="str">
        <f>VLOOKUP($C10,Sheet2!$A$2:$E$10,5,0)</f>
        <v>Bin</v>
      </c>
      <c r="M10" s="14">
        <f t="shared" si="0"/>
        <v>4</v>
      </c>
      <c r="N10" s="1"/>
      <c r="O10" s="1" t="s">
        <v>166</v>
      </c>
      <c r="P10" s="1" t="s">
        <v>412</v>
      </c>
    </row>
    <row r="11" spans="1:16" ht="17.25" customHeight="1" x14ac:dyDescent="0.25">
      <c r="A11" s="15" t="s">
        <v>266</v>
      </c>
      <c r="B11" s="16" t="s">
        <v>245</v>
      </c>
      <c r="C11" s="1" t="s">
        <v>45</v>
      </c>
      <c r="D11" s="1" t="str">
        <f>VLOOKUP($C11,Sheet2!$A$2:$B$10,2,0)</f>
        <v>141186-74360</v>
      </c>
      <c r="E11" s="7" t="s">
        <v>46</v>
      </c>
      <c r="F11" s="12">
        <v>45966</v>
      </c>
      <c r="G11" s="13">
        <v>0.27083333333333331</v>
      </c>
      <c r="H11" s="1" t="s">
        <v>31</v>
      </c>
      <c r="I11" s="1" t="s">
        <v>10</v>
      </c>
      <c r="J11" s="1">
        <v>40</v>
      </c>
      <c r="K11" s="14">
        <f>VLOOKUP($C11,Sheet2!$A$2:$D$10,4,0)</f>
        <v>40</v>
      </c>
      <c r="L11" s="14" t="str">
        <f>VLOOKUP($C11,Sheet2!$A$2:$E$10,5,0)</f>
        <v>Trolley</v>
      </c>
      <c r="M11" s="14"/>
      <c r="N11" s="1">
        <f>J11/K11</f>
        <v>1</v>
      </c>
      <c r="O11" s="1" t="s">
        <v>166</v>
      </c>
      <c r="P11" s="1">
        <v>910102103</v>
      </c>
    </row>
    <row r="12" spans="1:16" ht="17.25" customHeight="1" x14ac:dyDescent="0.25">
      <c r="A12" s="15" t="s">
        <v>268</v>
      </c>
      <c r="B12" s="16" t="s">
        <v>249</v>
      </c>
      <c r="C12" s="1" t="s">
        <v>50</v>
      </c>
      <c r="D12" s="1" t="str">
        <f>VLOOKUP($C12,Sheet2!$A$2:$B$10,2,0)</f>
        <v>116040-92240</v>
      </c>
      <c r="E12" s="7" t="s">
        <v>51</v>
      </c>
      <c r="F12" s="12">
        <v>45966</v>
      </c>
      <c r="G12" s="13">
        <v>0.27083333333333331</v>
      </c>
      <c r="H12" s="1" t="s">
        <v>52</v>
      </c>
      <c r="I12" s="1" t="s">
        <v>10</v>
      </c>
      <c r="J12" s="1">
        <v>24</v>
      </c>
      <c r="K12" s="14">
        <f>VLOOKUP($C12,Sheet2!$A$2:$D$10,4,0)</f>
        <v>6</v>
      </c>
      <c r="L12" s="14" t="str">
        <f>VLOOKUP($C12,Sheet2!$A$2:$E$10,5,0)</f>
        <v>Bin</v>
      </c>
      <c r="M12" s="14">
        <f t="shared" ref="M12:M17" si="1">J12/K12</f>
        <v>4</v>
      </c>
      <c r="N12" s="1"/>
      <c r="O12" s="1" t="s">
        <v>166</v>
      </c>
      <c r="P12" s="1" t="s">
        <v>413</v>
      </c>
    </row>
    <row r="13" spans="1:16" ht="17.25" customHeight="1" x14ac:dyDescent="0.25">
      <c r="A13" s="15" t="s">
        <v>268</v>
      </c>
      <c r="B13" s="16" t="s">
        <v>250</v>
      </c>
      <c r="C13" s="1" t="s">
        <v>50</v>
      </c>
      <c r="D13" s="1" t="str">
        <f>VLOOKUP($C13,Sheet2!$A$2:$B$10,2,0)</f>
        <v>116040-92240</v>
      </c>
      <c r="E13" s="7" t="s">
        <v>51</v>
      </c>
      <c r="F13" s="12">
        <v>45966</v>
      </c>
      <c r="G13" s="13">
        <v>0.27083333333333331</v>
      </c>
      <c r="H13" s="1" t="s">
        <v>52</v>
      </c>
      <c r="I13" s="1" t="s">
        <v>10</v>
      </c>
      <c r="J13" s="1">
        <v>6</v>
      </c>
      <c r="K13" s="14">
        <f>VLOOKUP($C13,Sheet2!$A$2:$D$10,4,0)</f>
        <v>6</v>
      </c>
      <c r="L13" s="14" t="str">
        <f>VLOOKUP($C13,Sheet2!$A$2:$E$10,5,0)</f>
        <v>Bin</v>
      </c>
      <c r="M13" s="14">
        <f t="shared" si="1"/>
        <v>1</v>
      </c>
      <c r="N13" s="1"/>
      <c r="O13" s="1" t="s">
        <v>166</v>
      </c>
      <c r="P13" s="1" t="s">
        <v>413</v>
      </c>
    </row>
    <row r="14" spans="1:16" ht="17.25" customHeight="1" x14ac:dyDescent="0.25">
      <c r="A14" s="15" t="s">
        <v>268</v>
      </c>
      <c r="B14" s="16" t="s">
        <v>254</v>
      </c>
      <c r="C14" s="1" t="s">
        <v>59</v>
      </c>
      <c r="D14" s="1" t="str">
        <f>VLOOKUP($C14,Sheet2!$A$2:$B$10,2,0)</f>
        <v>114010-50820</v>
      </c>
      <c r="E14" s="7" t="s">
        <v>60</v>
      </c>
      <c r="F14" s="12">
        <v>45966</v>
      </c>
      <c r="G14" s="13">
        <v>0.27083333333333331</v>
      </c>
      <c r="H14" s="1" t="s">
        <v>52</v>
      </c>
      <c r="I14" s="1" t="s">
        <v>10</v>
      </c>
      <c r="J14" s="1">
        <v>11</v>
      </c>
      <c r="K14" s="14">
        <f>VLOOKUP($C14,Sheet2!$A$2:$D$10,4,0)</f>
        <v>1</v>
      </c>
      <c r="L14" s="14" t="str">
        <f>VLOOKUP($C14,Sheet2!$A$2:$E$10,5,0)</f>
        <v>Bin</v>
      </c>
      <c r="M14" s="14">
        <f t="shared" si="1"/>
        <v>11</v>
      </c>
      <c r="N14" s="1"/>
      <c r="O14" s="1" t="s">
        <v>166</v>
      </c>
      <c r="P14" s="1" t="s">
        <v>413</v>
      </c>
    </row>
    <row r="15" spans="1:16" ht="17.25" customHeight="1" x14ac:dyDescent="0.25">
      <c r="A15" s="15" t="s">
        <v>268</v>
      </c>
      <c r="B15" s="16" t="s">
        <v>255</v>
      </c>
      <c r="C15" s="1" t="s">
        <v>59</v>
      </c>
      <c r="D15" s="1" t="str">
        <f>VLOOKUP($C15,Sheet2!$A$2:$B$10,2,0)</f>
        <v>114010-50820</v>
      </c>
      <c r="E15" s="7" t="s">
        <v>60</v>
      </c>
      <c r="F15" s="12">
        <v>45966</v>
      </c>
      <c r="G15" s="13">
        <v>0.27083333333333331</v>
      </c>
      <c r="H15" s="1" t="s">
        <v>52</v>
      </c>
      <c r="I15" s="1" t="s">
        <v>10</v>
      </c>
      <c r="J15" s="1">
        <v>3</v>
      </c>
      <c r="K15" s="14">
        <f>VLOOKUP($C15,Sheet2!$A$2:$D$10,4,0)</f>
        <v>1</v>
      </c>
      <c r="L15" s="14" t="str">
        <f>VLOOKUP($C15,Sheet2!$A$2:$E$10,5,0)</f>
        <v>Bin</v>
      </c>
      <c r="M15" s="14">
        <f t="shared" si="1"/>
        <v>3</v>
      </c>
      <c r="N15" s="1"/>
      <c r="O15" s="1" t="s">
        <v>166</v>
      </c>
      <c r="P15" s="1" t="s">
        <v>413</v>
      </c>
    </row>
    <row r="16" spans="1:16" ht="17.25" customHeight="1" x14ac:dyDescent="0.25">
      <c r="A16" s="15" t="s">
        <v>268</v>
      </c>
      <c r="B16" s="16" t="s">
        <v>259</v>
      </c>
      <c r="C16" s="1" t="s">
        <v>67</v>
      </c>
      <c r="D16" s="1" t="str">
        <f>VLOOKUP($C16,Sheet2!$A$2:$B$10,2,0)</f>
        <v>114010-50830</v>
      </c>
      <c r="E16" s="7" t="s">
        <v>60</v>
      </c>
      <c r="F16" s="12">
        <v>45966</v>
      </c>
      <c r="G16" s="13">
        <v>0.27083333333333331</v>
      </c>
      <c r="H16" s="1" t="s">
        <v>52</v>
      </c>
      <c r="I16" s="1" t="s">
        <v>10</v>
      </c>
      <c r="J16" s="1">
        <v>13</v>
      </c>
      <c r="K16" s="14">
        <f>VLOOKUP($C16,Sheet2!$A$2:$D$10,4,0)</f>
        <v>1</v>
      </c>
      <c r="L16" s="14" t="str">
        <f>VLOOKUP($C16,Sheet2!$A$2:$E$10,5,0)</f>
        <v>Bin</v>
      </c>
      <c r="M16" s="14">
        <f t="shared" si="1"/>
        <v>13</v>
      </c>
      <c r="N16" s="1"/>
      <c r="O16" s="1" t="s">
        <v>166</v>
      </c>
      <c r="P16" s="1" t="s">
        <v>413</v>
      </c>
    </row>
    <row r="17" spans="1:16" ht="17.25" customHeight="1" x14ac:dyDescent="0.25">
      <c r="A17" s="15" t="s">
        <v>268</v>
      </c>
      <c r="B17" s="16" t="s">
        <v>260</v>
      </c>
      <c r="C17" s="1" t="s">
        <v>67</v>
      </c>
      <c r="D17" s="1" t="str">
        <f>VLOOKUP($C17,Sheet2!$A$2:$B$10,2,0)</f>
        <v>114010-50830</v>
      </c>
      <c r="E17" s="7" t="s">
        <v>60</v>
      </c>
      <c r="F17" s="12">
        <v>45966</v>
      </c>
      <c r="G17" s="13">
        <v>0.27083333333333331</v>
      </c>
      <c r="H17" s="1" t="s">
        <v>52</v>
      </c>
      <c r="I17" s="1" t="s">
        <v>10</v>
      </c>
      <c r="J17" s="1">
        <v>4</v>
      </c>
      <c r="K17" s="14">
        <f>VLOOKUP($C17,Sheet2!$A$2:$D$10,4,0)</f>
        <v>1</v>
      </c>
      <c r="L17" s="14" t="str">
        <f>VLOOKUP($C17,Sheet2!$A$2:$E$10,5,0)</f>
        <v>Bin</v>
      </c>
      <c r="M17" s="14">
        <f t="shared" si="1"/>
        <v>4</v>
      </c>
      <c r="N17" s="1"/>
      <c r="O17" s="1" t="s">
        <v>166</v>
      </c>
      <c r="P17" s="1" t="s">
        <v>413</v>
      </c>
    </row>
    <row r="18" spans="1:16" ht="17.25" customHeight="1" x14ac:dyDescent="0.25">
      <c r="A18" s="15" t="s">
        <v>269</v>
      </c>
      <c r="B18" s="16" t="s">
        <v>224</v>
      </c>
      <c r="C18" s="1" t="s">
        <v>7</v>
      </c>
      <c r="D18" s="1" t="str">
        <f>VLOOKUP($C18,Sheet2!$A$2:$B$10,2,0)</f>
        <v>141110-14600</v>
      </c>
      <c r="E18" s="7" t="s">
        <v>8</v>
      </c>
      <c r="F18" s="12">
        <v>45966</v>
      </c>
      <c r="G18" s="13">
        <v>0.39583333333333331</v>
      </c>
      <c r="H18" s="1" t="s">
        <v>9</v>
      </c>
      <c r="I18" s="1" t="s">
        <v>10</v>
      </c>
      <c r="J18" s="1">
        <v>18</v>
      </c>
      <c r="K18" s="14">
        <f>VLOOKUP($C18,Sheet2!$A$2:$D$10,4,0)</f>
        <v>18</v>
      </c>
      <c r="L18" s="14" t="str">
        <f>VLOOKUP($C18,Sheet2!$A$2:$E$10,5,0)</f>
        <v>Trolley (H)</v>
      </c>
      <c r="M18" s="14"/>
      <c r="N18" s="1">
        <v>1</v>
      </c>
      <c r="O18" s="1" t="s">
        <v>166</v>
      </c>
      <c r="P18" s="1" t="s">
        <v>410</v>
      </c>
    </row>
    <row r="19" spans="1:16" ht="17.25" customHeight="1" x14ac:dyDescent="0.25">
      <c r="A19" s="15" t="s">
        <v>269</v>
      </c>
      <c r="B19" s="16" t="s">
        <v>228</v>
      </c>
      <c r="C19" s="1" t="s">
        <v>16</v>
      </c>
      <c r="D19" s="1" t="str">
        <f>VLOOKUP($C19,Sheet2!$A$2:$B$10,2,0)</f>
        <v>141120-14600</v>
      </c>
      <c r="E19" s="7" t="s">
        <v>17</v>
      </c>
      <c r="F19" s="12">
        <v>45966</v>
      </c>
      <c r="G19" s="13">
        <v>0.39583333333333331</v>
      </c>
      <c r="H19" s="1" t="s">
        <v>9</v>
      </c>
      <c r="I19" s="1" t="s">
        <v>10</v>
      </c>
      <c r="J19" s="1">
        <v>18</v>
      </c>
      <c r="K19" s="14">
        <f>VLOOKUP($C19,Sheet2!$A$2:$D$10,4,0)</f>
        <v>18</v>
      </c>
      <c r="L19" s="14" t="str">
        <f>VLOOKUP($C19,Sheet2!$A$2:$E$10,5,0)</f>
        <v>Trolley (H)</v>
      </c>
      <c r="M19" s="14"/>
      <c r="N19" s="1"/>
      <c r="O19" s="1" t="s">
        <v>166</v>
      </c>
      <c r="P19" s="1" t="s">
        <v>409</v>
      </c>
    </row>
    <row r="20" spans="1:16" ht="17.25" customHeight="1" x14ac:dyDescent="0.25">
      <c r="A20" s="15" t="s">
        <v>269</v>
      </c>
      <c r="B20" s="16" t="s">
        <v>232</v>
      </c>
      <c r="C20" s="1" t="s">
        <v>23</v>
      </c>
      <c r="D20" s="1" t="str">
        <f>VLOOKUP($C20,Sheet2!$A$2:$B$10,2,0)</f>
        <v>141185-74670</v>
      </c>
      <c r="E20" s="7" t="s">
        <v>24</v>
      </c>
      <c r="F20" s="12">
        <v>45966</v>
      </c>
      <c r="G20" s="13">
        <v>0.39583333333333331</v>
      </c>
      <c r="H20" s="1" t="s">
        <v>9</v>
      </c>
      <c r="I20" s="1" t="s">
        <v>10</v>
      </c>
      <c r="J20" s="1">
        <v>40</v>
      </c>
      <c r="K20" s="14">
        <f>VLOOKUP($C20,Sheet2!$A$2:$D$10,4,0)</f>
        <v>40</v>
      </c>
      <c r="L20" s="14" t="str">
        <f>VLOOKUP($C20,Sheet2!$A$2:$E$10,5,0)</f>
        <v>Trolley</v>
      </c>
      <c r="M20" s="14"/>
      <c r="N20" s="1">
        <f>J20/K20</f>
        <v>1</v>
      </c>
      <c r="O20" s="1" t="s">
        <v>166</v>
      </c>
      <c r="P20" s="1">
        <v>910099020</v>
      </c>
    </row>
    <row r="21" spans="1:16" ht="17.25" customHeight="1" x14ac:dyDescent="0.25">
      <c r="A21" s="15" t="s">
        <v>269</v>
      </c>
      <c r="B21" s="16" t="s">
        <v>237</v>
      </c>
      <c r="C21" s="1" t="s">
        <v>29</v>
      </c>
      <c r="D21" s="1" t="str">
        <f>VLOOKUP($C21,Sheet2!$A$2:$B$10,2,0)</f>
        <v>141140-91211</v>
      </c>
      <c r="E21" s="7" t="s">
        <v>30</v>
      </c>
      <c r="F21" s="12">
        <v>45966</v>
      </c>
      <c r="G21" s="13">
        <v>0.39583333333333331</v>
      </c>
      <c r="H21" s="1" t="s">
        <v>31</v>
      </c>
      <c r="I21" s="1" t="s">
        <v>10</v>
      </c>
      <c r="J21" s="1">
        <v>20</v>
      </c>
      <c r="K21" s="14">
        <f>VLOOKUP($C21,Sheet2!$A$2:$D$10,4,0)</f>
        <v>2</v>
      </c>
      <c r="L21" s="14" t="str">
        <f>VLOOKUP($C21,Sheet2!$A$2:$E$10,5,0)</f>
        <v>Bin</v>
      </c>
      <c r="M21" s="14">
        <f t="shared" ref="M21:M22" si="2">J21/K21</f>
        <v>10</v>
      </c>
      <c r="N21" s="1"/>
      <c r="O21" s="1" t="s">
        <v>166</v>
      </c>
      <c r="P21" s="1" t="s">
        <v>412</v>
      </c>
    </row>
    <row r="22" spans="1:16" ht="17.25" customHeight="1" x14ac:dyDescent="0.25">
      <c r="A22" s="15" t="s">
        <v>269</v>
      </c>
      <c r="B22" s="16" t="s">
        <v>242</v>
      </c>
      <c r="C22" s="1" t="s">
        <v>37</v>
      </c>
      <c r="D22" s="1" t="str">
        <f>VLOOKUP($C22,Sheet2!$A$2:$B$10,2,0)</f>
        <v>141150-91211</v>
      </c>
      <c r="E22" s="7" t="s">
        <v>38</v>
      </c>
      <c r="F22" s="12">
        <v>45966</v>
      </c>
      <c r="G22" s="13">
        <v>0.39583333333333331</v>
      </c>
      <c r="H22" s="1" t="s">
        <v>31</v>
      </c>
      <c r="I22" s="1" t="s">
        <v>10</v>
      </c>
      <c r="J22" s="1">
        <v>20</v>
      </c>
      <c r="K22" s="14">
        <f>VLOOKUP($C22,Sheet2!$A$2:$D$10,4,0)</f>
        <v>2</v>
      </c>
      <c r="L22" s="14" t="str">
        <f>VLOOKUP($C22,Sheet2!$A$2:$E$10,5,0)</f>
        <v>Bin</v>
      </c>
      <c r="M22" s="14">
        <f t="shared" si="2"/>
        <v>10</v>
      </c>
      <c r="N22" s="1"/>
      <c r="O22" s="1" t="s">
        <v>166</v>
      </c>
      <c r="P22" s="1" t="s">
        <v>412</v>
      </c>
    </row>
    <row r="23" spans="1:16" ht="17.25" customHeight="1" x14ac:dyDescent="0.25">
      <c r="A23" s="15" t="s">
        <v>269</v>
      </c>
      <c r="B23" s="16" t="s">
        <v>246</v>
      </c>
      <c r="C23" s="1" t="s">
        <v>45</v>
      </c>
      <c r="D23" s="1" t="str">
        <f>VLOOKUP($C23,Sheet2!$A$2:$B$10,2,0)</f>
        <v>141186-74360</v>
      </c>
      <c r="E23" s="7" t="s">
        <v>46</v>
      </c>
      <c r="F23" s="12">
        <v>45966</v>
      </c>
      <c r="G23" s="13">
        <v>0.39583333333333331</v>
      </c>
      <c r="H23" s="1" t="s">
        <v>31</v>
      </c>
      <c r="I23" s="1" t="s">
        <v>10</v>
      </c>
      <c r="J23" s="1">
        <v>40</v>
      </c>
      <c r="K23" s="14">
        <f>VLOOKUP($C23,Sheet2!$A$2:$D$10,4,0)</f>
        <v>40</v>
      </c>
      <c r="L23" s="14" t="str">
        <f>VLOOKUP($C23,Sheet2!$A$2:$E$10,5,0)</f>
        <v>Trolley</v>
      </c>
      <c r="M23" s="14"/>
      <c r="N23" s="1">
        <f>J23/K23</f>
        <v>1</v>
      </c>
      <c r="O23" s="1" t="s">
        <v>166</v>
      </c>
      <c r="P23" s="1">
        <v>910102103</v>
      </c>
    </row>
    <row r="24" spans="1:16" ht="17.25" customHeight="1" x14ac:dyDescent="0.25">
      <c r="A24" s="15" t="s">
        <v>267</v>
      </c>
      <c r="B24" s="16" t="s">
        <v>251</v>
      </c>
      <c r="C24" s="1" t="s">
        <v>50</v>
      </c>
      <c r="D24" s="1" t="str">
        <f>VLOOKUP($C24,Sheet2!$A$2:$B$10,2,0)</f>
        <v>116040-92240</v>
      </c>
      <c r="E24" s="7" t="s">
        <v>51</v>
      </c>
      <c r="F24" s="12">
        <v>45966</v>
      </c>
      <c r="G24" s="13">
        <v>0.39583333333333331</v>
      </c>
      <c r="H24" s="1" t="s">
        <v>52</v>
      </c>
      <c r="I24" s="1" t="s">
        <v>10</v>
      </c>
      <c r="J24" s="1">
        <v>18</v>
      </c>
      <c r="K24" s="14">
        <f>VLOOKUP($C24,Sheet2!$A$2:$D$10,4,0)</f>
        <v>6</v>
      </c>
      <c r="L24" s="14" t="str">
        <f>VLOOKUP($C24,Sheet2!$A$2:$E$10,5,0)</f>
        <v>Bin</v>
      </c>
      <c r="M24" s="14">
        <f t="shared" ref="M24:M26" si="3">J24/K24</f>
        <v>3</v>
      </c>
      <c r="N24" s="1"/>
      <c r="O24" s="1" t="s">
        <v>166</v>
      </c>
      <c r="P24" s="1" t="s">
        <v>413</v>
      </c>
    </row>
    <row r="25" spans="1:16" ht="17.25" customHeight="1" x14ac:dyDescent="0.25">
      <c r="A25" s="15" t="s">
        <v>267</v>
      </c>
      <c r="B25" s="16" t="s">
        <v>256</v>
      </c>
      <c r="C25" s="1" t="s">
        <v>59</v>
      </c>
      <c r="D25" s="1" t="str">
        <f>VLOOKUP($C25,Sheet2!$A$2:$B$10,2,0)</f>
        <v>114010-50820</v>
      </c>
      <c r="E25" s="7" t="s">
        <v>60</v>
      </c>
      <c r="F25" s="12">
        <v>45966</v>
      </c>
      <c r="G25" s="13">
        <v>0.39583333333333331</v>
      </c>
      <c r="H25" s="1" t="s">
        <v>52</v>
      </c>
      <c r="I25" s="1" t="s">
        <v>10</v>
      </c>
      <c r="J25" s="1">
        <v>11</v>
      </c>
      <c r="K25" s="14">
        <f>VLOOKUP($C25,Sheet2!$A$2:$D$10,4,0)</f>
        <v>1</v>
      </c>
      <c r="L25" s="14" t="str">
        <f>VLOOKUP($C25,Sheet2!$A$2:$E$10,5,0)</f>
        <v>Bin</v>
      </c>
      <c r="M25" s="14">
        <f t="shared" si="3"/>
        <v>11</v>
      </c>
      <c r="N25" s="1"/>
      <c r="O25" s="1" t="s">
        <v>166</v>
      </c>
      <c r="P25" s="1" t="s">
        <v>413</v>
      </c>
    </row>
    <row r="26" spans="1:16" ht="17.25" customHeight="1" x14ac:dyDescent="0.25">
      <c r="A26" s="15" t="s">
        <v>267</v>
      </c>
      <c r="B26" s="16" t="s">
        <v>261</v>
      </c>
      <c r="C26" s="1" t="s">
        <v>67</v>
      </c>
      <c r="D26" s="1" t="str">
        <f>VLOOKUP($C26,Sheet2!$A$2:$B$10,2,0)</f>
        <v>114010-50830</v>
      </c>
      <c r="E26" s="7" t="s">
        <v>60</v>
      </c>
      <c r="F26" s="12">
        <v>45966</v>
      </c>
      <c r="G26" s="13">
        <v>0.39583333333333331</v>
      </c>
      <c r="H26" s="1" t="s">
        <v>52</v>
      </c>
      <c r="I26" s="1" t="s">
        <v>10</v>
      </c>
      <c r="J26" s="1">
        <v>9</v>
      </c>
      <c r="K26" s="14">
        <f>VLOOKUP($C26,Sheet2!$A$2:$D$10,4,0)</f>
        <v>1</v>
      </c>
      <c r="L26" s="14" t="str">
        <f>VLOOKUP($C26,Sheet2!$A$2:$E$10,5,0)</f>
        <v>Bin</v>
      </c>
      <c r="M26" s="14">
        <f t="shared" si="3"/>
        <v>9</v>
      </c>
      <c r="N26" s="1"/>
      <c r="O26" s="1" t="s">
        <v>166</v>
      </c>
      <c r="P26" s="1" t="s">
        <v>413</v>
      </c>
    </row>
    <row r="27" spans="1:16" x14ac:dyDescent="0.25">
      <c r="A27" s="9"/>
      <c r="B27" s="9"/>
      <c r="C27" s="14"/>
      <c r="D27" s="1"/>
      <c r="E27" s="9"/>
      <c r="F27" s="9"/>
      <c r="G27" s="9"/>
      <c r="H27" s="9"/>
      <c r="I27" s="9"/>
      <c r="J27" s="9"/>
      <c r="K27" s="9"/>
      <c r="L27" s="9"/>
      <c r="M27" s="9">
        <v>111</v>
      </c>
      <c r="N27" s="9">
        <v>6</v>
      </c>
      <c r="O27" s="9"/>
      <c r="P27" s="9"/>
    </row>
    <row r="28" spans="1:16" ht="17.25" customHeight="1" x14ac:dyDescent="0.25">
      <c r="A28" s="15" t="s">
        <v>270</v>
      </c>
      <c r="B28" s="16" t="s">
        <v>225</v>
      </c>
      <c r="C28" s="1" t="s">
        <v>7</v>
      </c>
      <c r="D28" s="1" t="str">
        <f>VLOOKUP($C28,Sheet2!$A$2:$B$10,2,0)</f>
        <v>141110-14600</v>
      </c>
      <c r="E28" s="7" t="s">
        <v>8</v>
      </c>
      <c r="F28" s="12">
        <v>45966</v>
      </c>
      <c r="G28" s="13">
        <v>0.64583333333333337</v>
      </c>
      <c r="H28" s="1" t="s">
        <v>9</v>
      </c>
      <c r="I28" s="1" t="s">
        <v>10</v>
      </c>
      <c r="J28" s="1">
        <v>18</v>
      </c>
      <c r="K28" s="14">
        <f>VLOOKUP($C28,Sheet2!$A$2:$D$10,4,0)</f>
        <v>18</v>
      </c>
      <c r="L28" s="14" t="str">
        <f>VLOOKUP($C28,Sheet2!$A$2:$E$10,5,0)</f>
        <v>Trolley (H)</v>
      </c>
      <c r="M28" s="14"/>
      <c r="N28" s="1">
        <v>1</v>
      </c>
      <c r="O28" s="1" t="s">
        <v>171</v>
      </c>
      <c r="P28" s="1" t="s">
        <v>410</v>
      </c>
    </row>
    <row r="29" spans="1:16" ht="17.25" customHeight="1" x14ac:dyDescent="0.25">
      <c r="A29" s="15" t="s">
        <v>270</v>
      </c>
      <c r="B29" s="16" t="s">
        <v>229</v>
      </c>
      <c r="C29" s="1" t="s">
        <v>16</v>
      </c>
      <c r="D29" s="1" t="str">
        <f>VLOOKUP($C29,Sheet2!$A$2:$B$10,2,0)</f>
        <v>141120-14600</v>
      </c>
      <c r="E29" s="7" t="s">
        <v>17</v>
      </c>
      <c r="F29" s="12">
        <v>45966</v>
      </c>
      <c r="G29" s="13">
        <v>0.64583333333333337</v>
      </c>
      <c r="H29" s="1" t="s">
        <v>9</v>
      </c>
      <c r="I29" s="1" t="s">
        <v>10</v>
      </c>
      <c r="J29" s="1">
        <v>18</v>
      </c>
      <c r="K29" s="14">
        <f>VLOOKUP($C29,Sheet2!$A$2:$D$10,4,0)</f>
        <v>18</v>
      </c>
      <c r="L29" s="14" t="str">
        <f>VLOOKUP($C29,Sheet2!$A$2:$E$10,5,0)</f>
        <v>Trolley (H)</v>
      </c>
      <c r="M29" s="14"/>
      <c r="N29" s="1"/>
      <c r="O29" s="1" t="s">
        <v>171</v>
      </c>
      <c r="P29" s="1" t="s">
        <v>414</v>
      </c>
    </row>
    <row r="30" spans="1:16" ht="17.25" customHeight="1" x14ac:dyDescent="0.25">
      <c r="A30" s="15" t="s">
        <v>270</v>
      </c>
      <c r="B30" s="16" t="s">
        <v>233</v>
      </c>
      <c r="C30" s="1" t="s">
        <v>23</v>
      </c>
      <c r="D30" s="1" t="str">
        <f>VLOOKUP($C30,Sheet2!$A$2:$B$10,2,0)</f>
        <v>141185-74670</v>
      </c>
      <c r="E30" s="7" t="s">
        <v>24</v>
      </c>
      <c r="F30" s="12">
        <v>45966</v>
      </c>
      <c r="G30" s="13">
        <v>0.64583333333333337</v>
      </c>
      <c r="H30" s="1" t="s">
        <v>9</v>
      </c>
      <c r="I30" s="1" t="s">
        <v>10</v>
      </c>
      <c r="J30" s="1">
        <v>40</v>
      </c>
      <c r="K30" s="14">
        <f>VLOOKUP($C30,Sheet2!$A$2:$D$10,4,0)</f>
        <v>40</v>
      </c>
      <c r="L30" s="14" t="str">
        <f>VLOOKUP($C30,Sheet2!$A$2:$E$10,5,0)</f>
        <v>Trolley</v>
      </c>
      <c r="M30" s="14"/>
      <c r="N30" s="1">
        <f>J30/K30</f>
        <v>1</v>
      </c>
      <c r="O30" s="1" t="s">
        <v>171</v>
      </c>
      <c r="P30" s="1">
        <v>910099020</v>
      </c>
    </row>
    <row r="31" spans="1:16" ht="17.25" customHeight="1" x14ac:dyDescent="0.25">
      <c r="A31" s="15" t="s">
        <v>270</v>
      </c>
      <c r="B31" s="16" t="s">
        <v>238</v>
      </c>
      <c r="C31" s="1" t="s">
        <v>29</v>
      </c>
      <c r="D31" s="1" t="str">
        <f>VLOOKUP($C31,Sheet2!$A$2:$B$10,2,0)</f>
        <v>141140-91211</v>
      </c>
      <c r="E31" s="7" t="s">
        <v>30</v>
      </c>
      <c r="F31" s="12">
        <v>45966</v>
      </c>
      <c r="G31" s="13">
        <v>0.64583333333333337</v>
      </c>
      <c r="H31" s="1" t="s">
        <v>31</v>
      </c>
      <c r="I31" s="1" t="s">
        <v>10</v>
      </c>
      <c r="J31" s="1">
        <v>20</v>
      </c>
      <c r="K31" s="14">
        <f>VLOOKUP($C31,Sheet2!$A$2:$D$10,4,0)</f>
        <v>2</v>
      </c>
      <c r="L31" s="14" t="str">
        <f>VLOOKUP($C31,Sheet2!$A$2:$E$10,5,0)</f>
        <v>Bin</v>
      </c>
      <c r="M31" s="14">
        <f t="shared" ref="M31:M32" si="4">J31/K31</f>
        <v>10</v>
      </c>
      <c r="N31" s="1"/>
      <c r="O31" s="1" t="s">
        <v>171</v>
      </c>
      <c r="P31" s="1" t="s">
        <v>412</v>
      </c>
    </row>
    <row r="32" spans="1:16" ht="17.25" customHeight="1" x14ac:dyDescent="0.25">
      <c r="A32" s="15" t="s">
        <v>270</v>
      </c>
      <c r="B32" s="16" t="s">
        <v>243</v>
      </c>
      <c r="C32" s="1" t="s">
        <v>37</v>
      </c>
      <c r="D32" s="1" t="str">
        <f>VLOOKUP($C32,Sheet2!$A$2:$B$10,2,0)</f>
        <v>141150-91211</v>
      </c>
      <c r="E32" s="7" t="s">
        <v>38</v>
      </c>
      <c r="F32" s="12">
        <v>45966</v>
      </c>
      <c r="G32" s="13">
        <v>0.64583333333333337</v>
      </c>
      <c r="H32" s="1" t="s">
        <v>31</v>
      </c>
      <c r="I32" s="1" t="s">
        <v>10</v>
      </c>
      <c r="J32" s="1">
        <v>20</v>
      </c>
      <c r="K32" s="14">
        <f>VLOOKUP($C32,Sheet2!$A$2:$D$10,4,0)</f>
        <v>2</v>
      </c>
      <c r="L32" s="14" t="str">
        <f>VLOOKUP($C32,Sheet2!$A$2:$E$10,5,0)</f>
        <v>Bin</v>
      </c>
      <c r="M32" s="14">
        <f t="shared" si="4"/>
        <v>10</v>
      </c>
      <c r="N32" s="1"/>
      <c r="O32" s="1" t="s">
        <v>171</v>
      </c>
      <c r="P32" s="1" t="s">
        <v>412</v>
      </c>
    </row>
    <row r="33" spans="1:16" ht="17.25" customHeight="1" x14ac:dyDescent="0.25">
      <c r="A33" s="15" t="s">
        <v>270</v>
      </c>
      <c r="B33" s="16" t="s">
        <v>247</v>
      </c>
      <c r="C33" s="1" t="s">
        <v>45</v>
      </c>
      <c r="D33" s="1" t="str">
        <f>VLOOKUP($C33,Sheet2!$A$2:$B$10,2,0)</f>
        <v>141186-74360</v>
      </c>
      <c r="E33" s="7" t="s">
        <v>46</v>
      </c>
      <c r="F33" s="12">
        <v>45966</v>
      </c>
      <c r="G33" s="13">
        <v>0.64583333333333337</v>
      </c>
      <c r="H33" s="1" t="s">
        <v>31</v>
      </c>
      <c r="I33" s="1" t="s">
        <v>10</v>
      </c>
      <c r="J33" s="1">
        <v>40</v>
      </c>
      <c r="K33" s="14">
        <f>VLOOKUP($C33,Sheet2!$A$2:$D$10,4,0)</f>
        <v>40</v>
      </c>
      <c r="L33" s="14" t="str">
        <f>VLOOKUP($C33,Sheet2!$A$2:$E$10,5,0)</f>
        <v>Trolley</v>
      </c>
      <c r="M33" s="14"/>
      <c r="N33" s="1">
        <f>J33/K33</f>
        <v>1</v>
      </c>
      <c r="O33" s="1" t="s">
        <v>171</v>
      </c>
      <c r="P33" s="1">
        <v>910102103</v>
      </c>
    </row>
    <row r="34" spans="1:16" ht="17.25" customHeight="1" x14ac:dyDescent="0.25">
      <c r="A34" s="15" t="s">
        <v>271</v>
      </c>
      <c r="B34" s="16" t="s">
        <v>252</v>
      </c>
      <c r="C34" s="1" t="s">
        <v>50</v>
      </c>
      <c r="D34" s="1" t="str">
        <f>VLOOKUP($C34,Sheet2!$A$2:$B$10,2,0)</f>
        <v>116040-92240</v>
      </c>
      <c r="E34" s="7" t="s">
        <v>51</v>
      </c>
      <c r="F34" s="12">
        <v>45966</v>
      </c>
      <c r="G34" s="13">
        <v>0.64583333333333337</v>
      </c>
      <c r="H34" s="1" t="s">
        <v>52</v>
      </c>
      <c r="I34" s="1" t="s">
        <v>10</v>
      </c>
      <c r="J34" s="1">
        <v>18</v>
      </c>
      <c r="K34" s="14">
        <f>VLOOKUP($C34,Sheet2!$A$2:$D$10,4,0)</f>
        <v>6</v>
      </c>
      <c r="L34" s="14" t="str">
        <f>VLOOKUP($C34,Sheet2!$A$2:$E$10,5,0)</f>
        <v>Bin</v>
      </c>
      <c r="M34" s="14">
        <f t="shared" ref="M34:M36" si="5">J34/K34</f>
        <v>3</v>
      </c>
      <c r="N34" s="1"/>
      <c r="O34" s="1" t="s">
        <v>171</v>
      </c>
      <c r="P34" s="1" t="s">
        <v>413</v>
      </c>
    </row>
    <row r="35" spans="1:16" ht="17.25" customHeight="1" x14ac:dyDescent="0.25">
      <c r="A35" s="15" t="s">
        <v>271</v>
      </c>
      <c r="B35" s="16" t="s">
        <v>257</v>
      </c>
      <c r="C35" s="1" t="s">
        <v>59</v>
      </c>
      <c r="D35" s="1" t="str">
        <f>VLOOKUP($C35,Sheet2!$A$2:$B$10,2,0)</f>
        <v>114010-50820</v>
      </c>
      <c r="E35" s="7" t="s">
        <v>60</v>
      </c>
      <c r="F35" s="12">
        <v>45966</v>
      </c>
      <c r="G35" s="13">
        <v>0.64583333333333337</v>
      </c>
      <c r="H35" s="1" t="s">
        <v>52</v>
      </c>
      <c r="I35" s="1" t="s">
        <v>10</v>
      </c>
      <c r="J35" s="1">
        <v>6</v>
      </c>
      <c r="K35" s="14">
        <f>VLOOKUP($C35,Sheet2!$A$2:$D$10,4,0)</f>
        <v>1</v>
      </c>
      <c r="L35" s="14" t="str">
        <f>VLOOKUP($C35,Sheet2!$A$2:$E$10,5,0)</f>
        <v>Bin</v>
      </c>
      <c r="M35" s="14">
        <f t="shared" si="5"/>
        <v>6</v>
      </c>
      <c r="N35" s="1"/>
      <c r="O35" s="1" t="s">
        <v>171</v>
      </c>
      <c r="P35" s="1" t="s">
        <v>413</v>
      </c>
    </row>
    <row r="36" spans="1:16" ht="17.25" customHeight="1" x14ac:dyDescent="0.25">
      <c r="A36" s="15" t="s">
        <v>271</v>
      </c>
      <c r="B36" s="16" t="s">
        <v>262</v>
      </c>
      <c r="C36" s="1" t="s">
        <v>67</v>
      </c>
      <c r="D36" s="1" t="str">
        <f>VLOOKUP($C36,Sheet2!$A$2:$B$10,2,0)</f>
        <v>114010-50830</v>
      </c>
      <c r="E36" s="7" t="s">
        <v>60</v>
      </c>
      <c r="F36" s="12">
        <v>45966</v>
      </c>
      <c r="G36" s="13">
        <v>0.64583333333333337</v>
      </c>
      <c r="H36" s="1" t="s">
        <v>52</v>
      </c>
      <c r="I36" s="1" t="s">
        <v>10</v>
      </c>
      <c r="J36" s="1">
        <v>14</v>
      </c>
      <c r="K36" s="14">
        <f>VLOOKUP($C36,Sheet2!$A$2:$D$10,4,0)</f>
        <v>1</v>
      </c>
      <c r="L36" s="14" t="str">
        <f>VLOOKUP($C36,Sheet2!$A$2:$E$10,5,0)</f>
        <v>Bin</v>
      </c>
      <c r="M36" s="14">
        <f t="shared" si="5"/>
        <v>14</v>
      </c>
      <c r="N36" s="1"/>
      <c r="O36" s="1" t="s">
        <v>171</v>
      </c>
      <c r="P36" s="1" t="s">
        <v>413</v>
      </c>
    </row>
    <row r="37" spans="1:16" x14ac:dyDescent="0.25">
      <c r="A37" s="9"/>
      <c r="B37" s="9"/>
      <c r="C37" s="14"/>
      <c r="D37" s="1"/>
      <c r="E37" s="9"/>
      <c r="F37" s="9"/>
      <c r="G37" s="9"/>
      <c r="H37" s="9"/>
      <c r="I37" s="9"/>
      <c r="J37" s="9"/>
      <c r="K37" s="9"/>
      <c r="L37" s="9"/>
      <c r="M37" s="9">
        <v>43</v>
      </c>
      <c r="N37" s="9">
        <v>3</v>
      </c>
      <c r="O37" s="9"/>
      <c r="P37" s="9"/>
    </row>
    <row r="38" spans="1:16" ht="17.25" customHeight="1" x14ac:dyDescent="0.25">
      <c r="A38" s="15" t="s">
        <v>272</v>
      </c>
      <c r="B38" s="16" t="s">
        <v>226</v>
      </c>
      <c r="C38" s="1" t="s">
        <v>7</v>
      </c>
      <c r="D38" s="1" t="str">
        <f>VLOOKUP($C38,Sheet2!$A$2:$B$10,2,0)</f>
        <v>141110-14600</v>
      </c>
      <c r="E38" s="7" t="s">
        <v>8</v>
      </c>
      <c r="F38" s="12">
        <v>45966</v>
      </c>
      <c r="G38" s="13">
        <v>0.97916666666666663</v>
      </c>
      <c r="H38" s="1" t="s">
        <v>9</v>
      </c>
      <c r="I38" s="1" t="s">
        <v>10</v>
      </c>
      <c r="J38" s="1">
        <v>36</v>
      </c>
      <c r="K38" s="14">
        <f>VLOOKUP($C38,Sheet2!$A$2:$D$10,4,0)</f>
        <v>18</v>
      </c>
      <c r="L38" s="14" t="str">
        <f>VLOOKUP($C38,Sheet2!$A$2:$E$10,5,0)</f>
        <v>Trolley (H)</v>
      </c>
      <c r="M38" s="14"/>
      <c r="N38" s="1">
        <v>2</v>
      </c>
      <c r="O38" s="1" t="s">
        <v>119</v>
      </c>
      <c r="P38" s="1" t="s">
        <v>410</v>
      </c>
    </row>
    <row r="39" spans="1:16" ht="17.25" customHeight="1" x14ac:dyDescent="0.25">
      <c r="A39" s="15" t="s">
        <v>272</v>
      </c>
      <c r="B39" s="16" t="s">
        <v>230</v>
      </c>
      <c r="C39" s="1" t="s">
        <v>16</v>
      </c>
      <c r="D39" s="1" t="str">
        <f>VLOOKUP($C39,Sheet2!$A$2:$B$10,2,0)</f>
        <v>141120-14600</v>
      </c>
      <c r="E39" s="7" t="s">
        <v>17</v>
      </c>
      <c r="F39" s="12">
        <v>45966</v>
      </c>
      <c r="G39" s="13">
        <v>0.97916666666666663</v>
      </c>
      <c r="H39" s="1" t="s">
        <v>9</v>
      </c>
      <c r="I39" s="1" t="s">
        <v>10</v>
      </c>
      <c r="J39" s="1">
        <v>36</v>
      </c>
      <c r="K39" s="14">
        <f>VLOOKUP($C39,Sheet2!$A$2:$D$10,4,0)</f>
        <v>18</v>
      </c>
      <c r="L39" s="14" t="str">
        <f>VLOOKUP($C39,Sheet2!$A$2:$E$10,5,0)</f>
        <v>Trolley (H)</v>
      </c>
      <c r="M39" s="14"/>
      <c r="N39" s="1"/>
      <c r="O39" s="1" t="s">
        <v>119</v>
      </c>
      <c r="P39" s="1" t="s">
        <v>410</v>
      </c>
    </row>
    <row r="40" spans="1:16" ht="17.25" customHeight="1" x14ac:dyDescent="0.25">
      <c r="A40" s="15" t="s">
        <v>272</v>
      </c>
      <c r="B40" s="16" t="s">
        <v>234</v>
      </c>
      <c r="C40" s="1" t="s">
        <v>23</v>
      </c>
      <c r="D40" s="1" t="str">
        <f>VLOOKUP($C40,Sheet2!$A$2:$B$10,2,0)</f>
        <v>141185-74670</v>
      </c>
      <c r="E40" s="7" t="s">
        <v>24</v>
      </c>
      <c r="F40" s="12">
        <v>45966</v>
      </c>
      <c r="G40" s="13">
        <v>0.97916666666666663</v>
      </c>
      <c r="H40" s="1" t="s">
        <v>9</v>
      </c>
      <c r="I40" s="1" t="s">
        <v>10</v>
      </c>
      <c r="J40" s="1">
        <v>80</v>
      </c>
      <c r="K40" s="14">
        <f>VLOOKUP($C40,Sheet2!$A$2:$D$10,4,0)</f>
        <v>40</v>
      </c>
      <c r="L40" s="14" t="str">
        <f>VLOOKUP($C40,Sheet2!$A$2:$E$10,5,0)</f>
        <v>Trolley</v>
      </c>
      <c r="M40" s="14"/>
      <c r="N40" s="1">
        <f>J40/K40</f>
        <v>2</v>
      </c>
      <c r="O40" s="1" t="s">
        <v>119</v>
      </c>
      <c r="P40" s="1" t="s">
        <v>415</v>
      </c>
    </row>
    <row r="41" spans="1:16" ht="17.25" customHeight="1" x14ac:dyDescent="0.25">
      <c r="A41" s="15" t="s">
        <v>272</v>
      </c>
      <c r="B41" s="16" t="s">
        <v>239</v>
      </c>
      <c r="C41" s="1" t="s">
        <v>29</v>
      </c>
      <c r="D41" s="1" t="str">
        <f>VLOOKUP($C41,Sheet2!$A$2:$B$10,2,0)</f>
        <v>141140-91211</v>
      </c>
      <c r="E41" s="7" t="s">
        <v>30</v>
      </c>
      <c r="F41" s="12">
        <v>45966</v>
      </c>
      <c r="G41" s="13">
        <v>0.97916666666666663</v>
      </c>
      <c r="H41" s="1" t="s">
        <v>31</v>
      </c>
      <c r="I41" s="1" t="s">
        <v>10</v>
      </c>
      <c r="J41" s="1">
        <v>32</v>
      </c>
      <c r="K41" s="14">
        <f>VLOOKUP($C41,Sheet2!$A$2:$D$10,4,0)</f>
        <v>2</v>
      </c>
      <c r="L41" s="14" t="str">
        <f>VLOOKUP($C41,Sheet2!$A$2:$E$10,5,0)</f>
        <v>Bin</v>
      </c>
      <c r="M41" s="14">
        <f t="shared" ref="M41:M42" si="6">J41/K41</f>
        <v>16</v>
      </c>
      <c r="N41" s="1"/>
      <c r="O41" s="1" t="s">
        <v>119</v>
      </c>
      <c r="P41" s="1" t="s">
        <v>412</v>
      </c>
    </row>
    <row r="42" spans="1:16" ht="17.25" customHeight="1" x14ac:dyDescent="0.25">
      <c r="A42" s="15" t="s">
        <v>272</v>
      </c>
      <c r="B42" s="16" t="s">
        <v>244</v>
      </c>
      <c r="C42" s="1" t="s">
        <v>37</v>
      </c>
      <c r="D42" s="1" t="str">
        <f>VLOOKUP($C42,Sheet2!$A$2:$B$10,2,0)</f>
        <v>141150-91211</v>
      </c>
      <c r="E42" s="7" t="s">
        <v>38</v>
      </c>
      <c r="F42" s="12">
        <v>45966</v>
      </c>
      <c r="G42" s="13">
        <v>0.97916666666666663</v>
      </c>
      <c r="H42" s="1" t="s">
        <v>31</v>
      </c>
      <c r="I42" s="1" t="s">
        <v>10</v>
      </c>
      <c r="J42" s="1">
        <v>32</v>
      </c>
      <c r="K42" s="14">
        <f>VLOOKUP($C42,Sheet2!$A$2:$D$10,4,0)</f>
        <v>2</v>
      </c>
      <c r="L42" s="14" t="str">
        <f>VLOOKUP($C42,Sheet2!$A$2:$E$10,5,0)</f>
        <v>Bin</v>
      </c>
      <c r="M42" s="14">
        <f t="shared" si="6"/>
        <v>16</v>
      </c>
      <c r="N42" s="1"/>
      <c r="O42" s="1" t="s">
        <v>119</v>
      </c>
      <c r="P42" s="1" t="s">
        <v>412</v>
      </c>
    </row>
    <row r="43" spans="1:16" ht="17.25" customHeight="1" x14ac:dyDescent="0.25">
      <c r="A43" s="15" t="s">
        <v>272</v>
      </c>
      <c r="B43" s="16" t="s">
        <v>248</v>
      </c>
      <c r="C43" s="1" t="s">
        <v>45</v>
      </c>
      <c r="D43" s="1" t="str">
        <f>VLOOKUP($C43,Sheet2!$A$2:$B$10,2,0)</f>
        <v>141186-74360</v>
      </c>
      <c r="E43" s="7" t="s">
        <v>46</v>
      </c>
      <c r="F43" s="12">
        <v>45966</v>
      </c>
      <c r="G43" s="13">
        <v>0.97916666666666663</v>
      </c>
      <c r="H43" s="1" t="s">
        <v>31</v>
      </c>
      <c r="I43" s="1" t="s">
        <v>10</v>
      </c>
      <c r="J43" s="1">
        <v>80</v>
      </c>
      <c r="K43" s="14">
        <f>VLOOKUP($C43,Sheet2!$A$2:$D$10,4,0)</f>
        <v>40</v>
      </c>
      <c r="L43" s="14" t="str">
        <f>VLOOKUP($C43,Sheet2!$A$2:$E$10,5,0)</f>
        <v>Trolley</v>
      </c>
      <c r="M43" s="14"/>
      <c r="N43" s="1">
        <f>J43/K43</f>
        <v>2</v>
      </c>
      <c r="O43" s="1" t="s">
        <v>119</v>
      </c>
      <c r="P43" s="1">
        <v>910102103</v>
      </c>
    </row>
    <row r="44" spans="1:16" ht="17.25" customHeight="1" x14ac:dyDescent="0.25">
      <c r="A44" s="15" t="s">
        <v>273</v>
      </c>
      <c r="B44" s="16" t="s">
        <v>253</v>
      </c>
      <c r="C44" s="1" t="s">
        <v>50</v>
      </c>
      <c r="D44" s="1" t="str">
        <f>VLOOKUP($C44,Sheet2!$A$2:$B$10,2,0)</f>
        <v>116040-92240</v>
      </c>
      <c r="E44" s="7" t="s">
        <v>51</v>
      </c>
      <c r="F44" s="12">
        <v>45966</v>
      </c>
      <c r="G44" s="13">
        <v>0.97916666666666663</v>
      </c>
      <c r="H44" s="1" t="s">
        <v>52</v>
      </c>
      <c r="I44" s="1" t="s">
        <v>10</v>
      </c>
      <c r="J44" s="1">
        <v>36</v>
      </c>
      <c r="K44" s="14">
        <f>VLOOKUP($C44,Sheet2!$A$2:$D$10,4,0)</f>
        <v>6</v>
      </c>
      <c r="L44" s="14" t="str">
        <f>VLOOKUP($C44,Sheet2!$A$2:$E$10,5,0)</f>
        <v>Bin</v>
      </c>
      <c r="M44" s="14">
        <f t="shared" ref="M44:M46" si="7">J44/K44</f>
        <v>6</v>
      </c>
      <c r="N44" s="1"/>
      <c r="O44" s="1" t="s">
        <v>119</v>
      </c>
      <c r="P44" s="1" t="s">
        <v>413</v>
      </c>
    </row>
    <row r="45" spans="1:16" ht="17.25" customHeight="1" x14ac:dyDescent="0.25">
      <c r="A45" s="15" t="s">
        <v>273</v>
      </c>
      <c r="B45" s="16" t="s">
        <v>258</v>
      </c>
      <c r="C45" s="1" t="s">
        <v>59</v>
      </c>
      <c r="D45" s="1" t="str">
        <f>VLOOKUP($C45,Sheet2!$A$2:$B$10,2,0)</f>
        <v>114010-50820</v>
      </c>
      <c r="E45" s="7" t="s">
        <v>60</v>
      </c>
      <c r="F45" s="12">
        <v>45966</v>
      </c>
      <c r="G45" s="13">
        <v>0.97916666666666663</v>
      </c>
      <c r="H45" s="1" t="s">
        <v>52</v>
      </c>
      <c r="I45" s="1" t="s">
        <v>10</v>
      </c>
      <c r="J45" s="1">
        <v>12</v>
      </c>
      <c r="K45" s="14">
        <f>VLOOKUP($C45,Sheet2!$A$2:$D$10,4,0)</f>
        <v>1</v>
      </c>
      <c r="L45" s="14" t="str">
        <f>VLOOKUP($C45,Sheet2!$A$2:$E$10,5,0)</f>
        <v>Bin</v>
      </c>
      <c r="M45" s="14">
        <f t="shared" si="7"/>
        <v>12</v>
      </c>
      <c r="N45" s="1"/>
      <c r="O45" s="1" t="s">
        <v>119</v>
      </c>
      <c r="P45" s="1" t="s">
        <v>413</v>
      </c>
    </row>
    <row r="46" spans="1:16" ht="17.25" customHeight="1" x14ac:dyDescent="0.25">
      <c r="A46" s="15" t="s">
        <v>273</v>
      </c>
      <c r="B46" s="16" t="s">
        <v>263</v>
      </c>
      <c r="C46" s="1" t="s">
        <v>67</v>
      </c>
      <c r="D46" s="1" t="str">
        <f>VLOOKUP($C46,Sheet2!$A$2:$B$10,2,0)</f>
        <v>114010-50830</v>
      </c>
      <c r="E46" s="7" t="s">
        <v>60</v>
      </c>
      <c r="F46" s="12">
        <v>45966</v>
      </c>
      <c r="G46" s="13">
        <v>0.97916666666666663</v>
      </c>
      <c r="H46" s="1" t="s">
        <v>52</v>
      </c>
      <c r="I46" s="1" t="s">
        <v>10</v>
      </c>
      <c r="J46" s="1">
        <v>20</v>
      </c>
      <c r="K46" s="14">
        <f>VLOOKUP($C46,Sheet2!$A$2:$D$10,4,0)</f>
        <v>1</v>
      </c>
      <c r="L46" s="14" t="str">
        <f>VLOOKUP($C46,Sheet2!$A$2:$E$10,5,0)</f>
        <v>Bin</v>
      </c>
      <c r="M46" s="14">
        <f t="shared" si="7"/>
        <v>20</v>
      </c>
      <c r="N46" s="1"/>
      <c r="O46" s="1" t="s">
        <v>119</v>
      </c>
      <c r="P46" s="1" t="s">
        <v>416</v>
      </c>
    </row>
    <row r="47" spans="1:16" x14ac:dyDescent="0.25">
      <c r="A47" s="9"/>
      <c r="B47" s="9"/>
      <c r="C47" s="9"/>
      <c r="D47" s="10"/>
      <c r="E47" s="9"/>
      <c r="F47" s="9"/>
      <c r="G47" s="9"/>
      <c r="H47" s="9"/>
      <c r="I47" s="9"/>
      <c r="J47" s="9"/>
      <c r="K47" s="9"/>
      <c r="L47" s="9"/>
      <c r="M47" s="9">
        <v>70</v>
      </c>
      <c r="N47" s="9">
        <v>6</v>
      </c>
      <c r="O47" s="9"/>
      <c r="P47" s="9"/>
    </row>
  </sheetData>
  <autoFilter ref="A3:P47" xr:uid="{819ECDE6-73B3-402C-B4C5-29559F2375B5}"/>
  <mergeCells count="2">
    <mergeCell ref="A1:F1"/>
    <mergeCell ref="J1:N1"/>
  </mergeCells>
  <conditionalFormatting sqref="B2">
    <cfRule type="duplicateValues" dxfId="898" priority="74"/>
    <cfRule type="duplicateValues" dxfId="897" priority="73"/>
  </conditionalFormatting>
  <conditionalFormatting sqref="B4:B26 B38:B46 B28:B36">
    <cfRule type="duplicateValues" dxfId="896" priority="30"/>
  </conditionalFormatting>
  <conditionalFormatting sqref="C2:D2">
    <cfRule type="duplicateValues" dxfId="895" priority="76"/>
    <cfRule type="duplicateValues" dxfId="894" priority="75"/>
  </conditionalFormatting>
  <conditionalFormatting sqref="D3">
    <cfRule type="duplicateValues" dxfId="890" priority="71"/>
    <cfRule type="duplicateValues" dxfId="889" priority="72"/>
  </conditionalFormatting>
  <conditionalFormatting sqref="D27">
    <cfRule type="duplicateValues" dxfId="886" priority="12"/>
    <cfRule type="duplicateValues" dxfId="885" priority="13"/>
  </conditionalFormatting>
  <conditionalFormatting sqref="D37">
    <cfRule type="duplicateValues" dxfId="882" priority="20"/>
    <cfRule type="duplicateValues" dxfId="880" priority="19"/>
  </conditionalFormatting>
  <conditionalFormatting sqref="D47">
    <cfRule type="duplicateValues" dxfId="879" priority="5"/>
    <cfRule type="duplicateValues" dxfId="878" priority="6"/>
  </conditionalFormatting>
  <pageMargins left="0.17" right="0.17" top="0.17" bottom="0.17" header="0.3" footer="0.3"/>
  <pageSetup paperSize="9" scale="5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text="17521M68PA0" id="{EA9C455D-2A52-4ABD-B8F2-EAD1C6AF1762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C4:D26</xm:sqref>
        </x14:conditionalFormatting>
        <x14:conditionalFormatting xmlns:xm="http://schemas.microsoft.com/office/excel/2006/main">
          <x14:cfRule type="containsText" priority="23" operator="containsText" text="17521M68PA0" id="{D26E91DD-9529-4163-ACE3-3B4D1425CC26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C28:D36 C38:D46</xm:sqref>
        </x14:conditionalFormatting>
        <x14:conditionalFormatting xmlns:xm="http://schemas.microsoft.com/office/excel/2006/main">
          <x14:cfRule type="containsText" priority="83" operator="containsText" text="17521M68PA0" id="{83240426-0687-4E8C-BA88-F514D357338C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26" operator="containsText" text="17521M68PA0" id="{E7CD18B5-1FF5-4A85-90C4-83DDFD016C1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8" operator="containsText" text="17521M74T00" id="{74866670-BE33-4DEC-9085-98E23BC278C7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D4:D26 D28:D36 D38:D46</xm:sqref>
        </x14:conditionalFormatting>
        <x14:conditionalFormatting xmlns:xm="http://schemas.microsoft.com/office/excel/2006/main">
          <x14:cfRule type="containsText" priority="14" operator="containsText" text="17521M68PA0" id="{3C65EF7A-DAD5-4C45-A997-1978569426B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containsText" priority="25" operator="containsText" text="17521M74T00" id="{2B10AAE9-75B3-42F9-BCCF-3675AD0D080D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D28:D36 D38:D46 D4:D26</xm:sqref>
        </x14:conditionalFormatting>
        <x14:conditionalFormatting xmlns:xm="http://schemas.microsoft.com/office/excel/2006/main">
          <x14:cfRule type="containsText" priority="21" operator="containsText" text="17521M68PA0" id="{C62B7CF8-1E9A-4E40-83B1-515DBA0F08D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D37</xm:sqref>
        </x14:conditionalFormatting>
        <x14:conditionalFormatting xmlns:xm="http://schemas.microsoft.com/office/excel/2006/main">
          <x14:cfRule type="containsText" priority="7" operator="containsText" text="17521M68PA0" id="{00CDB12B-E508-4F62-B17F-51A12141FF7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D47</xm:sqref>
        </x14:conditionalFormatting>
        <x14:conditionalFormatting xmlns:xm="http://schemas.microsoft.com/office/excel/2006/main">
          <x14:cfRule type="containsText" priority="77" operator="containsText" text="17521M68PA0" id="{C292C997-6B2E-478F-91F7-7454E0F65AA0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78" operator="containsText" text="17521M74T00" id="{92F7711C-1468-45FC-820D-6B06792D18FA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68" operator="containsText" text="BELT,WATER PUMP - 7PK 975" id="{82758FBF-1A2F-4B65-9B4E-DB86D46AAA77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6870F58F-BA2D-4CDB-8C6F-C78657C28EA9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E3:E47</xm:sqref>
        </x14:conditionalFormatting>
        <x14:conditionalFormatting xmlns:xm="http://schemas.microsoft.com/office/excel/2006/main">
          <x14:cfRule type="containsText" priority="9" operator="containsText" text="BELT,WATER PUMP - 7PK 975" id="{80ACCC0C-1214-4D6A-9312-896B83C1B4F7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E27</xm:sqref>
        </x14:conditionalFormatting>
        <x14:conditionalFormatting xmlns:xm="http://schemas.microsoft.com/office/excel/2006/main">
          <x14:cfRule type="containsText" priority="16" operator="containsText" text="BELT,WATER PUMP - 7PK 975" id="{267CE09D-C901-4B71-ABAB-D2FCF9FECFF8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E37</xm:sqref>
        </x14:conditionalFormatting>
        <x14:conditionalFormatting xmlns:xm="http://schemas.microsoft.com/office/excel/2006/main">
          <x14:cfRule type="containsText" priority="2" operator="containsText" text="BELT,WATER PUMP - 7PK 975" id="{E8F43B9E-2657-4229-81C4-310DB6D13224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E47</xm:sqref>
        </x14:conditionalFormatting>
        <x14:conditionalFormatting xmlns:xm="http://schemas.microsoft.com/office/excel/2006/main">
          <x14:cfRule type="containsText" priority="79" operator="containsText" text="BELT,WATER PUMP - 5PK 913" id="{29514987-8F81-4454-8523-16D57E993CDD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80" operator="containsText" text="BELT,WATER PUMP - 7PK 975" id="{DEDC52F9-6494-419F-94C4-CA7F30B9B41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69" operator="containsText" text="5PK 913" id="{520E6158-702B-4979-A846-E54AC65F581B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70" operator="containsText" text="7PK 975" id="{A0876004-5320-4AA8-B1E8-02EAD816680F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10" operator="containsText" text="5PK 913" id="{E1652646-E648-4C56-BA38-2772AD38DEB6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1" operator="containsText" text="7PK 975" id="{02A0777A-F135-4848-B6EF-AC5F12FD446F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P27</xm:sqref>
        </x14:conditionalFormatting>
        <x14:conditionalFormatting xmlns:xm="http://schemas.microsoft.com/office/excel/2006/main">
          <x14:cfRule type="containsText" priority="18" operator="containsText" text="7PK 975" id="{BD61B1C7-36B5-406B-AE57-BD7FC8DFA2D3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" operator="containsText" text="5PK 913" id="{A42217B0-2D6C-4DEC-8AB9-0A83DC64AB1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P37</xm:sqref>
        </x14:conditionalFormatting>
        <x14:conditionalFormatting xmlns:xm="http://schemas.microsoft.com/office/excel/2006/main">
          <x14:cfRule type="containsText" priority="3" operator="containsText" text="5PK 913" id="{3C1E8623-AE91-4B0D-95CC-BC2114CBBB25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7PK 975" id="{5A5590FD-1277-4B2D-BE01-66F0DEC7CE1D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1107-441E-4683-9BEC-1CEB38132C34}">
  <sheetPr>
    <pageSetUpPr fitToPage="1"/>
  </sheetPr>
  <dimension ref="A1:P40"/>
  <sheetViews>
    <sheetView workbookViewId="0">
      <selection activeCell="P3" sqref="P3"/>
    </sheetView>
  </sheetViews>
  <sheetFormatPr defaultRowHeight="15" x14ac:dyDescent="0.25"/>
  <cols>
    <col min="1" max="1" width="15.140625" bestFit="1" customWidth="1"/>
    <col min="2" max="2" width="16.7109375" bestFit="1" customWidth="1"/>
    <col min="3" max="3" width="14.140625" bestFit="1" customWidth="1"/>
    <col min="4" max="4" width="14.140625" customWidth="1"/>
    <col min="5" max="5" width="32.5703125" bestFit="1" customWidth="1"/>
    <col min="6" max="6" width="12.7109375" bestFit="1" customWidth="1"/>
    <col min="7" max="7" width="12.5703125" bestFit="1" customWidth="1"/>
    <col min="8" max="8" width="16.140625" bestFit="1" customWidth="1"/>
    <col min="9" max="9" width="4.7109375" bestFit="1" customWidth="1"/>
    <col min="10" max="10" width="8" bestFit="1" customWidth="1"/>
    <col min="11" max="11" width="16.28515625" customWidth="1"/>
    <col min="12" max="12" width="10.28515625" customWidth="1"/>
    <col min="13" max="13" width="7.140625" bestFit="1" customWidth="1"/>
    <col min="14" max="14" width="7.85546875" bestFit="1" customWidth="1"/>
    <col min="15" max="15" width="15.28515625" bestFit="1" customWidth="1"/>
    <col min="16" max="16" width="40.7109375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"/>
      <c r="P1" s="3"/>
    </row>
    <row r="2" spans="1:16" ht="15.75" x14ac:dyDescent="0.25">
      <c r="A2" s="4" t="s">
        <v>74</v>
      </c>
      <c r="B2" s="5">
        <v>45967</v>
      </c>
      <c r="C2" s="6"/>
      <c r="D2" s="6"/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8"/>
    </row>
    <row r="3" spans="1:16" ht="29.25" customHeight="1" x14ac:dyDescent="0.25">
      <c r="A3" s="9" t="s">
        <v>75</v>
      </c>
      <c r="B3" s="9" t="s">
        <v>0</v>
      </c>
      <c r="C3" s="9" t="s">
        <v>1</v>
      </c>
      <c r="D3" s="10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ht="17.25" customHeight="1" x14ac:dyDescent="0.25">
      <c r="A4" s="15" t="s">
        <v>310</v>
      </c>
      <c r="B4" s="16" t="s">
        <v>275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45967</v>
      </c>
      <c r="G4" s="13">
        <v>0.35416666666666669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166</v>
      </c>
      <c r="P4" s="1" t="s">
        <v>410</v>
      </c>
    </row>
    <row r="5" spans="1:16" ht="17.25" customHeight="1" x14ac:dyDescent="0.25">
      <c r="A5" s="15" t="s">
        <v>310</v>
      </c>
      <c r="B5" s="16" t="s">
        <v>278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45967</v>
      </c>
      <c r="G5" s="13">
        <v>0.35416666666666669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410</v>
      </c>
    </row>
    <row r="6" spans="1:16" ht="17.25" customHeight="1" x14ac:dyDescent="0.25">
      <c r="A6" s="15" t="s">
        <v>310</v>
      </c>
      <c r="B6" s="16" t="s">
        <v>276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45967</v>
      </c>
      <c r="G6" s="13">
        <v>0.35416666666666669</v>
      </c>
      <c r="H6" s="1" t="s">
        <v>9</v>
      </c>
      <c r="I6" s="1" t="s">
        <v>10</v>
      </c>
      <c r="J6" s="1">
        <v>18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1</v>
      </c>
      <c r="O6" s="1" t="s">
        <v>166</v>
      </c>
      <c r="P6" s="1" t="s">
        <v>410</v>
      </c>
    </row>
    <row r="7" spans="1:16" ht="17.25" customHeight="1" x14ac:dyDescent="0.25">
      <c r="A7" s="15" t="s">
        <v>310</v>
      </c>
      <c r="B7" s="16" t="s">
        <v>279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45967</v>
      </c>
      <c r="G7" s="13">
        <v>0.35416666666666669</v>
      </c>
      <c r="H7" s="1" t="s">
        <v>9</v>
      </c>
      <c r="I7" s="1" t="s">
        <v>10</v>
      </c>
      <c r="J7" s="1">
        <v>18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166</v>
      </c>
      <c r="P7" s="1" t="s">
        <v>410</v>
      </c>
    </row>
    <row r="8" spans="1:16" ht="17.25" customHeight="1" x14ac:dyDescent="0.25">
      <c r="A8" s="15" t="s">
        <v>310</v>
      </c>
      <c r="B8" s="16" t="s">
        <v>281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45967</v>
      </c>
      <c r="G8" s="13">
        <v>0.35416666666666669</v>
      </c>
      <c r="H8" s="1" t="s">
        <v>9</v>
      </c>
      <c r="I8" s="1" t="s">
        <v>10</v>
      </c>
      <c r="J8" s="1">
        <v>40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1</v>
      </c>
      <c r="O8" s="1" t="s">
        <v>166</v>
      </c>
      <c r="P8" s="1">
        <v>910102103</v>
      </c>
    </row>
    <row r="9" spans="1:16" ht="17.25" customHeight="1" x14ac:dyDescent="0.25">
      <c r="A9" s="15" t="s">
        <v>310</v>
      </c>
      <c r="B9" s="16" t="s">
        <v>283</v>
      </c>
      <c r="C9" s="1" t="s">
        <v>29</v>
      </c>
      <c r="D9" s="1" t="str">
        <f>VLOOKUP($C9,Sheet2!$A$2:$B$10,2,0)</f>
        <v>141140-91211</v>
      </c>
      <c r="E9" s="7" t="s">
        <v>30</v>
      </c>
      <c r="F9" s="12">
        <v>45967</v>
      </c>
      <c r="G9" s="13">
        <v>0.35416666666666669</v>
      </c>
      <c r="H9" s="1" t="s">
        <v>31</v>
      </c>
      <c r="I9" s="1" t="s">
        <v>10</v>
      </c>
      <c r="J9" s="1">
        <v>14</v>
      </c>
      <c r="K9" s="14">
        <f>VLOOKUP($C9,Sheet2!$A$2:$D$10,4,0)</f>
        <v>2</v>
      </c>
      <c r="L9" s="14" t="str">
        <f>VLOOKUP($C9,Sheet2!$A$2:$E$10,5,0)</f>
        <v>Bin</v>
      </c>
      <c r="M9" s="14">
        <f>J9/K9</f>
        <v>7</v>
      </c>
      <c r="N9" s="1"/>
      <c r="O9" s="1" t="s">
        <v>166</v>
      </c>
      <c r="P9" s="1" t="s">
        <v>412</v>
      </c>
    </row>
    <row r="10" spans="1:16" ht="17.25" customHeight="1" x14ac:dyDescent="0.25">
      <c r="A10" s="15" t="s">
        <v>310</v>
      </c>
      <c r="B10" s="16" t="s">
        <v>284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45967</v>
      </c>
      <c r="G10" s="13">
        <v>0.35416666666666669</v>
      </c>
      <c r="H10" s="1" t="s">
        <v>31</v>
      </c>
      <c r="I10" s="1" t="s">
        <v>10</v>
      </c>
      <c r="J10" s="1">
        <v>18</v>
      </c>
      <c r="K10" s="14">
        <f>VLOOKUP($C10,Sheet2!$A$2:$D$10,4,0)</f>
        <v>2</v>
      </c>
      <c r="L10" s="14" t="str">
        <f>VLOOKUP($C10,Sheet2!$A$2:$E$10,5,0)</f>
        <v>Bin</v>
      </c>
      <c r="M10" s="14">
        <f t="shared" ref="M10:M12" si="0">J10/K10</f>
        <v>9</v>
      </c>
      <c r="N10" s="1"/>
      <c r="O10" s="1" t="s">
        <v>166</v>
      </c>
      <c r="P10" s="1" t="s">
        <v>412</v>
      </c>
    </row>
    <row r="11" spans="1:16" ht="17.25" customHeight="1" x14ac:dyDescent="0.25">
      <c r="A11" s="15" t="s">
        <v>310</v>
      </c>
      <c r="B11" s="16" t="s">
        <v>288</v>
      </c>
      <c r="C11" s="1" t="s">
        <v>37</v>
      </c>
      <c r="D11" s="1" t="str">
        <f>VLOOKUP($C11,Sheet2!$A$2:$B$10,2,0)</f>
        <v>141150-91211</v>
      </c>
      <c r="E11" s="7" t="s">
        <v>38</v>
      </c>
      <c r="F11" s="12">
        <v>45967</v>
      </c>
      <c r="G11" s="13">
        <v>0.35416666666666669</v>
      </c>
      <c r="H11" s="1" t="s">
        <v>31</v>
      </c>
      <c r="I11" s="1" t="s">
        <v>10</v>
      </c>
      <c r="J11" s="1">
        <v>14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si="0"/>
        <v>7</v>
      </c>
      <c r="N11" s="1"/>
      <c r="O11" s="1" t="s">
        <v>166</v>
      </c>
      <c r="P11" s="1" t="s">
        <v>412</v>
      </c>
    </row>
    <row r="12" spans="1:16" ht="17.25" customHeight="1" x14ac:dyDescent="0.25">
      <c r="A12" s="15" t="s">
        <v>310</v>
      </c>
      <c r="B12" s="16" t="s">
        <v>289</v>
      </c>
      <c r="C12" s="1" t="s">
        <v>37</v>
      </c>
      <c r="D12" s="1" t="str">
        <f>VLOOKUP($C12,Sheet2!$A$2:$B$10,2,0)</f>
        <v>141150-91211</v>
      </c>
      <c r="E12" s="7" t="s">
        <v>38</v>
      </c>
      <c r="F12" s="12">
        <v>45967</v>
      </c>
      <c r="G12" s="13">
        <v>0.35416666666666669</v>
      </c>
      <c r="H12" s="1" t="s">
        <v>31</v>
      </c>
      <c r="I12" s="1" t="s">
        <v>10</v>
      </c>
      <c r="J12" s="1">
        <v>18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9</v>
      </c>
      <c r="N12" s="1"/>
      <c r="O12" s="1" t="s">
        <v>166</v>
      </c>
      <c r="P12" s="1" t="s">
        <v>412</v>
      </c>
    </row>
    <row r="13" spans="1:16" ht="17.25" customHeight="1" x14ac:dyDescent="0.25">
      <c r="A13" s="15" t="s">
        <v>310</v>
      </c>
      <c r="B13" s="16" t="s">
        <v>293</v>
      </c>
      <c r="C13" s="1" t="s">
        <v>45</v>
      </c>
      <c r="D13" s="1" t="str">
        <f>VLOOKUP($C13,Sheet2!$A$2:$B$10,2,0)</f>
        <v>141186-74360</v>
      </c>
      <c r="E13" s="7" t="s">
        <v>46</v>
      </c>
      <c r="F13" s="12">
        <v>45967</v>
      </c>
      <c r="G13" s="13">
        <v>0.35416666666666669</v>
      </c>
      <c r="H13" s="1" t="s">
        <v>31</v>
      </c>
      <c r="I13" s="1" t="s">
        <v>10</v>
      </c>
      <c r="J13" s="1">
        <v>40</v>
      </c>
      <c r="K13" s="14">
        <f>VLOOKUP($C13,Sheet2!$A$2:$D$10,4,0)</f>
        <v>40</v>
      </c>
      <c r="L13" s="14" t="str">
        <f>VLOOKUP($C13,Sheet2!$A$2:$E$10,5,0)</f>
        <v>Trolley</v>
      </c>
      <c r="M13" s="14"/>
      <c r="N13" s="1">
        <f>J13/K13</f>
        <v>1</v>
      </c>
      <c r="O13" s="1" t="s">
        <v>166</v>
      </c>
      <c r="P13" s="1">
        <v>910101143</v>
      </c>
    </row>
    <row r="14" spans="1:16" ht="17.25" customHeight="1" x14ac:dyDescent="0.25">
      <c r="A14" s="15" t="s">
        <v>311</v>
      </c>
      <c r="B14" s="16" t="s">
        <v>295</v>
      </c>
      <c r="C14" s="1" t="s">
        <v>50</v>
      </c>
      <c r="D14" s="1" t="str">
        <f>VLOOKUP($C14,Sheet2!$A$2:$B$10,2,0)</f>
        <v>116040-92240</v>
      </c>
      <c r="E14" s="7" t="s">
        <v>51</v>
      </c>
      <c r="F14" s="12">
        <v>45967</v>
      </c>
      <c r="G14" s="13">
        <v>0.35416666666666669</v>
      </c>
      <c r="H14" s="1" t="s">
        <v>52</v>
      </c>
      <c r="I14" s="1" t="s">
        <v>10</v>
      </c>
      <c r="J14" s="1">
        <v>12</v>
      </c>
      <c r="K14" s="14">
        <f>VLOOKUP($C14,Sheet2!$A$2:$D$10,4,0)</f>
        <v>6</v>
      </c>
      <c r="L14" s="14" t="str">
        <f>VLOOKUP($C14,Sheet2!$A$2:$E$10,5,0)</f>
        <v>Bin</v>
      </c>
      <c r="M14" s="14">
        <f t="shared" ref="M14:M19" si="1">J14/K14</f>
        <v>2</v>
      </c>
      <c r="N14" s="1"/>
      <c r="O14" s="1" t="s">
        <v>166</v>
      </c>
      <c r="P14" s="1" t="s">
        <v>413</v>
      </c>
    </row>
    <row r="15" spans="1:16" ht="17.25" customHeight="1" x14ac:dyDescent="0.25">
      <c r="A15" s="15" t="s">
        <v>311</v>
      </c>
      <c r="B15" s="16" t="s">
        <v>296</v>
      </c>
      <c r="C15" s="1" t="s">
        <v>50</v>
      </c>
      <c r="D15" s="1" t="str">
        <f>VLOOKUP($C15,Sheet2!$A$2:$B$10,2,0)</f>
        <v>116040-92240</v>
      </c>
      <c r="E15" s="7" t="s">
        <v>51</v>
      </c>
      <c r="F15" s="12">
        <v>45967</v>
      </c>
      <c r="G15" s="13">
        <v>0.35416666666666669</v>
      </c>
      <c r="H15" s="1" t="s">
        <v>52</v>
      </c>
      <c r="I15" s="1" t="s">
        <v>10</v>
      </c>
      <c r="J15" s="1">
        <v>18</v>
      </c>
      <c r="K15" s="14">
        <f>VLOOKUP($C15,Sheet2!$A$2:$D$10,4,0)</f>
        <v>6</v>
      </c>
      <c r="L15" s="14" t="str">
        <f>VLOOKUP($C15,Sheet2!$A$2:$E$10,5,0)</f>
        <v>Bin</v>
      </c>
      <c r="M15" s="14">
        <f t="shared" si="1"/>
        <v>3</v>
      </c>
      <c r="N15" s="1"/>
      <c r="O15" s="1" t="s">
        <v>166</v>
      </c>
      <c r="P15" s="1" t="s">
        <v>413</v>
      </c>
    </row>
    <row r="16" spans="1:16" ht="17.25" customHeight="1" x14ac:dyDescent="0.25">
      <c r="A16" s="15" t="s">
        <v>311</v>
      </c>
      <c r="B16" s="16" t="s">
        <v>300</v>
      </c>
      <c r="C16" s="1" t="s">
        <v>59</v>
      </c>
      <c r="D16" s="1" t="str">
        <f>VLOOKUP($C16,Sheet2!$A$2:$B$10,2,0)</f>
        <v>114010-50820</v>
      </c>
      <c r="E16" s="7" t="s">
        <v>60</v>
      </c>
      <c r="F16" s="12">
        <v>45967</v>
      </c>
      <c r="G16" s="13">
        <v>0.35416666666666669</v>
      </c>
      <c r="H16" s="1" t="s">
        <v>52</v>
      </c>
      <c r="I16" s="1" t="s">
        <v>10</v>
      </c>
      <c r="J16" s="1">
        <v>3</v>
      </c>
      <c r="K16" s="14">
        <f>VLOOKUP($C16,Sheet2!$A$2:$D$10,4,0)</f>
        <v>1</v>
      </c>
      <c r="L16" s="14" t="str">
        <f>VLOOKUP($C16,Sheet2!$A$2:$E$10,5,0)</f>
        <v>Bin</v>
      </c>
      <c r="M16" s="14">
        <f t="shared" si="1"/>
        <v>3</v>
      </c>
      <c r="N16" s="1"/>
      <c r="O16" s="1" t="s">
        <v>166</v>
      </c>
      <c r="P16" s="1" t="s">
        <v>413</v>
      </c>
    </row>
    <row r="17" spans="1:16" ht="17.25" customHeight="1" x14ac:dyDescent="0.25">
      <c r="A17" s="15" t="s">
        <v>311</v>
      </c>
      <c r="B17" s="16" t="s">
        <v>301</v>
      </c>
      <c r="C17" s="1" t="s">
        <v>59</v>
      </c>
      <c r="D17" s="1" t="str">
        <f>VLOOKUP($C17,Sheet2!$A$2:$B$10,2,0)</f>
        <v>114010-50820</v>
      </c>
      <c r="E17" s="7" t="s">
        <v>60</v>
      </c>
      <c r="F17" s="12">
        <v>45967</v>
      </c>
      <c r="G17" s="13">
        <v>0.35416666666666669</v>
      </c>
      <c r="H17" s="1" t="s">
        <v>52</v>
      </c>
      <c r="I17" s="1" t="s">
        <v>10</v>
      </c>
      <c r="J17" s="1">
        <v>10</v>
      </c>
      <c r="K17" s="14">
        <f>VLOOKUP($C17,Sheet2!$A$2:$D$10,4,0)</f>
        <v>1</v>
      </c>
      <c r="L17" s="14" t="str">
        <f>VLOOKUP($C17,Sheet2!$A$2:$E$10,5,0)</f>
        <v>Bin</v>
      </c>
      <c r="M17" s="14">
        <f t="shared" si="1"/>
        <v>10</v>
      </c>
      <c r="N17" s="1"/>
      <c r="O17" s="1" t="s">
        <v>166</v>
      </c>
      <c r="P17" s="1" t="s">
        <v>413</v>
      </c>
    </row>
    <row r="18" spans="1:16" ht="17.25" customHeight="1" x14ac:dyDescent="0.25">
      <c r="A18" s="15" t="s">
        <v>311</v>
      </c>
      <c r="B18" s="16" t="s">
        <v>305</v>
      </c>
      <c r="C18" s="1" t="s">
        <v>67</v>
      </c>
      <c r="D18" s="1" t="str">
        <f>VLOOKUP($C18,Sheet2!$A$2:$B$10,2,0)</f>
        <v>114010-50830</v>
      </c>
      <c r="E18" s="7" t="s">
        <v>60</v>
      </c>
      <c r="F18" s="12">
        <v>45967</v>
      </c>
      <c r="G18" s="13">
        <v>0.35416666666666669</v>
      </c>
      <c r="H18" s="1" t="s">
        <v>52</v>
      </c>
      <c r="I18" s="1" t="s">
        <v>10</v>
      </c>
      <c r="J18" s="1">
        <v>11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1"/>
        <v>11</v>
      </c>
      <c r="N18" s="1"/>
      <c r="O18" s="1" t="s">
        <v>166</v>
      </c>
      <c r="P18" s="1" t="s">
        <v>413</v>
      </c>
    </row>
    <row r="19" spans="1:16" ht="17.25" customHeight="1" x14ac:dyDescent="0.25">
      <c r="A19" s="15" t="s">
        <v>311</v>
      </c>
      <c r="B19" s="16" t="s">
        <v>306</v>
      </c>
      <c r="C19" s="1" t="s">
        <v>67</v>
      </c>
      <c r="D19" s="1" t="str">
        <f>VLOOKUP($C19,Sheet2!$A$2:$B$10,2,0)</f>
        <v>114010-50830</v>
      </c>
      <c r="E19" s="7" t="s">
        <v>60</v>
      </c>
      <c r="F19" s="12">
        <v>45967</v>
      </c>
      <c r="G19" s="13">
        <v>0.35416666666666669</v>
      </c>
      <c r="H19" s="1" t="s">
        <v>52</v>
      </c>
      <c r="I19" s="1" t="s">
        <v>10</v>
      </c>
      <c r="J19" s="1">
        <v>7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1"/>
        <v>7</v>
      </c>
      <c r="N19" s="1"/>
      <c r="O19" s="1" t="s">
        <v>166</v>
      </c>
      <c r="P19" s="1" t="s">
        <v>416</v>
      </c>
    </row>
    <row r="20" spans="1:16" x14ac:dyDescent="0.25">
      <c r="A20" s="9"/>
      <c r="B20" s="9"/>
      <c r="C20" s="9"/>
      <c r="D20" s="10"/>
      <c r="E20" s="9"/>
      <c r="F20" s="9"/>
      <c r="G20" s="9"/>
      <c r="H20" s="9"/>
      <c r="I20" s="9"/>
      <c r="J20" s="9"/>
      <c r="K20" s="9"/>
      <c r="L20" s="9"/>
      <c r="M20" s="9">
        <v>68</v>
      </c>
      <c r="N20" s="9">
        <v>4</v>
      </c>
      <c r="O20" s="9"/>
      <c r="P20" s="9"/>
    </row>
    <row r="21" spans="1:16" ht="17.25" customHeight="1" x14ac:dyDescent="0.25">
      <c r="A21" s="15" t="s">
        <v>312</v>
      </c>
      <c r="B21" s="16" t="s">
        <v>277</v>
      </c>
      <c r="C21" s="1" t="s">
        <v>7</v>
      </c>
      <c r="D21" s="1" t="str">
        <f>VLOOKUP($C21,Sheet2!$A$2:$B$10,2,0)</f>
        <v>141110-14600</v>
      </c>
      <c r="E21" s="7" t="s">
        <v>8</v>
      </c>
      <c r="F21" s="12">
        <v>45967</v>
      </c>
      <c r="G21" s="13">
        <v>0.60416666666666663</v>
      </c>
      <c r="H21" s="1" t="s">
        <v>9</v>
      </c>
      <c r="I21" s="1" t="s">
        <v>10</v>
      </c>
      <c r="J21" s="1">
        <v>18</v>
      </c>
      <c r="K21" s="14">
        <f>VLOOKUP($C21,Sheet2!$A$2:$D$10,4,0)</f>
        <v>18</v>
      </c>
      <c r="L21" s="14" t="str">
        <f>VLOOKUP($C21,Sheet2!$A$2:$E$10,5,0)</f>
        <v>Trolley (H)</v>
      </c>
      <c r="M21" s="14"/>
      <c r="N21" s="63">
        <v>1</v>
      </c>
      <c r="O21" s="1" t="s">
        <v>171</v>
      </c>
      <c r="P21" s="1" t="s">
        <v>410</v>
      </c>
    </row>
    <row r="22" spans="1:16" ht="17.25" customHeight="1" x14ac:dyDescent="0.25">
      <c r="A22" s="15" t="s">
        <v>312</v>
      </c>
      <c r="B22" s="16" t="s">
        <v>280</v>
      </c>
      <c r="C22" s="1" t="s">
        <v>16</v>
      </c>
      <c r="D22" s="1" t="str">
        <f>VLOOKUP($C22,Sheet2!$A$2:$B$10,2,0)</f>
        <v>141120-14600</v>
      </c>
      <c r="E22" s="7" t="s">
        <v>17</v>
      </c>
      <c r="F22" s="12">
        <v>45967</v>
      </c>
      <c r="G22" s="13">
        <v>0.60416666666666663</v>
      </c>
      <c r="H22" s="1" t="s">
        <v>9</v>
      </c>
      <c r="I22" s="1" t="s">
        <v>10</v>
      </c>
      <c r="J22" s="1">
        <v>18</v>
      </c>
      <c r="K22" s="14">
        <f>VLOOKUP($C22,Sheet2!$A$2:$D$10,4,0)</f>
        <v>18</v>
      </c>
      <c r="L22" s="14" t="str">
        <f>VLOOKUP($C22,Sheet2!$A$2:$E$10,5,0)</f>
        <v>Trolley (H)</v>
      </c>
      <c r="M22" s="14"/>
      <c r="N22" s="64"/>
      <c r="O22" s="1" t="s">
        <v>171</v>
      </c>
      <c r="P22" s="1" t="s">
        <v>410</v>
      </c>
    </row>
    <row r="23" spans="1:16" ht="17.25" customHeight="1" x14ac:dyDescent="0.25">
      <c r="A23" s="15" t="s">
        <v>312</v>
      </c>
      <c r="B23" s="16" t="s">
        <v>285</v>
      </c>
      <c r="C23" s="1" t="s">
        <v>29</v>
      </c>
      <c r="D23" s="1" t="str">
        <f>VLOOKUP($C23,Sheet2!$A$2:$B$10,2,0)</f>
        <v>141140-91211</v>
      </c>
      <c r="E23" s="7" t="s">
        <v>30</v>
      </c>
      <c r="F23" s="12">
        <v>45967</v>
      </c>
      <c r="G23" s="13">
        <v>0.60416666666666663</v>
      </c>
      <c r="H23" s="1" t="s">
        <v>31</v>
      </c>
      <c r="I23" s="1" t="s">
        <v>10</v>
      </c>
      <c r="J23" s="1">
        <v>10</v>
      </c>
      <c r="K23" s="14">
        <f>VLOOKUP($C23,Sheet2!$A$2:$D$10,4,0)</f>
        <v>2</v>
      </c>
      <c r="L23" s="14" t="str">
        <f>VLOOKUP($C23,Sheet2!$A$2:$E$10,5,0)</f>
        <v>Bin</v>
      </c>
      <c r="M23" s="14">
        <f t="shared" ref="M23:M32" si="2">J23/K23</f>
        <v>5</v>
      </c>
      <c r="N23" s="1"/>
      <c r="O23" s="1" t="s">
        <v>171</v>
      </c>
      <c r="P23" s="1" t="s">
        <v>412</v>
      </c>
    </row>
    <row r="24" spans="1:16" ht="17.25" customHeight="1" x14ac:dyDescent="0.25">
      <c r="A24" s="15" t="s">
        <v>312</v>
      </c>
      <c r="B24" s="16" t="s">
        <v>286</v>
      </c>
      <c r="C24" s="1" t="s">
        <v>29</v>
      </c>
      <c r="D24" s="1" t="str">
        <f>VLOOKUP($C24,Sheet2!$A$2:$B$10,2,0)</f>
        <v>141140-91211</v>
      </c>
      <c r="E24" s="7" t="s">
        <v>30</v>
      </c>
      <c r="F24" s="12">
        <v>45967</v>
      </c>
      <c r="G24" s="13">
        <v>0.60416666666666663</v>
      </c>
      <c r="H24" s="1" t="s">
        <v>31</v>
      </c>
      <c r="I24" s="1" t="s">
        <v>10</v>
      </c>
      <c r="J24" s="1">
        <v>10</v>
      </c>
      <c r="K24" s="14">
        <f>VLOOKUP($C24,Sheet2!$A$2:$D$10,4,0)</f>
        <v>2</v>
      </c>
      <c r="L24" s="14" t="str">
        <f>VLOOKUP($C24,Sheet2!$A$2:$E$10,5,0)</f>
        <v>Bin</v>
      </c>
      <c r="M24" s="14">
        <f t="shared" si="2"/>
        <v>5</v>
      </c>
      <c r="N24" s="1"/>
      <c r="O24" s="1" t="s">
        <v>171</v>
      </c>
      <c r="P24" s="1" t="s">
        <v>412</v>
      </c>
    </row>
    <row r="25" spans="1:16" ht="17.25" customHeight="1" x14ac:dyDescent="0.25">
      <c r="A25" s="15" t="s">
        <v>312</v>
      </c>
      <c r="B25" s="16" t="s">
        <v>290</v>
      </c>
      <c r="C25" s="1" t="s">
        <v>37</v>
      </c>
      <c r="D25" s="1" t="str">
        <f>VLOOKUP($C25,Sheet2!$A$2:$B$10,2,0)</f>
        <v>141150-91211</v>
      </c>
      <c r="E25" s="7" t="s">
        <v>38</v>
      </c>
      <c r="F25" s="12">
        <v>45967</v>
      </c>
      <c r="G25" s="13">
        <v>0.60416666666666663</v>
      </c>
      <c r="H25" s="1" t="s">
        <v>31</v>
      </c>
      <c r="I25" s="1" t="s">
        <v>10</v>
      </c>
      <c r="J25" s="1">
        <v>10</v>
      </c>
      <c r="K25" s="14">
        <f>VLOOKUP($C25,Sheet2!$A$2:$D$10,4,0)</f>
        <v>2</v>
      </c>
      <c r="L25" s="14" t="str">
        <f>VLOOKUP($C25,Sheet2!$A$2:$E$10,5,0)</f>
        <v>Bin</v>
      </c>
      <c r="M25" s="14">
        <f t="shared" si="2"/>
        <v>5</v>
      </c>
      <c r="N25" s="1"/>
      <c r="O25" s="1" t="s">
        <v>171</v>
      </c>
      <c r="P25" s="1" t="s">
        <v>412</v>
      </c>
    </row>
    <row r="26" spans="1:16" ht="17.25" customHeight="1" x14ac:dyDescent="0.25">
      <c r="A26" s="15" t="s">
        <v>312</v>
      </c>
      <c r="B26" s="16" t="s">
        <v>291</v>
      </c>
      <c r="C26" s="1" t="s">
        <v>37</v>
      </c>
      <c r="D26" s="1" t="str">
        <f>VLOOKUP($C26,Sheet2!$A$2:$B$10,2,0)</f>
        <v>141150-91211</v>
      </c>
      <c r="E26" s="7" t="s">
        <v>38</v>
      </c>
      <c r="F26" s="12">
        <v>45967</v>
      </c>
      <c r="G26" s="13">
        <v>0.60416666666666663</v>
      </c>
      <c r="H26" s="1" t="s">
        <v>31</v>
      </c>
      <c r="I26" s="1" t="s">
        <v>10</v>
      </c>
      <c r="J26" s="1">
        <v>10</v>
      </c>
      <c r="K26" s="14">
        <f>VLOOKUP($C26,Sheet2!$A$2:$D$10,4,0)</f>
        <v>2</v>
      </c>
      <c r="L26" s="14" t="str">
        <f>VLOOKUP($C26,Sheet2!$A$2:$E$10,5,0)</f>
        <v>Bin</v>
      </c>
      <c r="M26" s="14">
        <f t="shared" si="2"/>
        <v>5</v>
      </c>
      <c r="N26" s="1"/>
      <c r="O26" s="1" t="s">
        <v>171</v>
      </c>
      <c r="P26" s="1" t="s">
        <v>412</v>
      </c>
    </row>
    <row r="27" spans="1:16" ht="17.25" customHeight="1" x14ac:dyDescent="0.25">
      <c r="A27" s="15" t="s">
        <v>313</v>
      </c>
      <c r="B27" s="16" t="s">
        <v>297</v>
      </c>
      <c r="C27" s="1" t="s">
        <v>50</v>
      </c>
      <c r="D27" s="1" t="str">
        <f>VLOOKUP($C27,Sheet2!$A$2:$B$10,2,0)</f>
        <v>116040-92240</v>
      </c>
      <c r="E27" s="7" t="s">
        <v>51</v>
      </c>
      <c r="F27" s="12">
        <v>45967</v>
      </c>
      <c r="G27" s="13">
        <v>0.60416666666666663</v>
      </c>
      <c r="H27" s="1" t="s">
        <v>52</v>
      </c>
      <c r="I27" s="1" t="s">
        <v>10</v>
      </c>
      <c r="J27" s="1">
        <v>12</v>
      </c>
      <c r="K27" s="14">
        <f>VLOOKUP($C27,Sheet2!$A$2:$D$10,4,0)</f>
        <v>6</v>
      </c>
      <c r="L27" s="14" t="str">
        <f>VLOOKUP($C27,Sheet2!$A$2:$E$10,5,0)</f>
        <v>Bin</v>
      </c>
      <c r="M27" s="14">
        <f t="shared" si="2"/>
        <v>2</v>
      </c>
      <c r="N27" s="1"/>
      <c r="O27" s="1" t="s">
        <v>171</v>
      </c>
      <c r="P27" s="1" t="s">
        <v>413</v>
      </c>
    </row>
    <row r="28" spans="1:16" ht="17.25" customHeight="1" x14ac:dyDescent="0.25">
      <c r="A28" s="15" t="s">
        <v>313</v>
      </c>
      <c r="B28" s="16" t="s">
        <v>298</v>
      </c>
      <c r="C28" s="1" t="s">
        <v>50</v>
      </c>
      <c r="D28" s="1" t="str">
        <f>VLOOKUP($C28,Sheet2!$A$2:$B$10,2,0)</f>
        <v>116040-92240</v>
      </c>
      <c r="E28" s="7" t="s">
        <v>51</v>
      </c>
      <c r="F28" s="12">
        <v>45967</v>
      </c>
      <c r="G28" s="13">
        <v>0.60416666666666663</v>
      </c>
      <c r="H28" s="1" t="s">
        <v>52</v>
      </c>
      <c r="I28" s="1" t="s">
        <v>10</v>
      </c>
      <c r="J28" s="1">
        <v>12</v>
      </c>
      <c r="K28" s="14">
        <f>VLOOKUP($C28,Sheet2!$A$2:$D$10,4,0)</f>
        <v>6</v>
      </c>
      <c r="L28" s="14" t="str">
        <f>VLOOKUP($C28,Sheet2!$A$2:$E$10,5,0)</f>
        <v>Bin</v>
      </c>
      <c r="M28" s="14">
        <f t="shared" si="2"/>
        <v>2</v>
      </c>
      <c r="N28" s="1"/>
      <c r="O28" s="1" t="s">
        <v>171</v>
      </c>
      <c r="P28" s="1" t="s">
        <v>413</v>
      </c>
    </row>
    <row r="29" spans="1:16" ht="17.25" customHeight="1" x14ac:dyDescent="0.25">
      <c r="A29" s="15" t="s">
        <v>313</v>
      </c>
      <c r="B29" s="16" t="s">
        <v>302</v>
      </c>
      <c r="C29" s="1" t="s">
        <v>59</v>
      </c>
      <c r="D29" s="1" t="str">
        <f>VLOOKUP($C29,Sheet2!$A$2:$B$10,2,0)</f>
        <v>114010-50820</v>
      </c>
      <c r="E29" s="7" t="s">
        <v>60</v>
      </c>
      <c r="F29" s="12">
        <v>45967</v>
      </c>
      <c r="G29" s="13">
        <v>0.60416666666666663</v>
      </c>
      <c r="H29" s="1" t="s">
        <v>52</v>
      </c>
      <c r="I29" s="1" t="s">
        <v>10</v>
      </c>
      <c r="J29" s="1">
        <v>5</v>
      </c>
      <c r="K29" s="14">
        <f>VLOOKUP($C29,Sheet2!$A$2:$D$10,4,0)</f>
        <v>1</v>
      </c>
      <c r="L29" s="14" t="str">
        <f>VLOOKUP($C29,Sheet2!$A$2:$E$10,5,0)</f>
        <v>Bin</v>
      </c>
      <c r="M29" s="14">
        <f t="shared" si="2"/>
        <v>5</v>
      </c>
      <c r="N29" s="1"/>
      <c r="O29" s="1" t="s">
        <v>171</v>
      </c>
      <c r="P29" s="1" t="s">
        <v>417</v>
      </c>
    </row>
    <row r="30" spans="1:16" ht="17.25" customHeight="1" x14ac:dyDescent="0.25">
      <c r="A30" s="15" t="s">
        <v>313</v>
      </c>
      <c r="B30" s="16" t="s">
        <v>303</v>
      </c>
      <c r="C30" s="1" t="s">
        <v>59</v>
      </c>
      <c r="D30" s="1" t="str">
        <f>VLOOKUP($C30,Sheet2!$A$2:$B$10,2,0)</f>
        <v>114010-50820</v>
      </c>
      <c r="E30" s="7" t="s">
        <v>60</v>
      </c>
      <c r="F30" s="12">
        <v>45967</v>
      </c>
      <c r="G30" s="13">
        <v>0.60416666666666663</v>
      </c>
      <c r="H30" s="1" t="s">
        <v>52</v>
      </c>
      <c r="I30" s="1" t="s">
        <v>10</v>
      </c>
      <c r="J30" s="1">
        <v>5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si="2"/>
        <v>5</v>
      </c>
      <c r="N30" s="1"/>
      <c r="O30" s="1" t="s">
        <v>171</v>
      </c>
      <c r="P30" s="1" t="s">
        <v>417</v>
      </c>
    </row>
    <row r="31" spans="1:16" ht="17.25" customHeight="1" x14ac:dyDescent="0.25">
      <c r="A31" s="15" t="s">
        <v>313</v>
      </c>
      <c r="B31" s="16" t="s">
        <v>307</v>
      </c>
      <c r="C31" s="1" t="s">
        <v>67</v>
      </c>
      <c r="D31" s="1" t="str">
        <f>VLOOKUP($C31,Sheet2!$A$2:$B$10,2,0)</f>
        <v>114010-50830</v>
      </c>
      <c r="E31" s="7" t="s">
        <v>60</v>
      </c>
      <c r="F31" s="12">
        <v>45967</v>
      </c>
      <c r="G31" s="13">
        <v>0.60416666666666663</v>
      </c>
      <c r="H31" s="1" t="s">
        <v>52</v>
      </c>
      <c r="I31" s="1" t="s">
        <v>10</v>
      </c>
      <c r="J31" s="1">
        <v>5</v>
      </c>
      <c r="K31" s="14">
        <f>VLOOKUP($C31,Sheet2!$A$2:$D$10,4,0)</f>
        <v>1</v>
      </c>
      <c r="L31" s="14" t="str">
        <f>VLOOKUP($C31,Sheet2!$A$2:$E$10,5,0)</f>
        <v>Bin</v>
      </c>
      <c r="M31" s="14">
        <f t="shared" si="2"/>
        <v>5</v>
      </c>
      <c r="N31" s="1"/>
      <c r="O31" s="1" t="s">
        <v>171</v>
      </c>
      <c r="P31" s="1" t="s">
        <v>416</v>
      </c>
    </row>
    <row r="32" spans="1:16" ht="17.25" customHeight="1" x14ac:dyDescent="0.25">
      <c r="A32" s="15" t="s">
        <v>313</v>
      </c>
      <c r="B32" s="16" t="s">
        <v>308</v>
      </c>
      <c r="C32" s="1" t="s">
        <v>67</v>
      </c>
      <c r="D32" s="1" t="str">
        <f>VLOOKUP($C32,Sheet2!$A$2:$B$10,2,0)</f>
        <v>114010-50830</v>
      </c>
      <c r="E32" s="7" t="s">
        <v>60</v>
      </c>
      <c r="F32" s="12">
        <v>45967</v>
      </c>
      <c r="G32" s="13">
        <v>0.60416666666666663</v>
      </c>
      <c r="H32" s="1" t="s">
        <v>52</v>
      </c>
      <c r="I32" s="1" t="s">
        <v>10</v>
      </c>
      <c r="J32" s="1">
        <v>3</v>
      </c>
      <c r="K32" s="14">
        <f>VLOOKUP($C32,Sheet2!$A$2:$D$10,4,0)</f>
        <v>1</v>
      </c>
      <c r="L32" s="14" t="str">
        <f>VLOOKUP($C32,Sheet2!$A$2:$E$10,5,0)</f>
        <v>Bin</v>
      </c>
      <c r="M32" s="14">
        <f t="shared" si="2"/>
        <v>3</v>
      </c>
      <c r="N32" s="1"/>
      <c r="O32" s="1" t="s">
        <v>171</v>
      </c>
      <c r="P32" s="1" t="s">
        <v>416</v>
      </c>
    </row>
    <row r="33" spans="1:16" ht="17.25" customHeight="1" x14ac:dyDescent="0.25">
      <c r="A33" s="15" t="s">
        <v>314</v>
      </c>
      <c r="B33" s="16" t="s">
        <v>282</v>
      </c>
      <c r="C33" s="1" t="s">
        <v>23</v>
      </c>
      <c r="D33" s="1" t="str">
        <f>VLOOKUP($C33,Sheet2!$A$2:$B$10,2,0)</f>
        <v>141185-74670</v>
      </c>
      <c r="E33" s="7" t="s">
        <v>24</v>
      </c>
      <c r="F33" s="12">
        <v>45967</v>
      </c>
      <c r="G33" s="13">
        <v>0.64583333333333337</v>
      </c>
      <c r="H33" s="1" t="s">
        <v>9</v>
      </c>
      <c r="I33" s="1" t="s">
        <v>10</v>
      </c>
      <c r="J33" s="1">
        <v>80</v>
      </c>
      <c r="K33" s="14">
        <f>VLOOKUP($C33,Sheet2!$A$2:$D$10,4,0)</f>
        <v>40</v>
      </c>
      <c r="L33" s="14" t="str">
        <f>VLOOKUP($C33,Sheet2!$A$2:$E$10,5,0)</f>
        <v>Trolley</v>
      </c>
      <c r="M33" s="14"/>
      <c r="N33" s="1">
        <f>J33/K33</f>
        <v>2</v>
      </c>
      <c r="O33" s="1" t="s">
        <v>171</v>
      </c>
      <c r="P33" s="1">
        <v>910101143</v>
      </c>
    </row>
    <row r="34" spans="1:16" ht="17.25" customHeight="1" x14ac:dyDescent="0.25">
      <c r="A34" s="15" t="s">
        <v>314</v>
      </c>
      <c r="B34" s="16" t="s">
        <v>287</v>
      </c>
      <c r="C34" s="1" t="s">
        <v>29</v>
      </c>
      <c r="D34" s="1" t="str">
        <f>VLOOKUP($C34,Sheet2!$A$2:$B$10,2,0)</f>
        <v>141140-91211</v>
      </c>
      <c r="E34" s="7" t="s">
        <v>30</v>
      </c>
      <c r="F34" s="12">
        <v>45967</v>
      </c>
      <c r="G34" s="13">
        <v>0.64583333333333337</v>
      </c>
      <c r="H34" s="1" t="s">
        <v>31</v>
      </c>
      <c r="I34" s="1" t="s">
        <v>10</v>
      </c>
      <c r="J34" s="1">
        <v>14</v>
      </c>
      <c r="K34" s="14">
        <f>VLOOKUP($C34,Sheet2!$A$2:$D$10,4,0)</f>
        <v>2</v>
      </c>
      <c r="L34" s="14" t="str">
        <f>VLOOKUP($C34,Sheet2!$A$2:$E$10,5,0)</f>
        <v>Bin</v>
      </c>
      <c r="M34" s="14">
        <f t="shared" ref="M34:M35" si="3">J34/K34</f>
        <v>7</v>
      </c>
      <c r="N34" s="1"/>
      <c r="O34" s="1" t="s">
        <v>171</v>
      </c>
      <c r="P34" s="1" t="s">
        <v>412</v>
      </c>
    </row>
    <row r="35" spans="1:16" ht="17.25" customHeight="1" x14ac:dyDescent="0.25">
      <c r="A35" s="15" t="s">
        <v>314</v>
      </c>
      <c r="B35" s="16" t="s">
        <v>292</v>
      </c>
      <c r="C35" s="1" t="s">
        <v>37</v>
      </c>
      <c r="D35" s="1" t="str">
        <f>VLOOKUP($C35,Sheet2!$A$2:$B$10,2,0)</f>
        <v>141150-91211</v>
      </c>
      <c r="E35" s="7" t="s">
        <v>38</v>
      </c>
      <c r="F35" s="12">
        <v>45967</v>
      </c>
      <c r="G35" s="13">
        <v>0.64583333333333337</v>
      </c>
      <c r="H35" s="1" t="s">
        <v>31</v>
      </c>
      <c r="I35" s="1" t="s">
        <v>10</v>
      </c>
      <c r="J35" s="1">
        <v>14</v>
      </c>
      <c r="K35" s="14">
        <f>VLOOKUP($C35,Sheet2!$A$2:$D$10,4,0)</f>
        <v>2</v>
      </c>
      <c r="L35" s="14" t="str">
        <f>VLOOKUP($C35,Sheet2!$A$2:$E$10,5,0)</f>
        <v>Bin</v>
      </c>
      <c r="M35" s="14">
        <f t="shared" si="3"/>
        <v>7</v>
      </c>
      <c r="N35" s="1"/>
      <c r="O35" s="1" t="s">
        <v>171</v>
      </c>
      <c r="P35" s="1" t="s">
        <v>412</v>
      </c>
    </row>
    <row r="36" spans="1:16" ht="17.25" customHeight="1" x14ac:dyDescent="0.25">
      <c r="A36" s="15" t="s">
        <v>314</v>
      </c>
      <c r="B36" s="16" t="s">
        <v>294</v>
      </c>
      <c r="C36" s="1" t="s">
        <v>45</v>
      </c>
      <c r="D36" s="1" t="str">
        <f>VLOOKUP($C36,Sheet2!$A$2:$B$10,2,0)</f>
        <v>141186-74360</v>
      </c>
      <c r="E36" s="7" t="s">
        <v>46</v>
      </c>
      <c r="F36" s="12">
        <v>45967</v>
      </c>
      <c r="G36" s="13">
        <v>0.64583333333333337</v>
      </c>
      <c r="H36" s="1" t="s">
        <v>31</v>
      </c>
      <c r="I36" s="1" t="s">
        <v>10</v>
      </c>
      <c r="J36" s="1">
        <v>80</v>
      </c>
      <c r="K36" s="14">
        <f>VLOOKUP($C36,Sheet2!$A$2:$D$10,4,0)</f>
        <v>40</v>
      </c>
      <c r="L36" s="14" t="str">
        <f>VLOOKUP($C36,Sheet2!$A$2:$E$10,5,0)</f>
        <v>Trolley</v>
      </c>
      <c r="M36" s="14"/>
      <c r="N36" s="1">
        <f>J36/K36</f>
        <v>2</v>
      </c>
      <c r="O36" s="1" t="s">
        <v>171</v>
      </c>
      <c r="P36" s="1">
        <v>910102103</v>
      </c>
    </row>
    <row r="37" spans="1:16" ht="17.25" customHeight="1" x14ac:dyDescent="0.25">
      <c r="A37" s="15" t="s">
        <v>315</v>
      </c>
      <c r="B37" s="16" t="s">
        <v>299</v>
      </c>
      <c r="C37" s="1" t="s">
        <v>50</v>
      </c>
      <c r="D37" s="1" t="str">
        <f>VLOOKUP($C37,Sheet2!$A$2:$B$10,2,0)</f>
        <v>116040-92240</v>
      </c>
      <c r="E37" s="7" t="s">
        <v>51</v>
      </c>
      <c r="F37" s="12">
        <v>45967</v>
      </c>
      <c r="G37" s="13">
        <v>0.64583333333333337</v>
      </c>
      <c r="H37" s="1" t="s">
        <v>52</v>
      </c>
      <c r="I37" s="1" t="s">
        <v>10</v>
      </c>
      <c r="J37" s="1">
        <v>12</v>
      </c>
      <c r="K37" s="14">
        <f>VLOOKUP($C37,Sheet2!$A$2:$D$10,4,0)</f>
        <v>6</v>
      </c>
      <c r="L37" s="14" t="str">
        <f>VLOOKUP($C37,Sheet2!$A$2:$E$10,5,0)</f>
        <v>Bin</v>
      </c>
      <c r="M37" s="14">
        <f t="shared" ref="M37:M39" si="4">J37/K37</f>
        <v>2</v>
      </c>
      <c r="N37" s="1"/>
      <c r="O37" s="1" t="s">
        <v>171</v>
      </c>
      <c r="P37" s="1" t="s">
        <v>413</v>
      </c>
    </row>
    <row r="38" spans="1:16" ht="17.25" customHeight="1" x14ac:dyDescent="0.25">
      <c r="A38" s="15" t="s">
        <v>315</v>
      </c>
      <c r="B38" s="16" t="s">
        <v>304</v>
      </c>
      <c r="C38" s="1" t="s">
        <v>59</v>
      </c>
      <c r="D38" s="1" t="str">
        <f>VLOOKUP($C38,Sheet2!$A$2:$B$10,2,0)</f>
        <v>114010-50820</v>
      </c>
      <c r="E38" s="7" t="s">
        <v>60</v>
      </c>
      <c r="F38" s="12">
        <v>45967</v>
      </c>
      <c r="G38" s="13">
        <v>0.64583333333333337</v>
      </c>
      <c r="H38" s="1" t="s">
        <v>52</v>
      </c>
      <c r="I38" s="1" t="s">
        <v>10</v>
      </c>
      <c r="J38" s="1">
        <v>10</v>
      </c>
      <c r="K38" s="14">
        <f>VLOOKUP($C38,Sheet2!$A$2:$D$10,4,0)</f>
        <v>1</v>
      </c>
      <c r="L38" s="14" t="str">
        <f>VLOOKUP($C38,Sheet2!$A$2:$E$10,5,0)</f>
        <v>Bin</v>
      </c>
      <c r="M38" s="14">
        <f t="shared" si="4"/>
        <v>10</v>
      </c>
      <c r="N38" s="1"/>
      <c r="O38" s="1" t="s">
        <v>171</v>
      </c>
      <c r="P38" s="1" t="s">
        <v>417</v>
      </c>
    </row>
    <row r="39" spans="1:16" ht="17.25" customHeight="1" x14ac:dyDescent="0.25">
      <c r="A39" s="15" t="s">
        <v>315</v>
      </c>
      <c r="B39" s="16" t="s">
        <v>309</v>
      </c>
      <c r="C39" s="1" t="s">
        <v>67</v>
      </c>
      <c r="D39" s="1" t="str">
        <f>VLOOKUP($C39,Sheet2!$A$2:$B$10,2,0)</f>
        <v>114010-50830</v>
      </c>
      <c r="E39" s="7" t="s">
        <v>60</v>
      </c>
      <c r="F39" s="12">
        <v>45967</v>
      </c>
      <c r="G39" s="13">
        <v>0.64583333333333337</v>
      </c>
      <c r="H39" s="1" t="s">
        <v>52</v>
      </c>
      <c r="I39" s="1" t="s">
        <v>10</v>
      </c>
      <c r="J39" s="1">
        <v>4</v>
      </c>
      <c r="K39" s="14">
        <f>VLOOKUP($C39,Sheet2!$A$2:$D$10,4,0)</f>
        <v>1</v>
      </c>
      <c r="L39" s="14" t="str">
        <f>VLOOKUP($C39,Sheet2!$A$2:$E$10,5,0)</f>
        <v>Bin</v>
      </c>
      <c r="M39" s="14">
        <f t="shared" si="4"/>
        <v>4</v>
      </c>
      <c r="N39" s="1"/>
      <c r="O39" s="1" t="s">
        <v>171</v>
      </c>
      <c r="P39" s="1" t="s">
        <v>416</v>
      </c>
    </row>
    <row r="40" spans="1:16" x14ac:dyDescent="0.25">
      <c r="A40" s="9"/>
      <c r="B40" s="9"/>
      <c r="C40" s="9"/>
      <c r="D40" s="10"/>
      <c r="E40" s="9"/>
      <c r="F40" s="9"/>
      <c r="G40" s="9"/>
      <c r="H40" s="9"/>
      <c r="I40" s="9"/>
      <c r="J40" s="9"/>
      <c r="K40" s="9"/>
      <c r="L40" s="9"/>
      <c r="M40" s="9">
        <v>72</v>
      </c>
      <c r="N40" s="9">
        <v>5</v>
      </c>
      <c r="O40" s="9"/>
      <c r="P40" s="9"/>
    </row>
  </sheetData>
  <autoFilter ref="A3:P40" xr:uid="{87151107-441E-4683-9BEC-1CEB38132C34}"/>
  <mergeCells count="5">
    <mergeCell ref="A1:F1"/>
    <mergeCell ref="J1:N1"/>
    <mergeCell ref="N4:N5"/>
    <mergeCell ref="N6:N7"/>
    <mergeCell ref="N21:N22"/>
  </mergeCells>
  <conditionalFormatting sqref="B2">
    <cfRule type="duplicateValues" dxfId="859" priority="38"/>
    <cfRule type="duplicateValues" dxfId="858" priority="39"/>
  </conditionalFormatting>
  <conditionalFormatting sqref="B4:B19 B21:B39">
    <cfRule type="duplicateValues" dxfId="857" priority="31"/>
  </conditionalFormatting>
  <conditionalFormatting sqref="C2:D2">
    <cfRule type="duplicateValues" dxfId="856" priority="40"/>
    <cfRule type="duplicateValues" dxfId="855" priority="41"/>
  </conditionalFormatting>
  <conditionalFormatting sqref="D3">
    <cfRule type="duplicateValues" dxfId="853" priority="36"/>
    <cfRule type="duplicateValues" dxfId="852" priority="37"/>
  </conditionalFormatting>
  <conditionalFormatting sqref="D20">
    <cfRule type="duplicateValues" dxfId="847" priority="19"/>
    <cfRule type="duplicateValues" dxfId="846" priority="20"/>
  </conditionalFormatting>
  <conditionalFormatting sqref="D40">
    <cfRule type="duplicateValues" dxfId="844" priority="5"/>
    <cfRule type="duplicateValues" dxfId="843" priority="6"/>
  </conditionalFormatting>
  <pageMargins left="0.17" right="0.17" top="0.17" bottom="0.22" header="0.3" footer="0.17"/>
  <pageSetup paperSize="9" scale="59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text="17521M68PA0" id="{C426DCCF-5C39-4B28-8935-F4347BC5D30B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C4:D19 C21:D39</xm:sqref>
        </x14:conditionalFormatting>
        <x14:conditionalFormatting xmlns:xm="http://schemas.microsoft.com/office/excel/2006/main">
          <x14:cfRule type="containsText" priority="48" operator="containsText" text="17521M68PA0" id="{CF4F66A9-F51D-4A43-93D9-2FAF336AC0EF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28" operator="containsText" text="17521M74T00" id="{5DC2632C-3239-4CFB-AC60-08F806A24175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29" operator="containsText" text="17521M68PA0" id="{FCCD8F81-C7F4-48D6-9F4F-A8D81AA232AB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0" operator="containsText" text="17521M74T00" id="{AF4108DA-2483-4CE7-A49F-463C6CADA601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D4:D19 D21:D39</xm:sqref>
        </x14:conditionalFormatting>
        <x14:conditionalFormatting xmlns:xm="http://schemas.microsoft.com/office/excel/2006/main">
          <x14:cfRule type="containsText" priority="21" operator="containsText" text="17521M68PA0" id="{7F38ED13-68BB-47E3-9400-DAF69394F032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containsText" priority="7" operator="containsText" text="17521M68PA0" id="{AF9278E2-3415-416C-98A4-2E5B9300C09E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42" operator="containsText" text="17521M68PA0" id="{A28DEE8B-A731-4DB4-B393-4FC130294E00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3" operator="containsText" text="17521M74T00" id="{41CCC52E-A6C6-4795-AFC8-8FAC00EC4561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33" operator="containsText" text="BELT,WATER PUMP - 7PK 975" id="{10FD4019-01EB-45AF-8BB4-A65C0C93E171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DCF582F3-CFEB-48AA-8EF0-E09AE6D9ADEF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E3:E40</xm:sqref>
        </x14:conditionalFormatting>
        <x14:conditionalFormatting xmlns:xm="http://schemas.microsoft.com/office/excel/2006/main">
          <x14:cfRule type="containsText" priority="16" operator="containsText" text="BELT,WATER PUMP - 7PK 975" id="{ED0FC070-EBC8-496F-BC46-4AB65BB78F1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E20</xm:sqref>
        </x14:conditionalFormatting>
        <x14:conditionalFormatting xmlns:xm="http://schemas.microsoft.com/office/excel/2006/main">
          <x14:cfRule type="containsText" priority="2" operator="containsText" text="BELT,WATER PUMP - 7PK 975" id="{D0A8C1A4-1BBD-450E-AB12-46D6311D4290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E40</xm:sqref>
        </x14:conditionalFormatting>
        <x14:conditionalFormatting xmlns:xm="http://schemas.microsoft.com/office/excel/2006/main">
          <x14:cfRule type="containsText" priority="44" operator="containsText" text="BELT,WATER PUMP - 5PK 913" id="{4B2E40EF-2F0B-4EAE-88A1-24DA8B50EC5A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5" operator="containsText" text="BELT,WATER PUMP - 7PK 975" id="{80CC1DB0-679C-41DC-9C08-96F2DCBDFC7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34" operator="containsText" text="5PK 913" id="{84859BBD-D44C-4DF5-BA64-131267DC033F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text="7PK 975" id="{B1FE5B5E-15D2-4DB8-8154-70DECE6D5842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17" operator="containsText" text="5PK 913" id="{F911EDBE-FC42-4811-9385-F3084CE05EB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8" operator="containsText" text="7PK 975" id="{8A572927-303B-4B4F-A76D-44703775EA31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P20:Q20</xm:sqref>
        </x14:conditionalFormatting>
        <x14:conditionalFormatting xmlns:xm="http://schemas.microsoft.com/office/excel/2006/main">
          <x14:cfRule type="containsText" priority="3" operator="containsText" text="5PK 913" id="{870271A8-59CE-445F-A99A-581F29F3279E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7PK 975" id="{8E1E6655-2E8C-448C-B911-331416A3DED7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P40:Q40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8DD7-B484-4565-A8EB-CED660933F4A}">
  <sheetPr>
    <pageSetUpPr fitToPage="1"/>
  </sheetPr>
  <dimension ref="A1:P42"/>
  <sheetViews>
    <sheetView workbookViewId="0">
      <selection activeCell="P3" sqref="P3"/>
    </sheetView>
  </sheetViews>
  <sheetFormatPr defaultRowHeight="15" x14ac:dyDescent="0.25"/>
  <cols>
    <col min="1" max="1" width="14.7109375" customWidth="1"/>
    <col min="2" max="2" width="21.28515625" bestFit="1" customWidth="1"/>
    <col min="3" max="3" width="16.28515625" bestFit="1" customWidth="1"/>
    <col min="4" max="4" width="16.28515625" customWidth="1"/>
    <col min="5" max="5" width="38.7109375" bestFit="1" customWidth="1"/>
    <col min="6" max="6" width="12.42578125" bestFit="1" customWidth="1"/>
    <col min="8" max="8" width="8.28515625" bestFit="1" customWidth="1"/>
    <col min="9" max="9" width="8.140625" bestFit="1" customWidth="1"/>
    <col min="11" max="11" width="16.28515625" customWidth="1"/>
    <col min="12" max="12" width="10.28515625" customWidth="1"/>
    <col min="13" max="13" width="8.85546875" bestFit="1" customWidth="1"/>
    <col min="15" max="15" width="11.42578125" customWidth="1"/>
    <col min="16" max="16" width="27.140625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"/>
      <c r="P1" s="3"/>
    </row>
    <row r="2" spans="1:16" ht="15.75" x14ac:dyDescent="0.25">
      <c r="A2" s="4" t="s">
        <v>74</v>
      </c>
      <c r="B2" s="5">
        <v>45968</v>
      </c>
      <c r="C2" s="6"/>
      <c r="D2" s="6"/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8"/>
    </row>
    <row r="3" spans="1:16" ht="45" x14ac:dyDescent="0.25">
      <c r="A3" s="9" t="s">
        <v>75</v>
      </c>
      <c r="B3" s="9" t="s">
        <v>0</v>
      </c>
      <c r="C3" s="9" t="s">
        <v>1</v>
      </c>
      <c r="D3" s="10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352</v>
      </c>
      <c r="B4" s="16" t="s">
        <v>316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45968</v>
      </c>
      <c r="G4" s="13">
        <v>0.35416666666666669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166</v>
      </c>
      <c r="P4" s="1" t="s">
        <v>410</v>
      </c>
    </row>
    <row r="5" spans="1:16" x14ac:dyDescent="0.25">
      <c r="A5" s="15" t="s">
        <v>352</v>
      </c>
      <c r="B5" s="16" t="s">
        <v>320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45968</v>
      </c>
      <c r="G5" s="13">
        <v>0.35416666666666669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410</v>
      </c>
    </row>
    <row r="6" spans="1:16" x14ac:dyDescent="0.25">
      <c r="A6" s="15" t="s">
        <v>352</v>
      </c>
      <c r="B6" s="16" t="s">
        <v>317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45968</v>
      </c>
      <c r="G6" s="13">
        <v>0.35416666666666669</v>
      </c>
      <c r="H6" s="1" t="s">
        <v>9</v>
      </c>
      <c r="I6" s="1" t="s">
        <v>10</v>
      </c>
      <c r="J6" s="1">
        <v>18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1</v>
      </c>
      <c r="O6" s="1" t="s">
        <v>166</v>
      </c>
      <c r="P6" s="1" t="s">
        <v>410</v>
      </c>
    </row>
    <row r="7" spans="1:16" x14ac:dyDescent="0.25">
      <c r="A7" s="15" t="s">
        <v>352</v>
      </c>
      <c r="B7" s="16" t="s">
        <v>321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45968</v>
      </c>
      <c r="G7" s="13">
        <v>0.35416666666666669</v>
      </c>
      <c r="H7" s="1" t="s">
        <v>9</v>
      </c>
      <c r="I7" s="1" t="s">
        <v>10</v>
      </c>
      <c r="J7" s="1">
        <v>18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166</v>
      </c>
      <c r="P7" s="1" t="s">
        <v>410</v>
      </c>
    </row>
    <row r="8" spans="1:16" x14ac:dyDescent="0.25">
      <c r="A8" s="15" t="s">
        <v>352</v>
      </c>
      <c r="B8" s="16" t="s">
        <v>324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45968</v>
      </c>
      <c r="G8" s="13">
        <v>0.35416666666666669</v>
      </c>
      <c r="H8" s="1" t="s">
        <v>9</v>
      </c>
      <c r="I8" s="1" t="s">
        <v>10</v>
      </c>
      <c r="J8" s="1">
        <v>40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1</v>
      </c>
      <c r="O8" s="1" t="s">
        <v>166</v>
      </c>
      <c r="P8" s="1">
        <v>910101143</v>
      </c>
    </row>
    <row r="9" spans="1:16" x14ac:dyDescent="0.25">
      <c r="A9" s="15" t="s">
        <v>352</v>
      </c>
      <c r="B9" s="16" t="s">
        <v>325</v>
      </c>
      <c r="C9" s="1" t="s">
        <v>23</v>
      </c>
      <c r="D9" s="1" t="str">
        <f>VLOOKUP($C9,Sheet2!$A$2:$B$10,2,0)</f>
        <v>141185-74670</v>
      </c>
      <c r="E9" s="7" t="s">
        <v>24</v>
      </c>
      <c r="F9" s="12">
        <v>45968</v>
      </c>
      <c r="G9" s="13">
        <v>0.35416666666666669</v>
      </c>
      <c r="H9" s="1" t="s">
        <v>9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166</v>
      </c>
      <c r="P9" s="1">
        <v>910101143</v>
      </c>
    </row>
    <row r="10" spans="1:16" x14ac:dyDescent="0.25">
      <c r="A10" s="15" t="s">
        <v>352</v>
      </c>
      <c r="B10" s="16" t="s">
        <v>328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45968</v>
      </c>
      <c r="G10" s="13">
        <v>0.35416666666666669</v>
      </c>
      <c r="H10" s="1" t="s">
        <v>31</v>
      </c>
      <c r="I10" s="1" t="s">
        <v>10</v>
      </c>
      <c r="J10" s="1">
        <v>20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10</v>
      </c>
      <c r="N10" s="1"/>
      <c r="O10" s="1" t="s">
        <v>166</v>
      </c>
      <c r="P10" s="1" t="s">
        <v>412</v>
      </c>
    </row>
    <row r="11" spans="1:16" x14ac:dyDescent="0.25">
      <c r="A11" s="15" t="s">
        <v>352</v>
      </c>
      <c r="B11" s="16" t="s">
        <v>329</v>
      </c>
      <c r="C11" s="1" t="s">
        <v>29</v>
      </c>
      <c r="D11" s="1" t="str">
        <f>VLOOKUP($C11,Sheet2!$A$2:$B$10,2,0)</f>
        <v>141140-91211</v>
      </c>
      <c r="E11" s="7" t="s">
        <v>30</v>
      </c>
      <c r="F11" s="12">
        <v>45968</v>
      </c>
      <c r="G11" s="13">
        <v>0.35416666666666669</v>
      </c>
      <c r="H11" s="1" t="s">
        <v>31</v>
      </c>
      <c r="I11" s="1" t="s">
        <v>10</v>
      </c>
      <c r="J11" s="1">
        <v>26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ref="M11:M13" si="0">J11/K11</f>
        <v>13</v>
      </c>
      <c r="N11" s="1"/>
      <c r="O11" s="1" t="s">
        <v>166</v>
      </c>
      <c r="P11" s="1" t="s">
        <v>412</v>
      </c>
    </row>
    <row r="12" spans="1:16" x14ac:dyDescent="0.25">
      <c r="A12" s="15" t="s">
        <v>352</v>
      </c>
      <c r="B12" s="16" t="s">
        <v>332</v>
      </c>
      <c r="C12" s="1" t="s">
        <v>37</v>
      </c>
      <c r="D12" s="1" t="str">
        <f>VLOOKUP($C12,Sheet2!$A$2:$B$10,2,0)</f>
        <v>141150-91211</v>
      </c>
      <c r="E12" s="7" t="s">
        <v>38</v>
      </c>
      <c r="F12" s="12">
        <v>45968</v>
      </c>
      <c r="G12" s="13">
        <v>0.35416666666666669</v>
      </c>
      <c r="H12" s="1" t="s">
        <v>31</v>
      </c>
      <c r="I12" s="1" t="s">
        <v>10</v>
      </c>
      <c r="J12" s="1">
        <v>20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10</v>
      </c>
      <c r="N12" s="1"/>
      <c r="O12" s="1" t="s">
        <v>166</v>
      </c>
      <c r="P12" s="1" t="s">
        <v>412</v>
      </c>
    </row>
    <row r="13" spans="1:16" x14ac:dyDescent="0.25">
      <c r="A13" s="15" t="s">
        <v>352</v>
      </c>
      <c r="B13" s="16" t="s">
        <v>333</v>
      </c>
      <c r="C13" s="1" t="s">
        <v>37</v>
      </c>
      <c r="D13" s="1" t="str">
        <f>VLOOKUP($C13,Sheet2!$A$2:$B$10,2,0)</f>
        <v>141150-91211</v>
      </c>
      <c r="E13" s="7" t="s">
        <v>38</v>
      </c>
      <c r="F13" s="12">
        <v>45968</v>
      </c>
      <c r="G13" s="13">
        <v>0.35416666666666669</v>
      </c>
      <c r="H13" s="1" t="s">
        <v>31</v>
      </c>
      <c r="I13" s="1" t="s">
        <v>10</v>
      </c>
      <c r="J13" s="1">
        <v>26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si="0"/>
        <v>13</v>
      </c>
      <c r="N13" s="1"/>
      <c r="O13" s="1" t="s">
        <v>166</v>
      </c>
      <c r="P13" s="1" t="s">
        <v>412</v>
      </c>
    </row>
    <row r="14" spans="1:16" x14ac:dyDescent="0.25">
      <c r="A14" s="15" t="s">
        <v>352</v>
      </c>
      <c r="B14" s="16" t="s">
        <v>336</v>
      </c>
      <c r="C14" s="1" t="s">
        <v>45</v>
      </c>
      <c r="D14" s="1" t="str">
        <f>VLOOKUP($C14,Sheet2!$A$2:$B$10,2,0)</f>
        <v>141186-74360</v>
      </c>
      <c r="E14" s="7" t="s">
        <v>46</v>
      </c>
      <c r="F14" s="12">
        <v>45968</v>
      </c>
      <c r="G14" s="13">
        <v>0.35416666666666669</v>
      </c>
      <c r="H14" s="1" t="s">
        <v>31</v>
      </c>
      <c r="I14" s="1" t="s">
        <v>10</v>
      </c>
      <c r="J14" s="1">
        <v>40</v>
      </c>
      <c r="K14" s="14">
        <f>VLOOKUP($C14,Sheet2!$A$2:$D$10,4,0)</f>
        <v>40</v>
      </c>
      <c r="L14" s="14" t="str">
        <f>VLOOKUP($C14,Sheet2!$A$2:$E$10,5,0)</f>
        <v>Trolley</v>
      </c>
      <c r="M14" s="14"/>
      <c r="N14" s="1">
        <f t="shared" ref="N14:N15" si="1">J14/K14</f>
        <v>1</v>
      </c>
      <c r="O14" s="1" t="s">
        <v>166</v>
      </c>
      <c r="P14" s="1">
        <v>910102103</v>
      </c>
    </row>
    <row r="15" spans="1:16" x14ac:dyDescent="0.25">
      <c r="A15" s="15" t="s">
        <v>352</v>
      </c>
      <c r="B15" s="16" t="s">
        <v>337</v>
      </c>
      <c r="C15" s="1" t="s">
        <v>45</v>
      </c>
      <c r="D15" s="1" t="str">
        <f>VLOOKUP($C15,Sheet2!$A$2:$B$10,2,0)</f>
        <v>141186-74360</v>
      </c>
      <c r="E15" s="7" t="s">
        <v>46</v>
      </c>
      <c r="F15" s="12">
        <v>45968</v>
      </c>
      <c r="G15" s="13">
        <v>0.35416666666666669</v>
      </c>
      <c r="H15" s="1" t="s">
        <v>31</v>
      </c>
      <c r="I15" s="1" t="s">
        <v>10</v>
      </c>
      <c r="J15" s="1">
        <v>40</v>
      </c>
      <c r="K15" s="14">
        <f>VLOOKUP($C15,Sheet2!$A$2:$D$10,4,0)</f>
        <v>40</v>
      </c>
      <c r="L15" s="14" t="str">
        <f>VLOOKUP($C15,Sheet2!$A$2:$E$10,5,0)</f>
        <v>Trolley</v>
      </c>
      <c r="M15" s="14"/>
      <c r="N15" s="1">
        <f t="shared" si="1"/>
        <v>1</v>
      </c>
      <c r="O15" s="1" t="s">
        <v>166</v>
      </c>
      <c r="P15" s="1">
        <v>910102103</v>
      </c>
    </row>
    <row r="16" spans="1:16" x14ac:dyDescent="0.25">
      <c r="A16" s="15" t="s">
        <v>353</v>
      </c>
      <c r="B16" s="16" t="s">
        <v>340</v>
      </c>
      <c r="C16" s="1" t="s">
        <v>50</v>
      </c>
      <c r="D16" s="1" t="str">
        <f>VLOOKUP($C16,Sheet2!$A$2:$B$10,2,0)</f>
        <v>116040-92240</v>
      </c>
      <c r="E16" s="7" t="s">
        <v>51</v>
      </c>
      <c r="F16" s="12">
        <v>45968</v>
      </c>
      <c r="G16" s="13">
        <v>0.35416666666666669</v>
      </c>
      <c r="H16" s="1" t="s">
        <v>52</v>
      </c>
      <c r="I16" s="1" t="s">
        <v>10</v>
      </c>
      <c r="J16" s="1">
        <v>24</v>
      </c>
      <c r="K16" s="14">
        <f>VLOOKUP($C16,Sheet2!$A$2:$D$10,4,0)</f>
        <v>6</v>
      </c>
      <c r="L16" s="14" t="str">
        <f>VLOOKUP($C16,Sheet2!$A$2:$E$10,5,0)</f>
        <v>Bin</v>
      </c>
      <c r="M16" s="14">
        <f t="shared" ref="M16:M21" si="2">J16/K16</f>
        <v>4</v>
      </c>
      <c r="N16" s="1"/>
      <c r="O16" s="1" t="s">
        <v>166</v>
      </c>
      <c r="P16" s="1" t="s">
        <v>413</v>
      </c>
    </row>
    <row r="17" spans="1:16" x14ac:dyDescent="0.25">
      <c r="A17" s="15" t="s">
        <v>353</v>
      </c>
      <c r="B17" s="16" t="s">
        <v>341</v>
      </c>
      <c r="C17" s="1" t="s">
        <v>50</v>
      </c>
      <c r="D17" s="1" t="str">
        <f>VLOOKUP($C17,Sheet2!$A$2:$B$10,2,0)</f>
        <v>116040-92240</v>
      </c>
      <c r="E17" s="7" t="s">
        <v>51</v>
      </c>
      <c r="F17" s="12">
        <v>45968</v>
      </c>
      <c r="G17" s="13">
        <v>0.35416666666666669</v>
      </c>
      <c r="H17" s="1" t="s">
        <v>52</v>
      </c>
      <c r="I17" s="1" t="s">
        <v>10</v>
      </c>
      <c r="J17" s="1">
        <v>24</v>
      </c>
      <c r="K17" s="14">
        <f>VLOOKUP($C17,Sheet2!$A$2:$D$10,4,0)</f>
        <v>6</v>
      </c>
      <c r="L17" s="14" t="str">
        <f>VLOOKUP($C17,Sheet2!$A$2:$E$10,5,0)</f>
        <v>Bin</v>
      </c>
      <c r="M17" s="14">
        <f t="shared" si="2"/>
        <v>4</v>
      </c>
      <c r="N17" s="1"/>
      <c r="O17" s="1" t="s">
        <v>166</v>
      </c>
      <c r="P17" s="1" t="s">
        <v>413</v>
      </c>
    </row>
    <row r="18" spans="1:16" x14ac:dyDescent="0.25">
      <c r="A18" s="15" t="s">
        <v>353</v>
      </c>
      <c r="B18" s="16" t="s">
        <v>344</v>
      </c>
      <c r="C18" s="1" t="s">
        <v>59</v>
      </c>
      <c r="D18" s="1" t="str">
        <f>VLOOKUP($C18,Sheet2!$A$2:$B$10,2,0)</f>
        <v>114010-50820</v>
      </c>
      <c r="E18" s="7" t="s">
        <v>60</v>
      </c>
      <c r="F18" s="12">
        <v>45968</v>
      </c>
      <c r="G18" s="13">
        <v>0.35416666666666669</v>
      </c>
      <c r="H18" s="1" t="s">
        <v>52</v>
      </c>
      <c r="I18" s="1" t="s">
        <v>10</v>
      </c>
      <c r="J18" s="1">
        <v>8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2"/>
        <v>8</v>
      </c>
      <c r="N18" s="1"/>
      <c r="O18" s="1" t="s">
        <v>166</v>
      </c>
      <c r="P18" s="1" t="s">
        <v>417</v>
      </c>
    </row>
    <row r="19" spans="1:16" x14ac:dyDescent="0.25">
      <c r="A19" s="15" t="s">
        <v>353</v>
      </c>
      <c r="B19" s="16" t="s">
        <v>345</v>
      </c>
      <c r="C19" s="1" t="s">
        <v>59</v>
      </c>
      <c r="D19" s="1" t="str">
        <f>VLOOKUP($C19,Sheet2!$A$2:$B$10,2,0)</f>
        <v>114010-50820</v>
      </c>
      <c r="E19" s="7" t="s">
        <v>60</v>
      </c>
      <c r="F19" s="12">
        <v>45968</v>
      </c>
      <c r="G19" s="13">
        <v>0.35416666666666669</v>
      </c>
      <c r="H19" s="1" t="s">
        <v>52</v>
      </c>
      <c r="I19" s="1" t="s">
        <v>10</v>
      </c>
      <c r="J19" s="1">
        <v>10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2"/>
        <v>10</v>
      </c>
      <c r="N19" s="1"/>
      <c r="O19" s="1" t="s">
        <v>166</v>
      </c>
      <c r="P19" s="1" t="s">
        <v>417</v>
      </c>
    </row>
    <row r="20" spans="1:16" x14ac:dyDescent="0.25">
      <c r="A20" s="15" t="s">
        <v>353</v>
      </c>
      <c r="B20" s="16" t="s">
        <v>347</v>
      </c>
      <c r="C20" s="1" t="s">
        <v>67</v>
      </c>
      <c r="D20" s="1" t="str">
        <f>VLOOKUP($C20,Sheet2!$A$2:$B$10,2,0)</f>
        <v>114010-50830</v>
      </c>
      <c r="E20" s="7" t="s">
        <v>60</v>
      </c>
      <c r="F20" s="12">
        <v>45968</v>
      </c>
      <c r="G20" s="13">
        <v>0.35416666666666669</v>
      </c>
      <c r="H20" s="1" t="s">
        <v>52</v>
      </c>
      <c r="I20" s="1" t="s">
        <v>10</v>
      </c>
      <c r="J20" s="1">
        <v>11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2"/>
        <v>11</v>
      </c>
      <c r="N20" s="1"/>
      <c r="O20" s="1" t="s">
        <v>166</v>
      </c>
      <c r="P20" s="1" t="s">
        <v>416</v>
      </c>
    </row>
    <row r="21" spans="1:16" x14ac:dyDescent="0.25">
      <c r="A21" s="15" t="s">
        <v>353</v>
      </c>
      <c r="B21" s="16" t="s">
        <v>348</v>
      </c>
      <c r="C21" s="1" t="s">
        <v>67</v>
      </c>
      <c r="D21" s="1" t="str">
        <f>VLOOKUP($C21,Sheet2!$A$2:$B$10,2,0)</f>
        <v>114010-50830</v>
      </c>
      <c r="E21" s="7" t="s">
        <v>60</v>
      </c>
      <c r="F21" s="12">
        <v>45968</v>
      </c>
      <c r="G21" s="13">
        <v>0.35416666666666669</v>
      </c>
      <c r="H21" s="1" t="s">
        <v>52</v>
      </c>
      <c r="I21" s="1" t="s">
        <v>10</v>
      </c>
      <c r="J21" s="1">
        <v>17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17</v>
      </c>
      <c r="N21" s="1"/>
      <c r="O21" s="1" t="s">
        <v>166</v>
      </c>
      <c r="P21" s="1" t="s">
        <v>416</v>
      </c>
    </row>
    <row r="22" spans="1:16" x14ac:dyDescent="0.25">
      <c r="A22" s="9"/>
      <c r="B22" s="9"/>
      <c r="C22" s="9"/>
      <c r="D22" s="10"/>
      <c r="E22" s="9"/>
      <c r="F22" s="9"/>
      <c r="G22" s="9"/>
      <c r="H22" s="9"/>
      <c r="I22" s="9"/>
      <c r="J22" s="9"/>
      <c r="K22" s="9"/>
      <c r="L22" s="9"/>
      <c r="M22" s="9">
        <v>100</v>
      </c>
      <c r="N22" s="9">
        <v>6</v>
      </c>
      <c r="O22" s="9"/>
      <c r="P22" s="9"/>
    </row>
    <row r="23" spans="1:16" x14ac:dyDescent="0.25">
      <c r="A23" s="15" t="s">
        <v>354</v>
      </c>
      <c r="B23" s="16" t="s">
        <v>318</v>
      </c>
      <c r="C23" s="1" t="s">
        <v>7</v>
      </c>
      <c r="D23" s="1" t="str">
        <f>VLOOKUP($C23,Sheet2!$A$2:$B$10,2,0)</f>
        <v>141110-14600</v>
      </c>
      <c r="E23" s="7" t="s">
        <v>8</v>
      </c>
      <c r="F23" s="12">
        <v>45968</v>
      </c>
      <c r="G23" s="13">
        <v>0.60416666666666663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3">
        <v>1</v>
      </c>
      <c r="O23" s="1" t="s">
        <v>119</v>
      </c>
      <c r="P23" s="1" t="s">
        <v>410</v>
      </c>
    </row>
    <row r="24" spans="1:16" x14ac:dyDescent="0.25">
      <c r="A24" s="15" t="s">
        <v>354</v>
      </c>
      <c r="B24" s="16" t="s">
        <v>322</v>
      </c>
      <c r="C24" s="1" t="s">
        <v>16</v>
      </c>
      <c r="D24" s="1" t="str">
        <f>VLOOKUP($C24,Sheet2!$A$2:$B$10,2,0)</f>
        <v>141120-14600</v>
      </c>
      <c r="E24" s="7" t="s">
        <v>17</v>
      </c>
      <c r="F24" s="12">
        <v>45968</v>
      </c>
      <c r="G24" s="13">
        <v>0.60416666666666663</v>
      </c>
      <c r="H24" s="1" t="s">
        <v>9</v>
      </c>
      <c r="I24" s="1" t="s">
        <v>10</v>
      </c>
      <c r="J24" s="1">
        <v>18</v>
      </c>
      <c r="K24" s="14">
        <f>VLOOKUP($C24,Sheet2!$A$2:$D$10,4,0)</f>
        <v>18</v>
      </c>
      <c r="L24" s="14" t="str">
        <f>VLOOKUP($C24,Sheet2!$A$2:$E$10,5,0)</f>
        <v>Trolley (H)</v>
      </c>
      <c r="M24" s="14"/>
      <c r="N24" s="64"/>
      <c r="O24" s="1" t="s">
        <v>119</v>
      </c>
      <c r="P24" s="1" t="s">
        <v>410</v>
      </c>
    </row>
    <row r="25" spans="1:16" x14ac:dyDescent="0.25">
      <c r="A25" s="15" t="s">
        <v>354</v>
      </c>
      <c r="B25" s="16" t="s">
        <v>326</v>
      </c>
      <c r="C25" s="1" t="s">
        <v>23</v>
      </c>
      <c r="D25" s="1" t="str">
        <f>VLOOKUP($C25,Sheet2!$A$2:$B$10,2,0)</f>
        <v>141185-74670</v>
      </c>
      <c r="E25" s="7" t="s">
        <v>24</v>
      </c>
      <c r="F25" s="12">
        <v>45968</v>
      </c>
      <c r="G25" s="13">
        <v>0.60416666666666663</v>
      </c>
      <c r="H25" s="1" t="s">
        <v>9</v>
      </c>
      <c r="I25" s="1" t="s">
        <v>10</v>
      </c>
      <c r="J25" s="1">
        <v>40</v>
      </c>
      <c r="K25" s="14">
        <f>VLOOKUP($C25,Sheet2!$A$2:$D$10,4,0)</f>
        <v>40</v>
      </c>
      <c r="L25" s="14" t="str">
        <f>VLOOKUP($C25,Sheet2!$A$2:$E$10,5,0)</f>
        <v>Trolley</v>
      </c>
      <c r="M25" s="14"/>
      <c r="N25" s="1">
        <f>J25/K25</f>
        <v>1</v>
      </c>
      <c r="O25" s="1" t="s">
        <v>119</v>
      </c>
      <c r="P25" s="1">
        <v>910101143</v>
      </c>
    </row>
    <row r="26" spans="1:16" x14ac:dyDescent="0.25">
      <c r="A26" s="15" t="s">
        <v>354</v>
      </c>
      <c r="B26" s="16" t="s">
        <v>330</v>
      </c>
      <c r="C26" s="1" t="s">
        <v>29</v>
      </c>
      <c r="D26" s="1" t="str">
        <f>VLOOKUP($C26,Sheet2!$A$2:$B$10,2,0)</f>
        <v>141140-91211</v>
      </c>
      <c r="E26" s="7" t="s">
        <v>30</v>
      </c>
      <c r="F26" s="12">
        <v>45968</v>
      </c>
      <c r="G26" s="13">
        <v>0.60416666666666663</v>
      </c>
      <c r="H26" s="1" t="s">
        <v>31</v>
      </c>
      <c r="I26" s="1" t="s">
        <v>10</v>
      </c>
      <c r="J26" s="1">
        <v>20</v>
      </c>
      <c r="K26" s="14">
        <f>VLOOKUP($C26,Sheet2!$A$2:$D$10,4,0)</f>
        <v>2</v>
      </c>
      <c r="L26" s="14" t="str">
        <f>VLOOKUP($C26,Sheet2!$A$2:$E$10,5,0)</f>
        <v>Bin</v>
      </c>
      <c r="M26" s="14">
        <f t="shared" ref="M26:M27" si="3">J26/K26</f>
        <v>10</v>
      </c>
      <c r="N26" s="1"/>
      <c r="O26" s="1" t="s">
        <v>119</v>
      </c>
      <c r="P26" s="1" t="s">
        <v>412</v>
      </c>
    </row>
    <row r="27" spans="1:16" x14ac:dyDescent="0.25">
      <c r="A27" s="15" t="s">
        <v>354</v>
      </c>
      <c r="B27" s="16" t="s">
        <v>334</v>
      </c>
      <c r="C27" s="1" t="s">
        <v>37</v>
      </c>
      <c r="D27" s="1" t="str">
        <f>VLOOKUP($C27,Sheet2!$A$2:$B$10,2,0)</f>
        <v>141150-91211</v>
      </c>
      <c r="E27" s="7" t="s">
        <v>38</v>
      </c>
      <c r="F27" s="12">
        <v>45968</v>
      </c>
      <c r="G27" s="13">
        <v>0.60416666666666663</v>
      </c>
      <c r="H27" s="1" t="s">
        <v>31</v>
      </c>
      <c r="I27" s="1" t="s">
        <v>10</v>
      </c>
      <c r="J27" s="1">
        <v>20</v>
      </c>
      <c r="K27" s="14">
        <f>VLOOKUP($C27,Sheet2!$A$2:$D$10,4,0)</f>
        <v>2</v>
      </c>
      <c r="L27" s="14" t="str">
        <f>VLOOKUP($C27,Sheet2!$A$2:$E$10,5,0)</f>
        <v>Bin</v>
      </c>
      <c r="M27" s="14">
        <f t="shared" si="3"/>
        <v>10</v>
      </c>
      <c r="N27" s="1"/>
      <c r="O27" s="1" t="s">
        <v>119</v>
      </c>
      <c r="P27" s="1" t="s">
        <v>412</v>
      </c>
    </row>
    <row r="28" spans="1:16" x14ac:dyDescent="0.25">
      <c r="A28" s="15" t="s">
        <v>354</v>
      </c>
      <c r="B28" s="16" t="s">
        <v>338</v>
      </c>
      <c r="C28" s="1" t="s">
        <v>45</v>
      </c>
      <c r="D28" s="1" t="str">
        <f>VLOOKUP($C28,Sheet2!$A$2:$B$10,2,0)</f>
        <v>141186-74360</v>
      </c>
      <c r="E28" s="7" t="s">
        <v>46</v>
      </c>
      <c r="F28" s="12">
        <v>45968</v>
      </c>
      <c r="G28" s="13">
        <v>0.60416666666666663</v>
      </c>
      <c r="H28" s="1" t="s">
        <v>31</v>
      </c>
      <c r="I28" s="1" t="s">
        <v>10</v>
      </c>
      <c r="J28" s="1">
        <v>40</v>
      </c>
      <c r="K28" s="14">
        <f>VLOOKUP($C28,Sheet2!$A$2:$D$10,4,0)</f>
        <v>40</v>
      </c>
      <c r="L28" s="14" t="str">
        <f>VLOOKUP($C28,Sheet2!$A$2:$E$10,5,0)</f>
        <v>Trolley</v>
      </c>
      <c r="M28" s="14"/>
      <c r="N28" s="1">
        <f>J28/K28</f>
        <v>1</v>
      </c>
      <c r="O28" s="1" t="s">
        <v>119</v>
      </c>
      <c r="P28" s="1">
        <v>910102103</v>
      </c>
    </row>
    <row r="29" spans="1:16" x14ac:dyDescent="0.25">
      <c r="A29" s="15" t="s">
        <v>355</v>
      </c>
      <c r="B29" s="16" t="s">
        <v>342</v>
      </c>
      <c r="C29" s="1" t="s">
        <v>50</v>
      </c>
      <c r="D29" s="1" t="str">
        <f>VLOOKUP($C29,Sheet2!$A$2:$B$10,2,0)</f>
        <v>116040-92240</v>
      </c>
      <c r="E29" s="7" t="s">
        <v>51</v>
      </c>
      <c r="F29" s="12">
        <v>45968</v>
      </c>
      <c r="G29" s="13">
        <v>0.60416666666666663</v>
      </c>
      <c r="H29" s="1" t="s">
        <v>52</v>
      </c>
      <c r="I29" s="1" t="s">
        <v>10</v>
      </c>
      <c r="J29" s="1">
        <v>18</v>
      </c>
      <c r="K29" s="14">
        <f>VLOOKUP($C29,Sheet2!$A$2:$D$10,4,0)</f>
        <v>6</v>
      </c>
      <c r="L29" s="14" t="str">
        <f>VLOOKUP($C29,Sheet2!$A$2:$E$10,5,0)</f>
        <v>Bin</v>
      </c>
      <c r="M29" s="14">
        <f t="shared" ref="M29:M31" si="4">J29/K29</f>
        <v>3</v>
      </c>
      <c r="N29" s="1"/>
      <c r="O29" s="1" t="s">
        <v>119</v>
      </c>
      <c r="P29" s="1" t="s">
        <v>463</v>
      </c>
    </row>
    <row r="30" spans="1:16" x14ac:dyDescent="0.25">
      <c r="A30" s="15" t="s">
        <v>355</v>
      </c>
      <c r="B30" s="16" t="s">
        <v>349</v>
      </c>
      <c r="C30" s="1" t="s">
        <v>67</v>
      </c>
      <c r="D30" s="1" t="str">
        <f>VLOOKUP($C30,Sheet2!$A$2:$B$10,2,0)</f>
        <v>114010-50830</v>
      </c>
      <c r="E30" s="7" t="s">
        <v>60</v>
      </c>
      <c r="F30" s="12">
        <v>45968</v>
      </c>
      <c r="G30" s="13">
        <v>0.60416666666666663</v>
      </c>
      <c r="H30" s="1" t="s">
        <v>52</v>
      </c>
      <c r="I30" s="1" t="s">
        <v>10</v>
      </c>
      <c r="J30" s="1">
        <v>12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si="4"/>
        <v>12</v>
      </c>
      <c r="N30" s="1"/>
      <c r="O30" s="1" t="s">
        <v>119</v>
      </c>
      <c r="P30" s="1" t="s">
        <v>416</v>
      </c>
    </row>
    <row r="31" spans="1:16" x14ac:dyDescent="0.25">
      <c r="A31" s="15" t="s">
        <v>355</v>
      </c>
      <c r="B31" s="16" t="s">
        <v>350</v>
      </c>
      <c r="C31" s="1" t="s">
        <v>67</v>
      </c>
      <c r="D31" s="1" t="str">
        <f>VLOOKUP($C31,Sheet2!$A$2:$B$10,2,0)</f>
        <v>114010-50830</v>
      </c>
      <c r="E31" s="7" t="s">
        <v>60</v>
      </c>
      <c r="F31" s="12">
        <v>45968</v>
      </c>
      <c r="G31" s="13">
        <v>0.60416666666666663</v>
      </c>
      <c r="H31" s="1" t="s">
        <v>52</v>
      </c>
      <c r="I31" s="1" t="s">
        <v>10</v>
      </c>
      <c r="J31" s="1">
        <v>4</v>
      </c>
      <c r="K31" s="14">
        <f>VLOOKUP($C31,Sheet2!$A$2:$D$10,4,0)</f>
        <v>1</v>
      </c>
      <c r="L31" s="14" t="str">
        <f>VLOOKUP($C31,Sheet2!$A$2:$E$10,5,0)</f>
        <v>Bin</v>
      </c>
      <c r="M31" s="14">
        <f t="shared" si="4"/>
        <v>4</v>
      </c>
      <c r="N31" s="1"/>
      <c r="O31" s="1" t="s">
        <v>119</v>
      </c>
      <c r="P31" s="1" t="s">
        <v>416</v>
      </c>
    </row>
    <row r="32" spans="1:16" x14ac:dyDescent="0.25">
      <c r="A32" s="9"/>
      <c r="B32" s="9"/>
      <c r="C32" s="9"/>
      <c r="D32" s="10"/>
      <c r="E32" s="9"/>
      <c r="F32" s="9"/>
      <c r="G32" s="9"/>
      <c r="H32" s="9"/>
      <c r="I32" s="9"/>
      <c r="J32" s="9"/>
      <c r="K32" s="9"/>
      <c r="L32" s="9"/>
      <c r="M32" s="9">
        <v>39</v>
      </c>
      <c r="N32" s="9">
        <v>3</v>
      </c>
      <c r="O32" s="9"/>
      <c r="P32" s="9"/>
    </row>
    <row r="33" spans="1:16" x14ac:dyDescent="0.25">
      <c r="A33" s="15" t="s">
        <v>356</v>
      </c>
      <c r="B33" s="16" t="s">
        <v>319</v>
      </c>
      <c r="C33" s="1" t="s">
        <v>7</v>
      </c>
      <c r="D33" s="1" t="str">
        <f>VLOOKUP($C33,Sheet2!$A$2:$B$10,2,0)</f>
        <v>141110-14600</v>
      </c>
      <c r="E33" s="7" t="s">
        <v>8</v>
      </c>
      <c r="F33" s="12">
        <v>45968</v>
      </c>
      <c r="G33" s="13">
        <v>0.64583333333333337</v>
      </c>
      <c r="H33" s="1" t="s">
        <v>9</v>
      </c>
      <c r="I33" s="1" t="s">
        <v>10</v>
      </c>
      <c r="J33" s="1">
        <v>18</v>
      </c>
      <c r="K33" s="14">
        <f>VLOOKUP($C33,Sheet2!$A$2:$D$10,4,0)</f>
        <v>18</v>
      </c>
      <c r="L33" s="14" t="str">
        <f>VLOOKUP($C33,Sheet2!$A$2:$E$10,5,0)</f>
        <v>Trolley (H)</v>
      </c>
      <c r="M33" s="14"/>
      <c r="N33" s="63">
        <v>1</v>
      </c>
      <c r="O33" s="1" t="s">
        <v>171</v>
      </c>
      <c r="P33" s="1" t="s">
        <v>410</v>
      </c>
    </row>
    <row r="34" spans="1:16" x14ac:dyDescent="0.25">
      <c r="A34" s="15" t="s">
        <v>356</v>
      </c>
      <c r="B34" s="16" t="s">
        <v>323</v>
      </c>
      <c r="C34" s="1" t="s">
        <v>16</v>
      </c>
      <c r="D34" s="1" t="str">
        <f>VLOOKUP($C34,Sheet2!$A$2:$B$10,2,0)</f>
        <v>141120-14600</v>
      </c>
      <c r="E34" s="7" t="s">
        <v>17</v>
      </c>
      <c r="F34" s="12">
        <v>45968</v>
      </c>
      <c r="G34" s="13">
        <v>0.64583333333333337</v>
      </c>
      <c r="H34" s="1" t="s">
        <v>9</v>
      </c>
      <c r="I34" s="1" t="s">
        <v>10</v>
      </c>
      <c r="J34" s="1">
        <v>18</v>
      </c>
      <c r="K34" s="14">
        <f>VLOOKUP($C34,Sheet2!$A$2:$D$10,4,0)</f>
        <v>18</v>
      </c>
      <c r="L34" s="14" t="str">
        <f>VLOOKUP($C34,Sheet2!$A$2:$E$10,5,0)</f>
        <v>Trolley (H)</v>
      </c>
      <c r="M34" s="14"/>
      <c r="N34" s="64"/>
      <c r="O34" s="1" t="s">
        <v>171</v>
      </c>
      <c r="P34" s="1" t="s">
        <v>410</v>
      </c>
    </row>
    <row r="35" spans="1:16" x14ac:dyDescent="0.25">
      <c r="A35" s="15" t="s">
        <v>356</v>
      </c>
      <c r="B35" s="16" t="s">
        <v>327</v>
      </c>
      <c r="C35" s="1" t="s">
        <v>23</v>
      </c>
      <c r="D35" s="1" t="str">
        <f>VLOOKUP($C35,Sheet2!$A$2:$B$10,2,0)</f>
        <v>141185-74670</v>
      </c>
      <c r="E35" s="7" t="s">
        <v>24</v>
      </c>
      <c r="F35" s="12">
        <v>45968</v>
      </c>
      <c r="G35" s="13">
        <v>0.64583333333333337</v>
      </c>
      <c r="H35" s="1" t="s">
        <v>9</v>
      </c>
      <c r="I35" s="1" t="s">
        <v>10</v>
      </c>
      <c r="J35" s="1">
        <v>40</v>
      </c>
      <c r="K35" s="14">
        <f>VLOOKUP($C35,Sheet2!$A$2:$D$10,4,0)</f>
        <v>40</v>
      </c>
      <c r="L35" s="14" t="str">
        <f>VLOOKUP($C35,Sheet2!$A$2:$E$10,5,0)</f>
        <v>Trolley</v>
      </c>
      <c r="M35" s="14"/>
      <c r="N35" s="1">
        <f>J35/K35</f>
        <v>1</v>
      </c>
      <c r="O35" s="1" t="s">
        <v>171</v>
      </c>
      <c r="P35" s="1">
        <v>910101143</v>
      </c>
    </row>
    <row r="36" spans="1:16" x14ac:dyDescent="0.25">
      <c r="A36" s="15" t="s">
        <v>356</v>
      </c>
      <c r="B36" s="16" t="s">
        <v>331</v>
      </c>
      <c r="C36" s="1" t="s">
        <v>29</v>
      </c>
      <c r="D36" s="1" t="str">
        <f>VLOOKUP($C36,Sheet2!$A$2:$B$10,2,0)</f>
        <v>141140-91211</v>
      </c>
      <c r="E36" s="7" t="s">
        <v>30</v>
      </c>
      <c r="F36" s="12">
        <v>45968</v>
      </c>
      <c r="G36" s="13">
        <v>0.64583333333333337</v>
      </c>
      <c r="H36" s="1" t="s">
        <v>31</v>
      </c>
      <c r="I36" s="1" t="s">
        <v>10</v>
      </c>
      <c r="J36" s="1">
        <v>8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ref="M36:M37" si="5">J36/K36</f>
        <v>4</v>
      </c>
      <c r="N36" s="1"/>
      <c r="O36" s="1" t="s">
        <v>171</v>
      </c>
      <c r="P36" s="1" t="s">
        <v>412</v>
      </c>
    </row>
    <row r="37" spans="1:16" x14ac:dyDescent="0.25">
      <c r="A37" s="15" t="s">
        <v>356</v>
      </c>
      <c r="B37" s="16" t="s">
        <v>335</v>
      </c>
      <c r="C37" s="1" t="s">
        <v>37</v>
      </c>
      <c r="D37" s="1" t="str">
        <f>VLOOKUP($C37,Sheet2!$A$2:$B$10,2,0)</f>
        <v>141150-91211</v>
      </c>
      <c r="E37" s="7" t="s">
        <v>38</v>
      </c>
      <c r="F37" s="12">
        <v>45968</v>
      </c>
      <c r="G37" s="13">
        <v>0.64583333333333337</v>
      </c>
      <c r="H37" s="1" t="s">
        <v>31</v>
      </c>
      <c r="I37" s="1" t="s">
        <v>10</v>
      </c>
      <c r="J37" s="1">
        <v>8</v>
      </c>
      <c r="K37" s="14">
        <f>VLOOKUP($C37,Sheet2!$A$2:$D$10,4,0)</f>
        <v>2</v>
      </c>
      <c r="L37" s="14" t="str">
        <f>VLOOKUP($C37,Sheet2!$A$2:$E$10,5,0)</f>
        <v>Bin</v>
      </c>
      <c r="M37" s="14">
        <f t="shared" si="5"/>
        <v>4</v>
      </c>
      <c r="N37" s="1"/>
      <c r="O37" s="1" t="s">
        <v>171</v>
      </c>
      <c r="P37" s="1" t="s">
        <v>412</v>
      </c>
    </row>
    <row r="38" spans="1:16" x14ac:dyDescent="0.25">
      <c r="A38" s="15" t="s">
        <v>356</v>
      </c>
      <c r="B38" s="16" t="s">
        <v>339</v>
      </c>
      <c r="C38" s="1" t="s">
        <v>45</v>
      </c>
      <c r="D38" s="1" t="str">
        <f>VLOOKUP($C38,Sheet2!$A$2:$B$10,2,0)</f>
        <v>141186-74360</v>
      </c>
      <c r="E38" s="7" t="s">
        <v>46</v>
      </c>
      <c r="F38" s="12">
        <v>45968</v>
      </c>
      <c r="G38" s="13">
        <v>0.64583333333333337</v>
      </c>
      <c r="H38" s="1" t="s">
        <v>31</v>
      </c>
      <c r="I38" s="1" t="s">
        <v>10</v>
      </c>
      <c r="J38" s="1">
        <v>40</v>
      </c>
      <c r="K38" s="14">
        <f>VLOOKUP($C38,Sheet2!$A$2:$D$10,4,0)</f>
        <v>40</v>
      </c>
      <c r="L38" s="14" t="str">
        <f>VLOOKUP($C38,Sheet2!$A$2:$E$10,5,0)</f>
        <v>Trolley</v>
      </c>
      <c r="M38" s="14"/>
      <c r="N38" s="1">
        <f>J38/K38</f>
        <v>1</v>
      </c>
      <c r="O38" s="1" t="s">
        <v>171</v>
      </c>
      <c r="P38" s="1">
        <v>910102103</v>
      </c>
    </row>
    <row r="39" spans="1:16" x14ac:dyDescent="0.25">
      <c r="A39" s="15" t="s">
        <v>357</v>
      </c>
      <c r="B39" s="16" t="s">
        <v>343</v>
      </c>
      <c r="C39" s="1" t="s">
        <v>50</v>
      </c>
      <c r="D39" s="1" t="str">
        <f>VLOOKUP($C39,Sheet2!$A$2:$B$10,2,0)</f>
        <v>116040-92240</v>
      </c>
      <c r="E39" s="7" t="s">
        <v>51</v>
      </c>
      <c r="F39" s="12">
        <v>45968</v>
      </c>
      <c r="G39" s="13">
        <v>0.64583333333333337</v>
      </c>
      <c r="H39" s="1" t="s">
        <v>52</v>
      </c>
      <c r="I39" s="1" t="s">
        <v>10</v>
      </c>
      <c r="J39" s="1">
        <v>6</v>
      </c>
      <c r="K39" s="14">
        <f>VLOOKUP($C39,Sheet2!$A$2:$D$10,4,0)</f>
        <v>6</v>
      </c>
      <c r="L39" s="14" t="str">
        <f>VLOOKUP($C39,Sheet2!$A$2:$E$10,5,0)</f>
        <v>Bin</v>
      </c>
      <c r="M39" s="14">
        <f t="shared" ref="M39:M41" si="6">J39/K39</f>
        <v>1</v>
      </c>
      <c r="N39" s="1"/>
      <c r="O39" s="1" t="s">
        <v>171</v>
      </c>
      <c r="P39" s="1" t="s">
        <v>463</v>
      </c>
    </row>
    <row r="40" spans="1:16" x14ac:dyDescent="0.25">
      <c r="A40" s="15" t="s">
        <v>357</v>
      </c>
      <c r="B40" s="16" t="s">
        <v>346</v>
      </c>
      <c r="C40" s="1" t="s">
        <v>59</v>
      </c>
      <c r="D40" s="1" t="str">
        <f>VLOOKUP($C40,Sheet2!$A$2:$B$10,2,0)</f>
        <v>114010-50820</v>
      </c>
      <c r="E40" s="7" t="s">
        <v>60</v>
      </c>
      <c r="F40" s="12">
        <v>45968</v>
      </c>
      <c r="G40" s="13">
        <v>0.64583333333333337</v>
      </c>
      <c r="H40" s="1" t="s">
        <v>52</v>
      </c>
      <c r="I40" s="1" t="s">
        <v>10</v>
      </c>
      <c r="J40" s="1">
        <v>6</v>
      </c>
      <c r="K40" s="14">
        <f>VLOOKUP($C40,Sheet2!$A$2:$D$10,4,0)</f>
        <v>1</v>
      </c>
      <c r="L40" s="14" t="str">
        <f>VLOOKUP($C40,Sheet2!$A$2:$E$10,5,0)</f>
        <v>Bin</v>
      </c>
      <c r="M40" s="14">
        <f t="shared" si="6"/>
        <v>6</v>
      </c>
      <c r="N40" s="1"/>
      <c r="O40" s="1" t="s">
        <v>171</v>
      </c>
      <c r="P40" s="1" t="s">
        <v>417</v>
      </c>
    </row>
    <row r="41" spans="1:16" x14ac:dyDescent="0.25">
      <c r="A41" s="15" t="s">
        <v>357</v>
      </c>
      <c r="B41" s="16" t="s">
        <v>351</v>
      </c>
      <c r="C41" s="1" t="s">
        <v>67</v>
      </c>
      <c r="D41" s="1" t="str">
        <f>VLOOKUP($C41,Sheet2!$A$2:$B$10,2,0)</f>
        <v>114010-50830</v>
      </c>
      <c r="E41" s="7" t="s">
        <v>60</v>
      </c>
      <c r="F41" s="12">
        <v>45968</v>
      </c>
      <c r="G41" s="13">
        <v>0.64583333333333337</v>
      </c>
      <c r="H41" s="1" t="s">
        <v>52</v>
      </c>
      <c r="I41" s="1" t="s">
        <v>10</v>
      </c>
      <c r="J41" s="1">
        <v>9</v>
      </c>
      <c r="K41" s="14">
        <f>VLOOKUP($C41,Sheet2!$A$2:$D$10,4,0)</f>
        <v>1</v>
      </c>
      <c r="L41" s="14" t="str">
        <f>VLOOKUP($C41,Sheet2!$A$2:$E$10,5,0)</f>
        <v>Bin</v>
      </c>
      <c r="M41" s="14">
        <f t="shared" si="6"/>
        <v>9</v>
      </c>
      <c r="N41" s="1"/>
      <c r="O41" s="1" t="s">
        <v>171</v>
      </c>
      <c r="P41" s="1" t="s">
        <v>416</v>
      </c>
    </row>
    <row r="42" spans="1:16" x14ac:dyDescent="0.25">
      <c r="A42" s="9"/>
      <c r="B42" s="9"/>
      <c r="C42" s="9"/>
      <c r="D42" s="10"/>
      <c r="E42" s="9"/>
      <c r="F42" s="9"/>
      <c r="G42" s="9"/>
      <c r="H42" s="9"/>
      <c r="I42" s="9"/>
      <c r="J42" s="9"/>
      <c r="K42" s="9"/>
      <c r="L42" s="9"/>
      <c r="M42" s="9">
        <v>24</v>
      </c>
      <c r="N42" s="9">
        <v>3</v>
      </c>
      <c r="O42" s="9"/>
      <c r="P42" s="9"/>
    </row>
  </sheetData>
  <autoFilter ref="A3:P42" xr:uid="{0B8B8DD7-B484-4565-A8EB-CED660933F4A}"/>
  <mergeCells count="6">
    <mergeCell ref="N33:N34"/>
    <mergeCell ref="A1:F1"/>
    <mergeCell ref="J1:N1"/>
    <mergeCell ref="N4:N5"/>
    <mergeCell ref="N6:N7"/>
    <mergeCell ref="N23:N24"/>
  </mergeCells>
  <conditionalFormatting sqref="B2">
    <cfRule type="duplicateValues" dxfId="827" priority="45"/>
    <cfRule type="duplicateValues" dxfId="826" priority="44"/>
  </conditionalFormatting>
  <conditionalFormatting sqref="B4:B9 B23:B31 B33:B41 B11:B21">
    <cfRule type="duplicateValues" dxfId="825" priority="37"/>
  </conditionalFormatting>
  <conditionalFormatting sqref="B10">
    <cfRule type="duplicateValues" dxfId="824" priority="6"/>
  </conditionalFormatting>
  <conditionalFormatting sqref="C2:D2">
    <cfRule type="duplicateValues" dxfId="823" priority="46"/>
    <cfRule type="duplicateValues" dxfId="822" priority="47"/>
  </conditionalFormatting>
  <conditionalFormatting sqref="D3">
    <cfRule type="duplicateValues" dxfId="819" priority="42"/>
    <cfRule type="duplicateValues" dxfId="817" priority="43"/>
  </conditionalFormatting>
  <conditionalFormatting sqref="D22">
    <cfRule type="duplicateValues" dxfId="812" priority="26"/>
    <cfRule type="duplicateValues" dxfId="811" priority="25"/>
  </conditionalFormatting>
  <conditionalFormatting sqref="D32">
    <cfRule type="duplicateValues" dxfId="807" priority="19"/>
    <cfRule type="duplicateValues" dxfId="805" priority="18"/>
  </conditionalFormatting>
  <conditionalFormatting sqref="D42">
    <cfRule type="duplicateValues" dxfId="803" priority="12"/>
    <cfRule type="duplicateValues" dxfId="802" priority="11"/>
  </conditionalFormatting>
  <pageMargins left="0.7" right="0.7" top="0.75" bottom="0.75" header="0.3" footer="0.3"/>
  <pageSetup paperSize="9" scale="55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text="17521M68PA0" id="{55ADC6EA-84A4-43EF-B5A8-3A19288C3302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C4:D21</xm:sqref>
        </x14:conditionalFormatting>
        <x14:conditionalFormatting xmlns:xm="http://schemas.microsoft.com/office/excel/2006/main">
          <x14:cfRule type="containsText" priority="33" operator="containsText" text="17521M68PA0" id="{158576B6-9BD9-4FE4-B9A3-FA96105F692A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C23:D31 C33:D41</xm:sqref>
        </x14:conditionalFormatting>
        <x14:conditionalFormatting xmlns:xm="http://schemas.microsoft.com/office/excel/2006/main">
          <x14:cfRule type="containsText" priority="52" operator="containsText" text="17521M68PA0" id="{D592A60A-F144-4C3B-9A82-1A3B8226EBF2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4" operator="containsText" text="17521M68PA0" id="{4CB96446-56B3-48D8-961E-0690B077CE2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" operator="containsText" text="17521M74T00" id="{27826D0C-4014-4FFE-A904-3125FEF50B82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D4:D10</xm:sqref>
        </x14:conditionalFormatting>
        <x14:conditionalFormatting xmlns:xm="http://schemas.microsoft.com/office/excel/2006/main">
          <x14:cfRule type="containsText" priority="3" operator="containsText" text="17521M74T00" id="{64C5AC31-4D70-4668-AD44-3D03E3E41278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D4:D21</xm:sqref>
        </x14:conditionalFormatting>
        <x14:conditionalFormatting xmlns:xm="http://schemas.microsoft.com/office/excel/2006/main">
          <x14:cfRule type="containsText" priority="27" operator="containsText" text="17521M68PA0" id="{AB2EB8D1-0F94-4959-BA0A-F3B89293A392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D11:D22</xm:sqref>
        </x14:conditionalFormatting>
        <x14:conditionalFormatting xmlns:xm="http://schemas.microsoft.com/office/excel/2006/main">
          <x14:cfRule type="containsText" priority="36" operator="containsText" text="17521M74T00" id="{F3D47271-A77E-4851-B042-4578443810F0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D23:D31 D33:D41 D11:D21</xm:sqref>
        </x14:conditionalFormatting>
        <x14:conditionalFormatting xmlns:xm="http://schemas.microsoft.com/office/excel/2006/main">
          <x14:cfRule type="containsText" priority="34" operator="containsText" text="17521M74T00" id="{1BE3FAE3-8189-48B5-8703-21AFC18473EA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5" operator="containsText" text="17521M68PA0" id="{12C5FDC3-C15B-41F5-8DC8-6C2A9CA6DC8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D23:D31 D33:D41</xm:sqref>
        </x14:conditionalFormatting>
        <x14:conditionalFormatting xmlns:xm="http://schemas.microsoft.com/office/excel/2006/main">
          <x14:cfRule type="containsText" priority="20" operator="containsText" text="17521M68PA0" id="{687921E4-46A5-4121-8F2D-216D43549B2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containsText" priority="13" operator="containsText" text="17521M68PA0" id="{9583BF20-1A8D-43CC-A36A-D2578619747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D42</xm:sqref>
        </x14:conditionalFormatting>
        <x14:conditionalFormatting xmlns:xm="http://schemas.microsoft.com/office/excel/2006/main">
          <x14:cfRule type="containsText" priority="48" operator="containsText" text="17521M68PA0" id="{DEDE218C-9D51-4690-8E16-E63055D1A04C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9" operator="containsText" text="17521M74T00" id="{7A1A3C3B-80D1-4D1B-8DAE-00470327A65B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39" operator="containsText" text="BELT,WATER PUMP - 7PK 975" id="{EFCCA804-E07A-4597-B4F7-B994F2F35A2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BB2000A4-48D4-4BFF-8020-726E8F4AE880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E3:E42</xm:sqref>
        </x14:conditionalFormatting>
        <x14:conditionalFormatting xmlns:xm="http://schemas.microsoft.com/office/excel/2006/main">
          <x14:cfRule type="containsText" priority="22" operator="containsText" text="BELT,WATER PUMP - 7PK 975" id="{6F06F8EB-3EF7-4300-8AC1-B8B7CC60818E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15" operator="containsText" text="BELT,WATER PUMP - 7PK 975" id="{EB8CD996-10C9-429E-AF26-24C71DD9455D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E32</xm:sqref>
        </x14:conditionalFormatting>
        <x14:conditionalFormatting xmlns:xm="http://schemas.microsoft.com/office/excel/2006/main">
          <x14:cfRule type="containsText" priority="8" operator="containsText" text="BELT,WATER PUMP - 7PK 975" id="{9804A9A8-1359-4E96-9D4B-9D8E98D97F44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E42</xm:sqref>
        </x14:conditionalFormatting>
        <x14:conditionalFormatting xmlns:xm="http://schemas.microsoft.com/office/excel/2006/main">
          <x14:cfRule type="containsText" priority="50" operator="containsText" text="BELT,WATER PUMP - 5PK 913" id="{6D4ED439-94E7-40A0-9C70-02F9B08F7A2A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1" operator="containsText" text="BELT,WATER PUMP - 7PK 975" id="{161D03BB-AFCF-4527-A0E7-2BA47FE43BD7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0" operator="containsText" text="5PK 913" id="{0E8AB676-3358-4C23-A171-2AE826BC4DC3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1" operator="containsText" text="7PK 975" id="{3F7C78F8-B0CC-4E74-AFD4-2EE50BFFE5A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3" operator="containsText" text="5PK 913" id="{5AA140D2-8932-419D-922C-92AE20E9E3A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4" operator="containsText" text="7PK 975" id="{9A1F0576-6E8B-49C6-866C-3E3A2A8D05B0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P22:Q22</xm:sqref>
        </x14:conditionalFormatting>
        <x14:conditionalFormatting xmlns:xm="http://schemas.microsoft.com/office/excel/2006/main">
          <x14:cfRule type="containsText" priority="17" operator="containsText" text="7PK 975" id="{ECB0EEE1-B737-4C51-AD16-1B00E7FDAAB2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" operator="containsText" text="5PK 913" id="{68659746-19D2-4016-9662-52DB0BAE200F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P32:Q32</xm:sqref>
        </x14:conditionalFormatting>
        <x14:conditionalFormatting xmlns:xm="http://schemas.microsoft.com/office/excel/2006/main">
          <x14:cfRule type="containsText" priority="9" operator="containsText" text="5PK 913" id="{D92EF27E-A042-41FE-BB04-FA3AC1A62AE0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0" operator="containsText" text="7PK 975" id="{90905FC4-CA9D-4B97-BC85-F62D0B8856FC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P42:Q42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4085-464A-4F26-84B5-0E5BCDC20E8C}">
  <sheetPr>
    <pageSetUpPr fitToPage="1"/>
  </sheetPr>
  <dimension ref="A1:S52"/>
  <sheetViews>
    <sheetView zoomScaleNormal="100" workbookViewId="0">
      <selection activeCell="P3" sqref="P3"/>
    </sheetView>
  </sheetViews>
  <sheetFormatPr defaultColWidth="68.140625" defaultRowHeight="15" x14ac:dyDescent="0.25"/>
  <cols>
    <col min="1" max="1" width="16.28515625" bestFit="1" customWidth="1"/>
    <col min="2" max="2" width="16.7109375" bestFit="1" customWidth="1"/>
    <col min="3" max="3" width="14.140625" bestFit="1" customWidth="1"/>
    <col min="4" max="4" width="14.140625" customWidth="1"/>
    <col min="5" max="5" width="32.5703125" bestFit="1" customWidth="1"/>
    <col min="6" max="6" width="12.7109375" bestFit="1" customWidth="1"/>
    <col min="7" max="7" width="9.28515625" customWidth="1"/>
    <col min="8" max="8" width="12.85546875" customWidth="1"/>
    <col min="9" max="9" width="4.7109375" bestFit="1" customWidth="1"/>
    <col min="10" max="10" width="8" bestFit="1" customWidth="1"/>
    <col min="11" max="11" width="9.85546875" customWidth="1"/>
    <col min="12" max="12" width="14" customWidth="1"/>
    <col min="13" max="13" width="7.140625" bestFit="1" customWidth="1"/>
    <col min="14" max="14" width="7.85546875" bestFit="1" customWidth="1"/>
    <col min="15" max="15" width="11.85546875" customWidth="1"/>
    <col min="16" max="16" width="42.42578125" bestFit="1" customWidth="1"/>
    <col min="17" max="17" width="3.28515625" customWidth="1"/>
    <col min="18" max="18" width="8.5703125" customWidth="1"/>
    <col min="19" max="19" width="24" bestFit="1" customWidth="1"/>
  </cols>
  <sheetData>
    <row r="1" spans="1:19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"/>
      <c r="P1" s="3"/>
    </row>
    <row r="2" spans="1:19" ht="15.75" x14ac:dyDescent="0.25">
      <c r="A2" s="4" t="s">
        <v>74</v>
      </c>
      <c r="B2" s="5">
        <v>45969</v>
      </c>
      <c r="C2" s="6"/>
      <c r="D2" s="6"/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8"/>
    </row>
    <row r="3" spans="1:19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9" x14ac:dyDescent="0.25">
      <c r="A4" s="15" t="s">
        <v>402</v>
      </c>
      <c r="B4" s="16" t="s">
        <v>358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45969</v>
      </c>
      <c r="G4" s="13">
        <v>0.35416666666666669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166</v>
      </c>
      <c r="P4" s="1" t="s">
        <v>410</v>
      </c>
      <c r="R4" s="23"/>
      <c r="S4" s="24" t="s">
        <v>525</v>
      </c>
    </row>
    <row r="5" spans="1:19" x14ac:dyDescent="0.25">
      <c r="A5" s="15" t="s">
        <v>402</v>
      </c>
      <c r="B5" s="16" t="s">
        <v>363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45969</v>
      </c>
      <c r="G5" s="13">
        <v>0.35416666666666669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410</v>
      </c>
      <c r="R5" s="25"/>
      <c r="S5" s="24" t="s">
        <v>526</v>
      </c>
    </row>
    <row r="6" spans="1:19" x14ac:dyDescent="0.25">
      <c r="A6" s="15" t="s">
        <v>402</v>
      </c>
      <c r="B6" s="16" t="s">
        <v>359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45969</v>
      </c>
      <c r="G6" s="13">
        <v>0.35416666666666669</v>
      </c>
      <c r="H6" s="1" t="s">
        <v>9</v>
      </c>
      <c r="I6" s="1" t="s">
        <v>10</v>
      </c>
      <c r="J6" s="1">
        <v>18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1</v>
      </c>
      <c r="O6" s="1" t="s">
        <v>166</v>
      </c>
      <c r="P6" s="1" t="s">
        <v>410</v>
      </c>
      <c r="R6" s="26"/>
      <c r="S6" s="24" t="s">
        <v>527</v>
      </c>
    </row>
    <row r="7" spans="1:19" x14ac:dyDescent="0.25">
      <c r="A7" s="15" t="s">
        <v>402</v>
      </c>
      <c r="B7" s="16" t="s">
        <v>364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45969</v>
      </c>
      <c r="G7" s="13">
        <v>0.35416666666666669</v>
      </c>
      <c r="H7" s="1" t="s">
        <v>9</v>
      </c>
      <c r="I7" s="1" t="s">
        <v>10</v>
      </c>
      <c r="J7" s="1">
        <v>18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166</v>
      </c>
      <c r="P7" s="1" t="s">
        <v>410</v>
      </c>
    </row>
    <row r="8" spans="1:19" x14ac:dyDescent="0.25">
      <c r="A8" s="15" t="s">
        <v>402</v>
      </c>
      <c r="B8" s="16" t="s">
        <v>368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45969</v>
      </c>
      <c r="G8" s="13">
        <v>0.35416666666666669</v>
      </c>
      <c r="H8" s="1" t="s">
        <v>9</v>
      </c>
      <c r="I8" s="1" t="s">
        <v>10</v>
      </c>
      <c r="J8" s="1">
        <v>40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1</v>
      </c>
      <c r="O8" s="1" t="s">
        <v>166</v>
      </c>
      <c r="P8" s="1">
        <v>910101143</v>
      </c>
    </row>
    <row r="9" spans="1:19" x14ac:dyDescent="0.25">
      <c r="A9" s="15" t="s">
        <v>402</v>
      </c>
      <c r="B9" s="16" t="s">
        <v>369</v>
      </c>
      <c r="C9" s="1" t="s">
        <v>23</v>
      </c>
      <c r="D9" s="1" t="str">
        <f>VLOOKUP($C9,Sheet2!$A$2:$B$10,2,0)</f>
        <v>141185-74670</v>
      </c>
      <c r="E9" s="7" t="s">
        <v>24</v>
      </c>
      <c r="F9" s="12">
        <v>45969</v>
      </c>
      <c r="G9" s="13">
        <v>0.35416666666666669</v>
      </c>
      <c r="H9" s="1" t="s">
        <v>9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166</v>
      </c>
      <c r="P9" s="1">
        <v>910101143</v>
      </c>
    </row>
    <row r="10" spans="1:19" x14ac:dyDescent="0.25">
      <c r="A10" s="15" t="s">
        <v>402</v>
      </c>
      <c r="B10" s="16" t="s">
        <v>372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45969</v>
      </c>
      <c r="G10" s="13">
        <v>0.35416666666666669</v>
      </c>
      <c r="H10" s="1" t="s">
        <v>31</v>
      </c>
      <c r="I10" s="1" t="s">
        <v>10</v>
      </c>
      <c r="J10" s="1">
        <v>20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10</v>
      </c>
      <c r="N10" s="1"/>
      <c r="O10" s="1" t="s">
        <v>166</v>
      </c>
      <c r="P10" s="1" t="s">
        <v>412</v>
      </c>
    </row>
    <row r="11" spans="1:19" x14ac:dyDescent="0.25">
      <c r="A11" s="15" t="s">
        <v>402</v>
      </c>
      <c r="B11" s="16" t="s">
        <v>373</v>
      </c>
      <c r="C11" s="1" t="s">
        <v>29</v>
      </c>
      <c r="D11" s="1" t="str">
        <f>VLOOKUP($C11,Sheet2!$A$2:$B$10,2,0)</f>
        <v>141140-91211</v>
      </c>
      <c r="E11" s="7" t="s">
        <v>30</v>
      </c>
      <c r="F11" s="12">
        <v>45969</v>
      </c>
      <c r="G11" s="13">
        <v>0.35416666666666669</v>
      </c>
      <c r="H11" s="1" t="s">
        <v>31</v>
      </c>
      <c r="I11" s="1" t="s">
        <v>10</v>
      </c>
      <c r="J11" s="1">
        <v>20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ref="M11:M13" si="0">J11/K11</f>
        <v>10</v>
      </c>
      <c r="N11" s="1"/>
      <c r="O11" s="1" t="s">
        <v>166</v>
      </c>
      <c r="P11" s="1" t="s">
        <v>412</v>
      </c>
    </row>
    <row r="12" spans="1:19" x14ac:dyDescent="0.25">
      <c r="A12" s="15" t="s">
        <v>402</v>
      </c>
      <c r="B12" s="16" t="s">
        <v>377</v>
      </c>
      <c r="C12" s="1" t="s">
        <v>37</v>
      </c>
      <c r="D12" s="1" t="str">
        <f>VLOOKUP($C12,Sheet2!$A$2:$B$10,2,0)</f>
        <v>141150-91211</v>
      </c>
      <c r="E12" s="7" t="s">
        <v>38</v>
      </c>
      <c r="F12" s="12">
        <v>45969</v>
      </c>
      <c r="G12" s="13">
        <v>0.35416666666666669</v>
      </c>
      <c r="H12" s="1" t="s">
        <v>31</v>
      </c>
      <c r="I12" s="1" t="s">
        <v>10</v>
      </c>
      <c r="J12" s="1">
        <v>20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10</v>
      </c>
      <c r="N12" s="1"/>
      <c r="O12" s="1" t="s">
        <v>166</v>
      </c>
      <c r="P12" s="1" t="s">
        <v>412</v>
      </c>
    </row>
    <row r="13" spans="1:19" x14ac:dyDescent="0.25">
      <c r="A13" s="15" t="s">
        <v>402</v>
      </c>
      <c r="B13" s="16" t="s">
        <v>378</v>
      </c>
      <c r="C13" s="1" t="s">
        <v>37</v>
      </c>
      <c r="D13" s="1" t="str">
        <f>VLOOKUP($C13,Sheet2!$A$2:$B$10,2,0)</f>
        <v>141150-91211</v>
      </c>
      <c r="E13" s="7" t="s">
        <v>38</v>
      </c>
      <c r="F13" s="12">
        <v>45969</v>
      </c>
      <c r="G13" s="13">
        <v>0.35416666666666669</v>
      </c>
      <c r="H13" s="1" t="s">
        <v>31</v>
      </c>
      <c r="I13" s="1" t="s">
        <v>10</v>
      </c>
      <c r="J13" s="1">
        <v>20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si="0"/>
        <v>10</v>
      </c>
      <c r="N13" s="1"/>
      <c r="O13" s="1" t="s">
        <v>166</v>
      </c>
      <c r="P13" s="1" t="s">
        <v>412</v>
      </c>
    </row>
    <row r="14" spans="1:19" x14ac:dyDescent="0.25">
      <c r="A14" s="15" t="s">
        <v>402</v>
      </c>
      <c r="B14" s="16" t="s">
        <v>382</v>
      </c>
      <c r="C14" s="1" t="s">
        <v>45</v>
      </c>
      <c r="D14" s="1" t="str">
        <f>VLOOKUP($C14,Sheet2!$A$2:$B$10,2,0)</f>
        <v>141186-74360</v>
      </c>
      <c r="E14" s="7" t="s">
        <v>46</v>
      </c>
      <c r="F14" s="12">
        <v>45969</v>
      </c>
      <c r="G14" s="13">
        <v>0.35416666666666669</v>
      </c>
      <c r="H14" s="1" t="s">
        <v>31</v>
      </c>
      <c r="I14" s="1" t="s">
        <v>10</v>
      </c>
      <c r="J14" s="1">
        <v>40</v>
      </c>
      <c r="K14" s="14">
        <f>VLOOKUP($C14,Sheet2!$A$2:$D$10,4,0)</f>
        <v>40</v>
      </c>
      <c r="L14" s="14" t="str">
        <f>VLOOKUP($C14,Sheet2!$A$2:$E$10,5,0)</f>
        <v>Trolley</v>
      </c>
      <c r="M14" s="14"/>
      <c r="N14" s="1">
        <f t="shared" ref="N14:N15" si="1">J14/K14</f>
        <v>1</v>
      </c>
      <c r="O14" s="1" t="s">
        <v>166</v>
      </c>
      <c r="P14" s="1">
        <v>910102103</v>
      </c>
    </row>
    <row r="15" spans="1:19" x14ac:dyDescent="0.25">
      <c r="A15" s="15" t="s">
        <v>402</v>
      </c>
      <c r="B15" s="16" t="s">
        <v>383</v>
      </c>
      <c r="C15" s="1" t="s">
        <v>45</v>
      </c>
      <c r="D15" s="1" t="str">
        <f>VLOOKUP($C15,Sheet2!$A$2:$B$10,2,0)</f>
        <v>141186-74360</v>
      </c>
      <c r="E15" s="7" t="s">
        <v>46</v>
      </c>
      <c r="F15" s="12">
        <v>45969</v>
      </c>
      <c r="G15" s="13">
        <v>0.35416666666666669</v>
      </c>
      <c r="H15" s="1" t="s">
        <v>31</v>
      </c>
      <c r="I15" s="1" t="s">
        <v>10</v>
      </c>
      <c r="J15" s="1">
        <v>40</v>
      </c>
      <c r="K15" s="14">
        <f>VLOOKUP($C15,Sheet2!$A$2:$D$10,4,0)</f>
        <v>40</v>
      </c>
      <c r="L15" s="14" t="str">
        <f>VLOOKUP($C15,Sheet2!$A$2:$E$10,5,0)</f>
        <v>Trolley</v>
      </c>
      <c r="M15" s="14"/>
      <c r="N15" s="1">
        <f t="shared" si="1"/>
        <v>1</v>
      </c>
      <c r="O15" s="1" t="s">
        <v>166</v>
      </c>
      <c r="P15" s="1">
        <v>910102394</v>
      </c>
    </row>
    <row r="16" spans="1:19" x14ac:dyDescent="0.25">
      <c r="A16" s="15" t="s">
        <v>403</v>
      </c>
      <c r="B16" s="16" t="s">
        <v>387</v>
      </c>
      <c r="C16" s="1" t="s">
        <v>50</v>
      </c>
      <c r="D16" s="1" t="str">
        <f>VLOOKUP($C16,Sheet2!$A$2:$B$10,2,0)</f>
        <v>116040-92240</v>
      </c>
      <c r="E16" s="7" t="s">
        <v>51</v>
      </c>
      <c r="F16" s="12">
        <v>45969</v>
      </c>
      <c r="G16" s="13">
        <v>0.35416666666666669</v>
      </c>
      <c r="H16" s="1" t="s">
        <v>52</v>
      </c>
      <c r="I16" s="1" t="s">
        <v>10</v>
      </c>
      <c r="J16" s="1">
        <v>18</v>
      </c>
      <c r="K16" s="14">
        <f>VLOOKUP($C16,Sheet2!$A$2:$D$10,4,0)</f>
        <v>6</v>
      </c>
      <c r="L16" s="14" t="str">
        <f>VLOOKUP($C16,Sheet2!$A$2:$E$10,5,0)</f>
        <v>Bin</v>
      </c>
      <c r="M16" s="14">
        <f t="shared" ref="M16:M21" si="2">J16/K16</f>
        <v>3</v>
      </c>
      <c r="N16" s="1"/>
      <c r="O16" s="1" t="s">
        <v>166</v>
      </c>
      <c r="P16" s="1" t="s">
        <v>464</v>
      </c>
    </row>
    <row r="17" spans="1:16" x14ac:dyDescent="0.25">
      <c r="A17" s="15" t="s">
        <v>403</v>
      </c>
      <c r="B17" s="16" t="s">
        <v>388</v>
      </c>
      <c r="C17" s="1" t="s">
        <v>50</v>
      </c>
      <c r="D17" s="1" t="str">
        <f>VLOOKUP($C17,Sheet2!$A$2:$B$10,2,0)</f>
        <v>116040-92240</v>
      </c>
      <c r="E17" s="7" t="s">
        <v>51</v>
      </c>
      <c r="F17" s="12">
        <v>45969</v>
      </c>
      <c r="G17" s="13">
        <v>0.35416666666666669</v>
      </c>
      <c r="H17" s="1" t="s">
        <v>52</v>
      </c>
      <c r="I17" s="1" t="s">
        <v>10</v>
      </c>
      <c r="J17" s="1">
        <v>18</v>
      </c>
      <c r="K17" s="14">
        <f>VLOOKUP($C17,Sheet2!$A$2:$D$10,4,0)</f>
        <v>6</v>
      </c>
      <c r="L17" s="14" t="str">
        <f>VLOOKUP($C17,Sheet2!$A$2:$E$10,5,0)</f>
        <v>Bin</v>
      </c>
      <c r="M17" s="14">
        <f t="shared" si="2"/>
        <v>3</v>
      </c>
      <c r="N17" s="1"/>
      <c r="O17" s="1" t="s">
        <v>166</v>
      </c>
      <c r="P17" s="1" t="s">
        <v>465</v>
      </c>
    </row>
    <row r="18" spans="1:16" x14ac:dyDescent="0.25">
      <c r="A18" s="15" t="s">
        <v>403</v>
      </c>
      <c r="B18" s="16" t="s">
        <v>392</v>
      </c>
      <c r="C18" s="1" t="s">
        <v>59</v>
      </c>
      <c r="D18" s="1" t="str">
        <f>VLOOKUP($C18,Sheet2!$A$2:$B$10,2,0)</f>
        <v>114010-50820</v>
      </c>
      <c r="E18" s="7" t="s">
        <v>60</v>
      </c>
      <c r="F18" s="12">
        <v>45969</v>
      </c>
      <c r="G18" s="13">
        <v>0.35416666666666669</v>
      </c>
      <c r="H18" s="1" t="s">
        <v>52</v>
      </c>
      <c r="I18" s="1" t="s">
        <v>10</v>
      </c>
      <c r="J18" s="1">
        <v>11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2"/>
        <v>11</v>
      </c>
      <c r="N18" s="1"/>
      <c r="O18" s="1" t="s">
        <v>166</v>
      </c>
      <c r="P18" s="1" t="s">
        <v>417</v>
      </c>
    </row>
    <row r="19" spans="1:16" x14ac:dyDescent="0.25">
      <c r="A19" s="15" t="s">
        <v>403</v>
      </c>
      <c r="B19" s="16" t="s">
        <v>393</v>
      </c>
      <c r="C19" s="1" t="s">
        <v>59</v>
      </c>
      <c r="D19" s="1" t="str">
        <f>VLOOKUP($C19,Sheet2!$A$2:$B$10,2,0)</f>
        <v>114010-50820</v>
      </c>
      <c r="E19" s="7" t="s">
        <v>60</v>
      </c>
      <c r="F19" s="12">
        <v>45969</v>
      </c>
      <c r="G19" s="13">
        <v>0.35416666666666669</v>
      </c>
      <c r="H19" s="1" t="s">
        <v>52</v>
      </c>
      <c r="I19" s="1" t="s">
        <v>10</v>
      </c>
      <c r="J19" s="1">
        <v>12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2"/>
        <v>12</v>
      </c>
      <c r="N19" s="1"/>
      <c r="O19" s="1" t="s">
        <v>166</v>
      </c>
      <c r="P19" s="1" t="s">
        <v>417</v>
      </c>
    </row>
    <row r="20" spans="1:16" x14ac:dyDescent="0.25">
      <c r="A20" s="15" t="s">
        <v>403</v>
      </c>
      <c r="B20" s="16" t="s">
        <v>397</v>
      </c>
      <c r="C20" s="1" t="s">
        <v>67</v>
      </c>
      <c r="D20" s="1" t="str">
        <f>VLOOKUP($C20,Sheet2!$A$2:$B$10,2,0)</f>
        <v>114010-50830</v>
      </c>
      <c r="E20" s="7" t="s">
        <v>60</v>
      </c>
      <c r="F20" s="12">
        <v>45969</v>
      </c>
      <c r="G20" s="13">
        <v>0.35416666666666669</v>
      </c>
      <c r="H20" s="1" t="s">
        <v>52</v>
      </c>
      <c r="I20" s="1" t="s">
        <v>10</v>
      </c>
      <c r="J20" s="1">
        <v>11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2"/>
        <v>11</v>
      </c>
      <c r="N20" s="1"/>
      <c r="O20" s="1" t="s">
        <v>166</v>
      </c>
      <c r="P20" s="1" t="s">
        <v>416</v>
      </c>
    </row>
    <row r="21" spans="1:16" x14ac:dyDescent="0.25">
      <c r="A21" s="15" t="s">
        <v>403</v>
      </c>
      <c r="B21" s="16" t="s">
        <v>398</v>
      </c>
      <c r="C21" s="1" t="s">
        <v>67</v>
      </c>
      <c r="D21" s="1" t="str">
        <f>VLOOKUP($C21,Sheet2!$A$2:$B$10,2,0)</f>
        <v>114010-50830</v>
      </c>
      <c r="E21" s="7" t="s">
        <v>60</v>
      </c>
      <c r="F21" s="12">
        <v>45969</v>
      </c>
      <c r="G21" s="13">
        <v>0.35416666666666669</v>
      </c>
      <c r="H21" s="1" t="s">
        <v>52</v>
      </c>
      <c r="I21" s="1" t="s">
        <v>10</v>
      </c>
      <c r="J21" s="1">
        <v>8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8</v>
      </c>
      <c r="N21" s="1"/>
      <c r="O21" s="1" t="s">
        <v>166</v>
      </c>
      <c r="P21" s="1" t="s">
        <v>416</v>
      </c>
    </row>
    <row r="22" spans="1:16" s="20" customForma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>
        <v>88</v>
      </c>
      <c r="N22" s="9">
        <v>6</v>
      </c>
      <c r="O22" s="9"/>
      <c r="P22" s="9"/>
    </row>
    <row r="23" spans="1:16" x14ac:dyDescent="0.25">
      <c r="A23" s="15" t="s">
        <v>404</v>
      </c>
      <c r="B23" s="16" t="s">
        <v>360</v>
      </c>
      <c r="C23" s="1" t="s">
        <v>7</v>
      </c>
      <c r="D23" s="1" t="str">
        <f>VLOOKUP($C23,Sheet2!$A$2:$B$10,2,0)</f>
        <v>141110-14600</v>
      </c>
      <c r="E23" s="7" t="s">
        <v>8</v>
      </c>
      <c r="F23" s="12">
        <v>45969</v>
      </c>
      <c r="G23" s="13">
        <v>0.60416666666666663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3">
        <v>1</v>
      </c>
      <c r="O23" s="1" t="s">
        <v>119</v>
      </c>
      <c r="P23" s="1" t="s">
        <v>410</v>
      </c>
    </row>
    <row r="24" spans="1:16" x14ac:dyDescent="0.25">
      <c r="A24" s="15" t="s">
        <v>404</v>
      </c>
      <c r="B24" s="16" t="s">
        <v>365</v>
      </c>
      <c r="C24" s="1" t="s">
        <v>16</v>
      </c>
      <c r="D24" s="1" t="str">
        <f>VLOOKUP($C24,Sheet2!$A$2:$B$10,2,0)</f>
        <v>141120-14600</v>
      </c>
      <c r="E24" s="7" t="s">
        <v>17</v>
      </c>
      <c r="F24" s="12">
        <v>45969</v>
      </c>
      <c r="G24" s="13">
        <v>0.60416666666666663</v>
      </c>
      <c r="H24" s="1" t="s">
        <v>9</v>
      </c>
      <c r="I24" s="1" t="s">
        <v>10</v>
      </c>
      <c r="J24" s="1">
        <v>18</v>
      </c>
      <c r="K24" s="14">
        <f>VLOOKUP($C24,Sheet2!$A$2:$D$10,4,0)</f>
        <v>18</v>
      </c>
      <c r="L24" s="14" t="str">
        <f>VLOOKUP($C24,Sheet2!$A$2:$E$10,5,0)</f>
        <v>Trolley (H)</v>
      </c>
      <c r="M24" s="14"/>
      <c r="N24" s="64"/>
      <c r="O24" s="1" t="s">
        <v>119</v>
      </c>
      <c r="P24" s="1" t="s">
        <v>410</v>
      </c>
    </row>
    <row r="25" spans="1:16" x14ac:dyDescent="0.25">
      <c r="A25" s="15" t="s">
        <v>404</v>
      </c>
      <c r="B25" s="16" t="s">
        <v>361</v>
      </c>
      <c r="C25" s="1" t="s">
        <v>7</v>
      </c>
      <c r="D25" s="1" t="str">
        <f>VLOOKUP($C25,Sheet2!$A$2:$B$10,2,0)</f>
        <v>141110-14600</v>
      </c>
      <c r="E25" s="7" t="s">
        <v>8</v>
      </c>
      <c r="F25" s="12">
        <v>45969</v>
      </c>
      <c r="G25" s="13">
        <v>0.60416666666666663</v>
      </c>
      <c r="H25" s="1" t="s">
        <v>9</v>
      </c>
      <c r="I25" s="1" t="s">
        <v>10</v>
      </c>
      <c r="J25" s="1">
        <v>18</v>
      </c>
      <c r="K25" s="14">
        <f>VLOOKUP($C25,Sheet2!$A$2:$D$10,4,0)</f>
        <v>18</v>
      </c>
      <c r="L25" s="14" t="str">
        <f>VLOOKUP($C25,Sheet2!$A$2:$E$10,5,0)</f>
        <v>Trolley (H)</v>
      </c>
      <c r="M25" s="14"/>
      <c r="N25" s="63">
        <v>1</v>
      </c>
      <c r="O25" s="1" t="s">
        <v>119</v>
      </c>
      <c r="P25" s="1" t="s">
        <v>410</v>
      </c>
    </row>
    <row r="26" spans="1:16" x14ac:dyDescent="0.25">
      <c r="A26" s="15" t="s">
        <v>404</v>
      </c>
      <c r="B26" s="16" t="s">
        <v>366</v>
      </c>
      <c r="C26" s="1" t="s">
        <v>16</v>
      </c>
      <c r="D26" s="1" t="str">
        <f>VLOOKUP($C26,Sheet2!$A$2:$B$10,2,0)</f>
        <v>141120-14600</v>
      </c>
      <c r="E26" s="7" t="s">
        <v>17</v>
      </c>
      <c r="F26" s="12">
        <v>45969</v>
      </c>
      <c r="G26" s="13">
        <v>0.60416666666666663</v>
      </c>
      <c r="H26" s="1" t="s">
        <v>9</v>
      </c>
      <c r="I26" s="1" t="s">
        <v>10</v>
      </c>
      <c r="J26" s="1">
        <v>18</v>
      </c>
      <c r="K26" s="14">
        <f>VLOOKUP($C26,Sheet2!$A$2:$D$10,4,0)</f>
        <v>18</v>
      </c>
      <c r="L26" s="14" t="str">
        <f>VLOOKUP($C26,Sheet2!$A$2:$E$10,5,0)</f>
        <v>Trolley (H)</v>
      </c>
      <c r="M26" s="14"/>
      <c r="N26" s="64"/>
      <c r="O26" s="1" t="s">
        <v>119</v>
      </c>
      <c r="P26" s="1" t="s">
        <v>410</v>
      </c>
    </row>
    <row r="27" spans="1:16" x14ac:dyDescent="0.25">
      <c r="A27" s="15" t="s">
        <v>404</v>
      </c>
      <c r="B27" s="16" t="s">
        <v>370</v>
      </c>
      <c r="C27" s="1" t="s">
        <v>23</v>
      </c>
      <c r="D27" s="1" t="str">
        <f>VLOOKUP($C27,Sheet2!$A$2:$B$10,2,0)</f>
        <v>141185-74670</v>
      </c>
      <c r="E27" s="7" t="s">
        <v>24</v>
      </c>
      <c r="F27" s="12">
        <v>45969</v>
      </c>
      <c r="G27" s="13">
        <v>0.60416666666666663</v>
      </c>
      <c r="H27" s="1" t="s">
        <v>9</v>
      </c>
      <c r="I27" s="1" t="s">
        <v>10</v>
      </c>
      <c r="J27" s="1">
        <v>40</v>
      </c>
      <c r="K27" s="14">
        <f>VLOOKUP($C27,Sheet2!$A$2:$D$10,4,0)</f>
        <v>40</v>
      </c>
      <c r="L27" s="14" t="str">
        <f>VLOOKUP($C27,Sheet2!$A$2:$E$10,5,0)</f>
        <v>Trolley</v>
      </c>
      <c r="M27" s="14"/>
      <c r="N27" s="1">
        <f>J27/K27</f>
        <v>1</v>
      </c>
      <c r="O27" s="1" t="s">
        <v>119</v>
      </c>
      <c r="P27" s="1">
        <v>910101143</v>
      </c>
    </row>
    <row r="28" spans="1:16" x14ac:dyDescent="0.25">
      <c r="A28" s="15" t="s">
        <v>404</v>
      </c>
      <c r="B28" s="16" t="s">
        <v>374</v>
      </c>
      <c r="C28" s="1" t="s">
        <v>29</v>
      </c>
      <c r="D28" s="1" t="str">
        <f>VLOOKUP($C28,Sheet2!$A$2:$B$10,2,0)</f>
        <v>141140-91211</v>
      </c>
      <c r="E28" s="7" t="s">
        <v>30</v>
      </c>
      <c r="F28" s="12">
        <v>45969</v>
      </c>
      <c r="G28" s="13">
        <v>0.60416666666666663</v>
      </c>
      <c r="H28" s="1" t="s">
        <v>31</v>
      </c>
      <c r="I28" s="1" t="s">
        <v>10</v>
      </c>
      <c r="J28" s="1">
        <v>20</v>
      </c>
      <c r="K28" s="14">
        <f>VLOOKUP($C28,Sheet2!$A$2:$D$10,4,0)</f>
        <v>2</v>
      </c>
      <c r="L28" s="14" t="str">
        <f>VLOOKUP($C28,Sheet2!$A$2:$E$10,5,0)</f>
        <v>Bin</v>
      </c>
      <c r="M28" s="14">
        <f t="shared" ref="M28:M31" si="3">J28/K28</f>
        <v>10</v>
      </c>
      <c r="N28" s="1"/>
      <c r="O28" s="1" t="s">
        <v>119</v>
      </c>
      <c r="P28" s="1" t="s">
        <v>412</v>
      </c>
    </row>
    <row r="29" spans="1:16" x14ac:dyDescent="0.25">
      <c r="A29" s="15" t="s">
        <v>404</v>
      </c>
      <c r="B29" s="16" t="s">
        <v>375</v>
      </c>
      <c r="C29" s="1" t="s">
        <v>29</v>
      </c>
      <c r="D29" s="1" t="str">
        <f>VLOOKUP($C29,Sheet2!$A$2:$B$10,2,0)</f>
        <v>141140-91211</v>
      </c>
      <c r="E29" s="7" t="s">
        <v>30</v>
      </c>
      <c r="F29" s="12">
        <v>45969</v>
      </c>
      <c r="G29" s="13">
        <v>0.60416666666666663</v>
      </c>
      <c r="H29" s="1" t="s">
        <v>31</v>
      </c>
      <c r="I29" s="1" t="s">
        <v>10</v>
      </c>
      <c r="J29" s="1">
        <v>18</v>
      </c>
      <c r="K29" s="14">
        <f>VLOOKUP($C29,Sheet2!$A$2:$D$10,4,0)</f>
        <v>2</v>
      </c>
      <c r="L29" s="14" t="str">
        <f>VLOOKUP($C29,Sheet2!$A$2:$E$10,5,0)</f>
        <v>Bin</v>
      </c>
      <c r="M29" s="14">
        <f t="shared" si="3"/>
        <v>9</v>
      </c>
      <c r="N29" s="1"/>
      <c r="O29" s="1" t="s">
        <v>119</v>
      </c>
      <c r="P29" s="1" t="s">
        <v>412</v>
      </c>
    </row>
    <row r="30" spans="1:16" x14ac:dyDescent="0.25">
      <c r="A30" s="15" t="s">
        <v>404</v>
      </c>
      <c r="B30" s="16" t="s">
        <v>379</v>
      </c>
      <c r="C30" s="1" t="s">
        <v>37</v>
      </c>
      <c r="D30" s="1" t="str">
        <f>VLOOKUP($C30,Sheet2!$A$2:$B$10,2,0)</f>
        <v>141150-91211</v>
      </c>
      <c r="E30" s="7" t="s">
        <v>38</v>
      </c>
      <c r="F30" s="12">
        <v>45969</v>
      </c>
      <c r="G30" s="13">
        <v>0.60416666666666663</v>
      </c>
      <c r="H30" s="1" t="s">
        <v>31</v>
      </c>
      <c r="I30" s="1" t="s">
        <v>10</v>
      </c>
      <c r="J30" s="1">
        <v>20</v>
      </c>
      <c r="K30" s="14">
        <f>VLOOKUP($C30,Sheet2!$A$2:$D$10,4,0)</f>
        <v>2</v>
      </c>
      <c r="L30" s="14" t="str">
        <f>VLOOKUP($C30,Sheet2!$A$2:$E$10,5,0)</f>
        <v>Bin</v>
      </c>
      <c r="M30" s="14">
        <f t="shared" si="3"/>
        <v>10</v>
      </c>
      <c r="N30" s="1"/>
      <c r="O30" s="1" t="s">
        <v>119</v>
      </c>
      <c r="P30" s="1" t="s">
        <v>412</v>
      </c>
    </row>
    <row r="31" spans="1:16" x14ac:dyDescent="0.25">
      <c r="A31" s="15" t="s">
        <v>404</v>
      </c>
      <c r="B31" s="16" t="s">
        <v>380</v>
      </c>
      <c r="C31" s="1" t="s">
        <v>37</v>
      </c>
      <c r="D31" s="1" t="str">
        <f>VLOOKUP($C31,Sheet2!$A$2:$B$10,2,0)</f>
        <v>141150-91211</v>
      </c>
      <c r="E31" s="7" t="s">
        <v>38</v>
      </c>
      <c r="F31" s="12">
        <v>45969</v>
      </c>
      <c r="G31" s="13">
        <v>0.60416666666666663</v>
      </c>
      <c r="H31" s="1" t="s">
        <v>31</v>
      </c>
      <c r="I31" s="1" t="s">
        <v>10</v>
      </c>
      <c r="J31" s="1">
        <v>18</v>
      </c>
      <c r="K31" s="14">
        <f>VLOOKUP($C31,Sheet2!$A$2:$D$10,4,0)</f>
        <v>2</v>
      </c>
      <c r="L31" s="14" t="str">
        <f>VLOOKUP($C31,Sheet2!$A$2:$E$10,5,0)</f>
        <v>Bin</v>
      </c>
      <c r="M31" s="14">
        <f t="shared" si="3"/>
        <v>9</v>
      </c>
      <c r="N31" s="1"/>
      <c r="O31" s="1" t="s">
        <v>119</v>
      </c>
      <c r="P31" s="1" t="s">
        <v>412</v>
      </c>
    </row>
    <row r="32" spans="1:16" x14ac:dyDescent="0.25">
      <c r="A32" s="15" t="s">
        <v>404</v>
      </c>
      <c r="B32" s="16" t="s">
        <v>384</v>
      </c>
      <c r="C32" s="1" t="s">
        <v>45</v>
      </c>
      <c r="D32" s="1" t="str">
        <f>VLOOKUP($C32,Sheet2!$A$2:$B$10,2,0)</f>
        <v>141186-74360</v>
      </c>
      <c r="E32" s="7" t="s">
        <v>46</v>
      </c>
      <c r="F32" s="12">
        <v>45969</v>
      </c>
      <c r="G32" s="13">
        <v>0.60416666666666663</v>
      </c>
      <c r="H32" s="1" t="s">
        <v>31</v>
      </c>
      <c r="I32" s="1" t="s">
        <v>10</v>
      </c>
      <c r="J32" s="1">
        <v>40</v>
      </c>
      <c r="K32" s="14">
        <f>VLOOKUP($C32,Sheet2!$A$2:$D$10,4,0)</f>
        <v>40</v>
      </c>
      <c r="L32" s="14" t="str">
        <f>VLOOKUP($C32,Sheet2!$A$2:$E$10,5,0)</f>
        <v>Trolley</v>
      </c>
      <c r="M32" s="14"/>
      <c r="N32" s="1">
        <f t="shared" ref="N32:N33" si="4">J32/K32</f>
        <v>1</v>
      </c>
      <c r="O32" s="1" t="s">
        <v>119</v>
      </c>
      <c r="P32" s="1">
        <v>910102394</v>
      </c>
    </row>
    <row r="33" spans="1:16" x14ac:dyDescent="0.25">
      <c r="A33" s="15" t="s">
        <v>404</v>
      </c>
      <c r="B33" s="16" t="s">
        <v>385</v>
      </c>
      <c r="C33" s="1" t="s">
        <v>45</v>
      </c>
      <c r="D33" s="1" t="str">
        <f>VLOOKUP($C33,Sheet2!$A$2:$B$10,2,0)</f>
        <v>141186-74360</v>
      </c>
      <c r="E33" s="7" t="s">
        <v>46</v>
      </c>
      <c r="F33" s="12">
        <v>45969</v>
      </c>
      <c r="G33" s="13">
        <v>0.60416666666666663</v>
      </c>
      <c r="H33" s="1" t="s">
        <v>31</v>
      </c>
      <c r="I33" s="1" t="s">
        <v>10</v>
      </c>
      <c r="J33" s="1">
        <v>40</v>
      </c>
      <c r="K33" s="14">
        <f>VLOOKUP($C33,Sheet2!$A$2:$D$10,4,0)</f>
        <v>40</v>
      </c>
      <c r="L33" s="14" t="str">
        <f>VLOOKUP($C33,Sheet2!$A$2:$E$10,5,0)</f>
        <v>Trolley</v>
      </c>
      <c r="M33" s="14"/>
      <c r="N33" s="1">
        <f t="shared" si="4"/>
        <v>1</v>
      </c>
      <c r="O33" s="1" t="s">
        <v>119</v>
      </c>
      <c r="P33" s="1">
        <v>910102394</v>
      </c>
    </row>
    <row r="34" spans="1:16" x14ac:dyDescent="0.25">
      <c r="A34" s="15" t="s">
        <v>405</v>
      </c>
      <c r="B34" s="16" t="s">
        <v>389</v>
      </c>
      <c r="C34" s="1" t="s">
        <v>50</v>
      </c>
      <c r="D34" s="1" t="str">
        <f>VLOOKUP($C34,Sheet2!$A$2:$B$10,2,0)</f>
        <v>116040-92240</v>
      </c>
      <c r="E34" s="7" t="s">
        <v>51</v>
      </c>
      <c r="F34" s="12">
        <v>45969</v>
      </c>
      <c r="G34" s="13">
        <v>0.60416666666666663</v>
      </c>
      <c r="H34" s="1" t="s">
        <v>52</v>
      </c>
      <c r="I34" s="1" t="s">
        <v>10</v>
      </c>
      <c r="J34" s="1">
        <v>18</v>
      </c>
      <c r="K34" s="14">
        <f>VLOOKUP($C34,Sheet2!$A$2:$D$10,4,0)</f>
        <v>6</v>
      </c>
      <c r="L34" s="14" t="str">
        <f>VLOOKUP($C34,Sheet2!$A$2:$E$10,5,0)</f>
        <v>Bin</v>
      </c>
      <c r="M34" s="14">
        <f t="shared" ref="M34:M39" si="5">J34/K34</f>
        <v>3</v>
      </c>
      <c r="N34" s="1"/>
      <c r="O34" s="1" t="s">
        <v>119</v>
      </c>
      <c r="P34" s="1" t="s">
        <v>463</v>
      </c>
    </row>
    <row r="35" spans="1:16" x14ac:dyDescent="0.25">
      <c r="A35" s="15" t="s">
        <v>405</v>
      </c>
      <c r="B35" s="16" t="s">
        <v>390</v>
      </c>
      <c r="C35" s="1" t="s">
        <v>50</v>
      </c>
      <c r="D35" s="1" t="str">
        <f>VLOOKUP($C35,Sheet2!$A$2:$B$10,2,0)</f>
        <v>116040-92240</v>
      </c>
      <c r="E35" s="7" t="s">
        <v>51</v>
      </c>
      <c r="F35" s="12">
        <v>45969</v>
      </c>
      <c r="G35" s="13">
        <v>0.60416666666666663</v>
      </c>
      <c r="H35" s="1" t="s">
        <v>52</v>
      </c>
      <c r="I35" s="1" t="s">
        <v>10</v>
      </c>
      <c r="J35" s="1">
        <v>18</v>
      </c>
      <c r="K35" s="14">
        <f>VLOOKUP($C35,Sheet2!$A$2:$D$10,4,0)</f>
        <v>6</v>
      </c>
      <c r="L35" s="14" t="str">
        <f>VLOOKUP($C35,Sheet2!$A$2:$E$10,5,0)</f>
        <v>Bin</v>
      </c>
      <c r="M35" s="14">
        <f t="shared" si="5"/>
        <v>3</v>
      </c>
      <c r="N35" s="1"/>
      <c r="O35" s="1" t="s">
        <v>119</v>
      </c>
      <c r="P35" s="1" t="s">
        <v>463</v>
      </c>
    </row>
    <row r="36" spans="1:16" x14ac:dyDescent="0.25">
      <c r="A36" s="15" t="s">
        <v>405</v>
      </c>
      <c r="B36" s="16" t="s">
        <v>394</v>
      </c>
      <c r="C36" s="1" t="s">
        <v>59</v>
      </c>
      <c r="D36" s="1" t="str">
        <f>VLOOKUP($C36,Sheet2!$A$2:$B$10,2,0)</f>
        <v>114010-50820</v>
      </c>
      <c r="E36" s="7" t="s">
        <v>60</v>
      </c>
      <c r="F36" s="12">
        <v>45969</v>
      </c>
      <c r="G36" s="13">
        <v>0.60416666666666663</v>
      </c>
      <c r="H36" s="1" t="s">
        <v>52</v>
      </c>
      <c r="I36" s="1" t="s">
        <v>10</v>
      </c>
      <c r="J36" s="1">
        <v>9</v>
      </c>
      <c r="K36" s="14">
        <f>VLOOKUP($C36,Sheet2!$A$2:$D$10,4,0)</f>
        <v>1</v>
      </c>
      <c r="L36" s="14" t="str">
        <f>VLOOKUP($C36,Sheet2!$A$2:$E$10,5,0)</f>
        <v>Bin</v>
      </c>
      <c r="M36" s="14">
        <f t="shared" si="5"/>
        <v>9</v>
      </c>
      <c r="N36" s="1"/>
      <c r="O36" s="1" t="s">
        <v>119</v>
      </c>
      <c r="P36" s="1" t="s">
        <v>417</v>
      </c>
    </row>
    <row r="37" spans="1:16" x14ac:dyDescent="0.25">
      <c r="A37" s="15" t="s">
        <v>405</v>
      </c>
      <c r="B37" s="16" t="s">
        <v>395</v>
      </c>
      <c r="C37" s="1" t="s">
        <v>59</v>
      </c>
      <c r="D37" s="1" t="str">
        <f>VLOOKUP($C37,Sheet2!$A$2:$B$10,2,0)</f>
        <v>114010-50820</v>
      </c>
      <c r="E37" s="7" t="s">
        <v>60</v>
      </c>
      <c r="F37" s="12">
        <v>45969</v>
      </c>
      <c r="G37" s="13">
        <v>0.60416666666666663</v>
      </c>
      <c r="H37" s="1" t="s">
        <v>52</v>
      </c>
      <c r="I37" s="1" t="s">
        <v>10</v>
      </c>
      <c r="J37" s="1">
        <v>9</v>
      </c>
      <c r="K37" s="14">
        <f>VLOOKUP($C37,Sheet2!$A$2:$D$10,4,0)</f>
        <v>1</v>
      </c>
      <c r="L37" s="14" t="str">
        <f>VLOOKUP($C37,Sheet2!$A$2:$E$10,5,0)</f>
        <v>Bin</v>
      </c>
      <c r="M37" s="14">
        <f t="shared" si="5"/>
        <v>9</v>
      </c>
      <c r="N37" s="1"/>
      <c r="O37" s="1" t="s">
        <v>119</v>
      </c>
      <c r="P37" s="1" t="s">
        <v>417</v>
      </c>
    </row>
    <row r="38" spans="1:16" x14ac:dyDescent="0.25">
      <c r="A38" s="15" t="s">
        <v>405</v>
      </c>
      <c r="B38" s="16" t="s">
        <v>399</v>
      </c>
      <c r="C38" s="1" t="s">
        <v>67</v>
      </c>
      <c r="D38" s="1" t="str">
        <f>VLOOKUP($C38,Sheet2!$A$2:$B$10,2,0)</f>
        <v>114010-50830</v>
      </c>
      <c r="E38" s="7" t="s">
        <v>60</v>
      </c>
      <c r="F38" s="12">
        <v>45969</v>
      </c>
      <c r="G38" s="13">
        <v>0.60416666666666663</v>
      </c>
      <c r="H38" s="1" t="s">
        <v>52</v>
      </c>
      <c r="I38" s="1" t="s">
        <v>10</v>
      </c>
      <c r="J38" s="1">
        <v>11</v>
      </c>
      <c r="K38" s="14">
        <f>VLOOKUP($C38,Sheet2!$A$2:$D$10,4,0)</f>
        <v>1</v>
      </c>
      <c r="L38" s="14" t="str">
        <f>VLOOKUP($C38,Sheet2!$A$2:$E$10,5,0)</f>
        <v>Bin</v>
      </c>
      <c r="M38" s="14">
        <f t="shared" si="5"/>
        <v>11</v>
      </c>
      <c r="N38" s="1"/>
      <c r="O38" s="1" t="s">
        <v>119</v>
      </c>
      <c r="P38" s="1" t="s">
        <v>416</v>
      </c>
    </row>
    <row r="39" spans="1:16" x14ac:dyDescent="0.25">
      <c r="A39" s="15" t="s">
        <v>405</v>
      </c>
      <c r="B39" s="16" t="s">
        <v>400</v>
      </c>
      <c r="C39" s="1" t="s">
        <v>67</v>
      </c>
      <c r="D39" s="1" t="str">
        <f>VLOOKUP($C39,Sheet2!$A$2:$B$10,2,0)</f>
        <v>114010-50830</v>
      </c>
      <c r="E39" s="7" t="s">
        <v>60</v>
      </c>
      <c r="F39" s="12">
        <v>45969</v>
      </c>
      <c r="G39" s="13">
        <v>0.60416666666666663</v>
      </c>
      <c r="H39" s="1" t="s">
        <v>52</v>
      </c>
      <c r="I39" s="1" t="s">
        <v>10</v>
      </c>
      <c r="J39" s="1">
        <v>11</v>
      </c>
      <c r="K39" s="14">
        <f>VLOOKUP($C39,Sheet2!$A$2:$D$10,4,0)</f>
        <v>1</v>
      </c>
      <c r="L39" s="14" t="str">
        <f>VLOOKUP($C39,Sheet2!$A$2:$E$10,5,0)</f>
        <v>Bin</v>
      </c>
      <c r="M39" s="14">
        <f t="shared" si="5"/>
        <v>11</v>
      </c>
      <c r="N39" s="1"/>
      <c r="O39" s="1" t="s">
        <v>119</v>
      </c>
      <c r="P39" s="1" t="s">
        <v>416</v>
      </c>
    </row>
    <row r="40" spans="1:16" s="20" customForma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>
        <v>84</v>
      </c>
      <c r="N40" s="9">
        <v>5</v>
      </c>
      <c r="O40" s="9"/>
      <c r="P40" s="9"/>
    </row>
    <row r="41" spans="1:16" x14ac:dyDescent="0.25">
      <c r="A41" s="15" t="s">
        <v>406</v>
      </c>
      <c r="B41" s="16" t="s">
        <v>362</v>
      </c>
      <c r="C41" s="1" t="s">
        <v>7</v>
      </c>
      <c r="D41" s="1" t="str">
        <f>VLOOKUP($C41,Sheet2!$A$2:$B$10,2,0)</f>
        <v>141110-14600</v>
      </c>
      <c r="E41" s="7" t="s">
        <v>8</v>
      </c>
      <c r="F41" s="12">
        <v>45969</v>
      </c>
      <c r="G41" s="13">
        <v>0.64583333333333337</v>
      </c>
      <c r="H41" s="1" t="s">
        <v>9</v>
      </c>
      <c r="I41" s="1" t="s">
        <v>10</v>
      </c>
      <c r="J41" s="1">
        <v>36</v>
      </c>
      <c r="K41" s="14">
        <f>VLOOKUP($C41,Sheet2!$A$2:$D$10,4,0)</f>
        <v>18</v>
      </c>
      <c r="L41" s="14" t="str">
        <f>VLOOKUP($C41,Sheet2!$A$2:$E$10,5,0)</f>
        <v>Trolley (H)</v>
      </c>
      <c r="M41" s="14"/>
      <c r="N41" s="63">
        <v>2</v>
      </c>
      <c r="O41" s="1" t="s">
        <v>171</v>
      </c>
      <c r="P41" s="1" t="s">
        <v>410</v>
      </c>
    </row>
    <row r="42" spans="1:16" x14ac:dyDescent="0.25">
      <c r="A42" s="15" t="s">
        <v>406</v>
      </c>
      <c r="B42" s="16" t="s">
        <v>367</v>
      </c>
      <c r="C42" s="1" t="s">
        <v>16</v>
      </c>
      <c r="D42" s="1" t="str">
        <f>VLOOKUP($C42,Sheet2!$A$2:$B$10,2,0)</f>
        <v>141120-14600</v>
      </c>
      <c r="E42" s="7" t="s">
        <v>17</v>
      </c>
      <c r="F42" s="12">
        <v>45969</v>
      </c>
      <c r="G42" s="13">
        <v>0.64583333333333337</v>
      </c>
      <c r="H42" s="1" t="s">
        <v>9</v>
      </c>
      <c r="I42" s="1" t="s">
        <v>10</v>
      </c>
      <c r="J42" s="1">
        <v>36</v>
      </c>
      <c r="K42" s="14">
        <f>VLOOKUP($C42,Sheet2!$A$2:$D$10,4,0)</f>
        <v>18</v>
      </c>
      <c r="L42" s="14" t="str">
        <f>VLOOKUP($C42,Sheet2!$A$2:$E$10,5,0)</f>
        <v>Trolley (H)</v>
      </c>
      <c r="M42" s="14"/>
      <c r="N42" s="64"/>
      <c r="O42" s="1" t="s">
        <v>171</v>
      </c>
      <c r="P42" s="1" t="s">
        <v>410</v>
      </c>
    </row>
    <row r="43" spans="1:16" x14ac:dyDescent="0.25">
      <c r="A43" s="15" t="s">
        <v>406</v>
      </c>
      <c r="B43" s="16" t="s">
        <v>371</v>
      </c>
      <c r="C43" s="1" t="s">
        <v>23</v>
      </c>
      <c r="D43" s="1" t="str">
        <f>VLOOKUP($C43,Sheet2!$A$2:$B$10,2,0)</f>
        <v>141185-74670</v>
      </c>
      <c r="E43" s="7" t="s">
        <v>24</v>
      </c>
      <c r="F43" s="12">
        <v>45969</v>
      </c>
      <c r="G43" s="13">
        <v>0.64583333333333337</v>
      </c>
      <c r="H43" s="1" t="s">
        <v>9</v>
      </c>
      <c r="I43" s="1" t="s">
        <v>10</v>
      </c>
      <c r="J43" s="1">
        <v>80</v>
      </c>
      <c r="K43" s="14">
        <f>VLOOKUP($C43,Sheet2!$A$2:$D$10,4,0)</f>
        <v>40</v>
      </c>
      <c r="L43" s="14" t="str">
        <f>VLOOKUP($C43,Sheet2!$A$2:$E$10,5,0)</f>
        <v>Trolley</v>
      </c>
      <c r="M43" s="14"/>
      <c r="N43" s="1">
        <f>J43/K43</f>
        <v>2</v>
      </c>
      <c r="O43" s="1" t="s">
        <v>171</v>
      </c>
      <c r="P43" s="1">
        <v>910101143</v>
      </c>
    </row>
    <row r="44" spans="1:16" x14ac:dyDescent="0.25">
      <c r="A44" s="15" t="s">
        <v>406</v>
      </c>
      <c r="B44" s="16" t="s">
        <v>376</v>
      </c>
      <c r="C44" s="1" t="s">
        <v>29</v>
      </c>
      <c r="D44" s="1" t="str">
        <f>VLOOKUP($C44,Sheet2!$A$2:$B$10,2,0)</f>
        <v>141140-91211</v>
      </c>
      <c r="E44" s="7" t="s">
        <v>30</v>
      </c>
      <c r="F44" s="12">
        <v>45969</v>
      </c>
      <c r="G44" s="13">
        <v>0.64583333333333337</v>
      </c>
      <c r="H44" s="1" t="s">
        <v>31</v>
      </c>
      <c r="I44" s="1" t="s">
        <v>10</v>
      </c>
      <c r="J44" s="1">
        <v>18</v>
      </c>
      <c r="K44" s="14">
        <f>VLOOKUP($C44,Sheet2!$A$2:$D$10,4,0)</f>
        <v>2</v>
      </c>
      <c r="L44" s="14" t="str">
        <f>VLOOKUP($C44,Sheet2!$A$2:$E$10,5,0)</f>
        <v>Bin</v>
      </c>
      <c r="M44" s="14">
        <f t="shared" ref="M44:M45" si="6">J44/K44</f>
        <v>9</v>
      </c>
      <c r="N44" s="1"/>
      <c r="O44" s="1" t="s">
        <v>171</v>
      </c>
      <c r="P44" s="1" t="s">
        <v>412</v>
      </c>
    </row>
    <row r="45" spans="1:16" x14ac:dyDescent="0.25">
      <c r="A45" s="15" t="s">
        <v>406</v>
      </c>
      <c r="B45" s="16" t="s">
        <v>381</v>
      </c>
      <c r="C45" s="1" t="s">
        <v>37</v>
      </c>
      <c r="D45" s="1" t="str">
        <f>VLOOKUP($C45,Sheet2!$A$2:$B$10,2,0)</f>
        <v>141150-91211</v>
      </c>
      <c r="E45" s="7" t="s">
        <v>38</v>
      </c>
      <c r="F45" s="12">
        <v>45969</v>
      </c>
      <c r="G45" s="13">
        <v>0.64583333333333337</v>
      </c>
      <c r="H45" s="1" t="s">
        <v>31</v>
      </c>
      <c r="I45" s="1" t="s">
        <v>10</v>
      </c>
      <c r="J45" s="1">
        <v>18</v>
      </c>
      <c r="K45" s="14">
        <f>VLOOKUP($C45,Sheet2!$A$2:$D$10,4,0)</f>
        <v>2</v>
      </c>
      <c r="L45" s="14" t="str">
        <f>VLOOKUP($C45,Sheet2!$A$2:$E$10,5,0)</f>
        <v>Bin</v>
      </c>
      <c r="M45" s="14">
        <f t="shared" si="6"/>
        <v>9</v>
      </c>
      <c r="N45" s="1"/>
      <c r="O45" s="1" t="s">
        <v>171</v>
      </c>
      <c r="P45" s="1" t="s">
        <v>412</v>
      </c>
    </row>
    <row r="46" spans="1:16" x14ac:dyDescent="0.25">
      <c r="A46" s="15" t="s">
        <v>406</v>
      </c>
      <c r="B46" s="16" t="s">
        <v>386</v>
      </c>
      <c r="C46" s="16" t="s">
        <v>45</v>
      </c>
      <c r="D46" s="1" t="str">
        <f>VLOOKUP($C46,Sheet2!$A$2:$B$10,2,0)</f>
        <v>141186-74360</v>
      </c>
      <c r="E46" s="7" t="s">
        <v>46</v>
      </c>
      <c r="F46" s="12">
        <v>45969</v>
      </c>
      <c r="G46" s="13">
        <v>0.64583333333333337</v>
      </c>
      <c r="H46" s="1" t="s">
        <v>31</v>
      </c>
      <c r="I46" s="1" t="s">
        <v>10</v>
      </c>
      <c r="J46" s="1">
        <v>80</v>
      </c>
      <c r="K46" s="14">
        <f>VLOOKUP($C46,Sheet2!$A$2:$D$10,4,0)</f>
        <v>40</v>
      </c>
      <c r="L46" s="14" t="str">
        <f>VLOOKUP($C46,Sheet2!$A$2:$E$10,5,0)</f>
        <v>Trolley</v>
      </c>
      <c r="M46" s="14"/>
      <c r="N46" s="1">
        <f>J46/K46</f>
        <v>2</v>
      </c>
      <c r="O46" s="1" t="s">
        <v>171</v>
      </c>
      <c r="P46" s="1">
        <v>910102394</v>
      </c>
    </row>
    <row r="47" spans="1:16" x14ac:dyDescent="0.25">
      <c r="A47" s="15" t="s">
        <v>407</v>
      </c>
      <c r="B47" s="16" t="s">
        <v>391</v>
      </c>
      <c r="C47" s="1" t="s">
        <v>50</v>
      </c>
      <c r="D47" s="1" t="str">
        <f>VLOOKUP($C47,Sheet2!$A$2:$B$10,2,0)</f>
        <v>116040-92240</v>
      </c>
      <c r="E47" s="7" t="s">
        <v>51</v>
      </c>
      <c r="F47" s="12">
        <v>45969</v>
      </c>
      <c r="G47" s="13">
        <v>0.64583333333333337</v>
      </c>
      <c r="H47" s="1" t="s">
        <v>52</v>
      </c>
      <c r="I47" s="1" t="s">
        <v>10</v>
      </c>
      <c r="J47" s="1">
        <v>24</v>
      </c>
      <c r="K47" s="14">
        <f>VLOOKUP($C47,Sheet2!$A$2:$D$10,4,0)</f>
        <v>6</v>
      </c>
      <c r="L47" s="14" t="str">
        <f>VLOOKUP($C47,Sheet2!$A$2:$E$10,5,0)</f>
        <v>Bin</v>
      </c>
      <c r="M47" s="14">
        <f t="shared" ref="M47:M49" si="7">J47/K47</f>
        <v>4</v>
      </c>
      <c r="N47" s="1"/>
      <c r="O47" s="1" t="s">
        <v>171</v>
      </c>
      <c r="P47" s="1" t="s">
        <v>463</v>
      </c>
    </row>
    <row r="48" spans="1:16" x14ac:dyDescent="0.25">
      <c r="A48" s="15" t="s">
        <v>407</v>
      </c>
      <c r="B48" s="16" t="s">
        <v>396</v>
      </c>
      <c r="C48" s="1" t="s">
        <v>59</v>
      </c>
      <c r="D48" s="1" t="str">
        <f>VLOOKUP($C48,Sheet2!$A$2:$B$10,2,0)</f>
        <v>114010-50820</v>
      </c>
      <c r="E48" s="7" t="s">
        <v>60</v>
      </c>
      <c r="F48" s="12">
        <v>45969</v>
      </c>
      <c r="G48" s="13">
        <v>0.64583333333333337</v>
      </c>
      <c r="H48" s="1" t="s">
        <v>52</v>
      </c>
      <c r="I48" s="1" t="s">
        <v>10</v>
      </c>
      <c r="J48" s="1">
        <v>6</v>
      </c>
      <c r="K48" s="14">
        <f>VLOOKUP($C48,Sheet2!$A$2:$D$10,4,0)</f>
        <v>1</v>
      </c>
      <c r="L48" s="14" t="str">
        <f>VLOOKUP($C48,Sheet2!$A$2:$E$10,5,0)</f>
        <v>Bin</v>
      </c>
      <c r="M48" s="14">
        <f t="shared" si="7"/>
        <v>6</v>
      </c>
      <c r="N48" s="1"/>
      <c r="O48" s="1" t="s">
        <v>171</v>
      </c>
      <c r="P48" s="1" t="s">
        <v>417</v>
      </c>
    </row>
    <row r="49" spans="1:16" x14ac:dyDescent="0.25">
      <c r="A49" s="15" t="s">
        <v>407</v>
      </c>
      <c r="B49" s="16" t="s">
        <v>401</v>
      </c>
      <c r="C49" s="1" t="s">
        <v>67</v>
      </c>
      <c r="D49" s="1" t="str">
        <f>VLOOKUP($C49,Sheet2!$A$2:$B$10,2,0)</f>
        <v>114010-50830</v>
      </c>
      <c r="E49" s="7" t="s">
        <v>60</v>
      </c>
      <c r="F49" s="12">
        <v>45969</v>
      </c>
      <c r="G49" s="13">
        <v>0.64583333333333337</v>
      </c>
      <c r="H49" s="1" t="s">
        <v>52</v>
      </c>
      <c r="I49" s="1" t="s">
        <v>10</v>
      </c>
      <c r="J49" s="1">
        <v>7</v>
      </c>
      <c r="K49" s="14">
        <f>VLOOKUP($C49,Sheet2!$A$2:$D$10,4,0)</f>
        <v>1</v>
      </c>
      <c r="L49" s="14" t="str">
        <f>VLOOKUP($C49,Sheet2!$A$2:$E$10,5,0)</f>
        <v>Bin</v>
      </c>
      <c r="M49" s="14">
        <f t="shared" si="7"/>
        <v>7</v>
      </c>
      <c r="N49" s="1"/>
      <c r="O49" s="1" t="s">
        <v>171</v>
      </c>
      <c r="P49" s="1" t="s">
        <v>416</v>
      </c>
    </row>
    <row r="50" spans="1:16" s="20" customForma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>
        <v>35</v>
      </c>
      <c r="N50" s="9">
        <v>6</v>
      </c>
      <c r="O50" s="9"/>
      <c r="P50" s="9"/>
    </row>
    <row r="51" spans="1:16" x14ac:dyDescent="0.25">
      <c r="A51" s="15" t="s">
        <v>408</v>
      </c>
      <c r="B51" s="16" t="s">
        <v>386</v>
      </c>
      <c r="C51" s="16" t="s">
        <v>45</v>
      </c>
      <c r="D51" s="1" t="str">
        <f>VLOOKUP($C51,Sheet2!$A$2:$B$10,2,0)</f>
        <v>141186-74360</v>
      </c>
      <c r="E51" s="7" t="s">
        <v>46</v>
      </c>
      <c r="F51" s="12">
        <v>45969</v>
      </c>
      <c r="G51" s="13">
        <v>0.64583333333333337</v>
      </c>
      <c r="H51" s="1" t="s">
        <v>31</v>
      </c>
      <c r="I51" s="1" t="s">
        <v>10</v>
      </c>
      <c r="J51" s="1">
        <v>320</v>
      </c>
      <c r="K51" s="14">
        <f>VLOOKUP($C51,Sheet2!$A$2:$D$10,4,0)</f>
        <v>40</v>
      </c>
      <c r="L51" s="14" t="str">
        <f>VLOOKUP($C51,Sheet2!$A$2:$E$10,5,0)</f>
        <v>Trolley</v>
      </c>
      <c r="M51" s="14"/>
      <c r="N51" s="1">
        <f>J51/K51</f>
        <v>8</v>
      </c>
      <c r="O51" s="1" t="s">
        <v>166</v>
      </c>
      <c r="P51" s="1">
        <v>910102394</v>
      </c>
    </row>
    <row r="52" spans="1:16" s="20" customForma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>
        <v>8</v>
      </c>
      <c r="O52" s="9"/>
      <c r="P52" s="9"/>
    </row>
  </sheetData>
  <autoFilter ref="A3:S3" xr:uid="{94B34085-464A-4F26-84B5-0E5BCDC20E8C}"/>
  <mergeCells count="7">
    <mergeCell ref="N25:N26"/>
    <mergeCell ref="N41:N42"/>
    <mergeCell ref="A1:F1"/>
    <mergeCell ref="J1:N1"/>
    <mergeCell ref="N4:N5"/>
    <mergeCell ref="N6:N7"/>
    <mergeCell ref="N23:N24"/>
  </mergeCells>
  <conditionalFormatting sqref="B2">
    <cfRule type="duplicateValues" dxfId="784" priority="39"/>
    <cfRule type="duplicateValues" dxfId="783" priority="38"/>
  </conditionalFormatting>
  <conditionalFormatting sqref="B23:B39 B41:B49 B51 B4:B21">
    <cfRule type="duplicateValues" dxfId="782" priority="31"/>
  </conditionalFormatting>
  <conditionalFormatting sqref="C2:D2">
    <cfRule type="duplicateValues" dxfId="781" priority="41"/>
    <cfRule type="duplicateValues" dxfId="780" priority="40"/>
  </conditionalFormatting>
  <conditionalFormatting sqref="D3">
    <cfRule type="duplicateValues" dxfId="777" priority="36"/>
    <cfRule type="duplicateValues" dxfId="776" priority="37"/>
  </conditionalFormatting>
  <conditionalFormatting sqref="D22">
    <cfRule type="duplicateValues" dxfId="772" priority="19"/>
    <cfRule type="duplicateValues" dxfId="771" priority="20"/>
  </conditionalFormatting>
  <conditionalFormatting sqref="D40">
    <cfRule type="duplicateValues" dxfId="768" priority="14"/>
    <cfRule type="duplicateValues" dxfId="767" priority="13"/>
  </conditionalFormatting>
  <conditionalFormatting sqref="D50">
    <cfRule type="duplicateValues" dxfId="766" priority="7"/>
    <cfRule type="duplicateValues" dxfId="764" priority="8"/>
  </conditionalFormatting>
  <conditionalFormatting sqref="D52">
    <cfRule type="duplicateValues" dxfId="763" priority="2"/>
    <cfRule type="duplicateValues" dxfId="761" priority="1"/>
  </conditionalFormatting>
  <pageMargins left="0.17" right="0.2" top="0.17" bottom="0.17" header="0.21" footer="0.3"/>
  <pageSetup paperSize="9" scale="5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" operator="containsText" text="17521M68PA0" id="{E9533408-F5C8-4601-B81D-F8BFE3845AD3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C4:D21 C23:D39 C41:D49 C51:D51</xm:sqref>
        </x14:conditionalFormatting>
        <x14:conditionalFormatting xmlns:xm="http://schemas.microsoft.com/office/excel/2006/main">
          <x14:cfRule type="containsText" priority="46" operator="containsText" text="17521M68PA0" id="{798D8B4C-B7BC-4C67-9056-4691C2484AA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0" operator="containsText" text="17521M74T00" id="{6AD19924-5EC4-4C03-88D7-0DB040380812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29" operator="containsText" text="17521M68PA0" id="{F6186A62-A172-4366-8044-4E95D70AFA5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8" operator="containsText" text="17521M74T00" id="{4C2C8F5C-AAC7-4E56-9868-54283D48E291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D4:D21 D23:D39 D41:D49 D51</xm:sqref>
        </x14:conditionalFormatting>
        <x14:conditionalFormatting xmlns:xm="http://schemas.microsoft.com/office/excel/2006/main">
          <x14:cfRule type="containsText" priority="21" operator="containsText" text="17521M68PA0" id="{5A2E4121-FC16-4699-92C6-15780555631F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ontainsText" priority="15" operator="containsText" text="17521M68PA0" id="{B990C7C6-FA8E-41C6-97BD-4F9A866E05D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9" operator="containsText" text="17521M68PA0" id="{B5B3EA5F-1CDA-49FE-A3D3-B6ACD496959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D50</xm:sqref>
        </x14:conditionalFormatting>
        <x14:conditionalFormatting xmlns:xm="http://schemas.microsoft.com/office/excel/2006/main">
          <x14:cfRule type="containsText" priority="3" operator="containsText" text="17521M68PA0" id="{4C320A19-7AA1-4461-B014-78575291A70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D52</xm:sqref>
        </x14:conditionalFormatting>
        <x14:conditionalFormatting xmlns:xm="http://schemas.microsoft.com/office/excel/2006/main">
          <x14:cfRule type="containsText" priority="42" operator="containsText" text="17521M68PA0" id="{E74E07D7-3833-42AE-915A-773F5DEC83F6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3" operator="containsText" text="17521M74T00" id="{3C9BAD14-5D22-4BD5-825F-1C2ABC976AD2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33" operator="containsText" text="BELT,WATER PUMP - 7PK 975" id="{8E1C337F-1EED-437C-A8E9-A2359C549CE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32" operator="containsText" text="BELT,WATER PUMP - 5PK 913" id="{E9F8CD94-770C-42A9-A9EC-A1049A9832F4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E3:E52</xm:sqref>
        </x14:conditionalFormatting>
        <x14:conditionalFormatting xmlns:xm="http://schemas.microsoft.com/office/excel/2006/main">
          <x14:cfRule type="containsText" priority="16" operator="containsText" text="BELT,WATER PUMP - 7PK 975" id="{9F6646B9-5235-41B3-A14B-9B83CC85845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10" operator="containsText" text="BELT,WATER PUMP - 7PK 975" id="{CBABB4CA-198C-4B8F-AECC-F91452FFE805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E40</xm:sqref>
        </x14:conditionalFormatting>
        <x14:conditionalFormatting xmlns:xm="http://schemas.microsoft.com/office/excel/2006/main">
          <x14:cfRule type="containsText" priority="4" operator="containsText" text="BELT,WATER PUMP - 7PK 975" id="{688FB48B-4807-4FF0-8B82-0C00A9CC59D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E50:E52</xm:sqref>
        </x14:conditionalFormatting>
        <x14:conditionalFormatting xmlns:xm="http://schemas.microsoft.com/office/excel/2006/main">
          <x14:cfRule type="containsText" priority="44" operator="containsText" text="BELT,WATER PUMP - 5PK 913" id="{511A6C54-7D00-4AFC-81E2-F120CDBB7AC4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5" operator="containsText" text="BELT,WATER PUMP - 7PK 975" id="{122F42F6-428A-401C-AC98-22FA8411D5AE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34" operator="containsText" text="5PK 913" id="{9156820C-FDC2-453E-86BE-041BC7E487A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5" operator="containsText" text="7PK 975" id="{893FC4FB-9CC2-448B-8F02-5FE263A7CF78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18" operator="containsText" text="7PK 975" id="{504FB155-2F81-40DE-ABE8-58BEFA1ED687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" operator="containsText" text="5PK 913" id="{F72A3632-D642-49A6-ABA7-CC31A168221E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P22</xm:sqref>
        </x14:conditionalFormatting>
        <x14:conditionalFormatting xmlns:xm="http://schemas.microsoft.com/office/excel/2006/main">
          <x14:cfRule type="containsText" priority="12" operator="containsText" text="7PK 975" id="{4351AB83-E66B-4C37-A518-42007F1C5010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1" operator="containsText" text="5PK 913" id="{6A57AD57-28B1-4FA2-9ACE-9F87C9C38335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P40</xm:sqref>
        </x14:conditionalFormatting>
        <x14:conditionalFormatting xmlns:xm="http://schemas.microsoft.com/office/excel/2006/main">
          <x14:cfRule type="containsText" priority="5" operator="containsText" text="5PK 913" id="{695FBD47-38D6-4CEA-A7A4-F8B18D68E349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text="7PK 975" id="{994C8737-331D-43FB-8D5A-CDFB1413DC0B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P50:P52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9B13-CBD3-4637-855C-ADD3AB13D851}">
  <sheetPr>
    <pageSetUpPr fitToPage="1"/>
  </sheetPr>
  <dimension ref="A1:S67"/>
  <sheetViews>
    <sheetView workbookViewId="0">
      <selection activeCell="P3" sqref="P3"/>
    </sheetView>
  </sheetViews>
  <sheetFormatPr defaultRowHeight="15" x14ac:dyDescent="0.25"/>
  <cols>
    <col min="1" max="1" width="15.140625" bestFit="1" customWidth="1"/>
    <col min="2" max="2" width="16.7109375" bestFit="1" customWidth="1"/>
    <col min="3" max="3" width="13.7109375" bestFit="1" customWidth="1"/>
    <col min="4" max="4" width="12.7109375" customWidth="1"/>
    <col min="5" max="5" width="32.5703125" bestFit="1" customWidth="1"/>
    <col min="6" max="6" width="10" bestFit="1" customWidth="1"/>
    <col min="7" max="7" width="7.7109375" bestFit="1" customWidth="1"/>
    <col min="8" max="8" width="8.7109375" bestFit="1" customWidth="1"/>
    <col min="9" max="9" width="4.7109375" bestFit="1" customWidth="1"/>
    <col min="10" max="10" width="8" bestFit="1" customWidth="1"/>
    <col min="11" max="11" width="9" customWidth="1"/>
    <col min="12" max="12" width="12" customWidth="1"/>
    <col min="13" max="13" width="7.140625" bestFit="1" customWidth="1"/>
    <col min="14" max="14" width="7.85546875" bestFit="1" customWidth="1"/>
    <col min="15" max="15" width="15.28515625" bestFit="1" customWidth="1"/>
    <col min="16" max="16" width="41.85546875" bestFit="1" customWidth="1"/>
    <col min="19" max="19" width="24" bestFit="1" customWidth="1"/>
  </cols>
  <sheetData>
    <row r="1" spans="1:19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"/>
      <c r="P1" s="3"/>
    </row>
    <row r="2" spans="1:19" ht="15.75" x14ac:dyDescent="0.25">
      <c r="A2" s="4" t="s">
        <v>74</v>
      </c>
      <c r="B2" s="5">
        <v>45971</v>
      </c>
      <c r="C2" s="6"/>
      <c r="D2" s="6"/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8"/>
    </row>
    <row r="3" spans="1:19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9" x14ac:dyDescent="0.25">
      <c r="A4" s="15" t="s">
        <v>466</v>
      </c>
      <c r="B4" s="16" t="s">
        <v>418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45971</v>
      </c>
      <c r="G4" s="13">
        <v>0.35416666666666669</v>
      </c>
      <c r="H4" s="1" t="s">
        <v>9</v>
      </c>
      <c r="I4" s="1" t="s">
        <v>10</v>
      </c>
      <c r="J4" s="1">
        <v>36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2</v>
      </c>
      <c r="O4" s="1" t="s">
        <v>119</v>
      </c>
      <c r="P4" s="1" t="s">
        <v>410</v>
      </c>
      <c r="R4" s="23"/>
      <c r="S4" s="24" t="s">
        <v>525</v>
      </c>
    </row>
    <row r="5" spans="1:19" x14ac:dyDescent="0.25">
      <c r="A5" s="15" t="s">
        <v>466</v>
      </c>
      <c r="B5" s="16" t="s">
        <v>423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45971</v>
      </c>
      <c r="G5" s="13">
        <v>0.35416666666666669</v>
      </c>
      <c r="H5" s="1" t="s">
        <v>9</v>
      </c>
      <c r="I5" s="1" t="s">
        <v>10</v>
      </c>
      <c r="J5" s="1">
        <v>36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119</v>
      </c>
      <c r="P5" s="1" t="s">
        <v>410</v>
      </c>
      <c r="R5" s="25"/>
      <c r="S5" s="24" t="s">
        <v>526</v>
      </c>
    </row>
    <row r="6" spans="1:19" x14ac:dyDescent="0.25">
      <c r="A6" s="15" t="s">
        <v>466</v>
      </c>
      <c r="B6" s="16" t="s">
        <v>419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45971</v>
      </c>
      <c r="G6" s="13">
        <v>0.35416666666666669</v>
      </c>
      <c r="H6" s="1" t="s">
        <v>9</v>
      </c>
      <c r="I6" s="1" t="s">
        <v>10</v>
      </c>
      <c r="J6" s="1">
        <v>18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1</v>
      </c>
      <c r="O6" s="1" t="s">
        <v>119</v>
      </c>
      <c r="P6" s="1" t="s">
        <v>410</v>
      </c>
      <c r="R6" s="26"/>
      <c r="S6" s="24" t="s">
        <v>527</v>
      </c>
    </row>
    <row r="7" spans="1:19" x14ac:dyDescent="0.25">
      <c r="A7" s="15" t="s">
        <v>466</v>
      </c>
      <c r="B7" s="16" t="s">
        <v>424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45971</v>
      </c>
      <c r="G7" s="13">
        <v>0.35416666666666669</v>
      </c>
      <c r="H7" s="1" t="s">
        <v>9</v>
      </c>
      <c r="I7" s="1" t="s">
        <v>10</v>
      </c>
      <c r="J7" s="1">
        <v>18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119</v>
      </c>
      <c r="P7" s="1" t="s">
        <v>410</v>
      </c>
    </row>
    <row r="8" spans="1:19" x14ac:dyDescent="0.25">
      <c r="A8" s="15" t="s">
        <v>466</v>
      </c>
      <c r="B8" s="16" t="s">
        <v>428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45971</v>
      </c>
      <c r="G8" s="13">
        <v>0.35416666666666669</v>
      </c>
      <c r="H8" s="1" t="s">
        <v>9</v>
      </c>
      <c r="I8" s="1" t="s">
        <v>10</v>
      </c>
      <c r="J8" s="1">
        <v>40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1</v>
      </c>
      <c r="O8" s="1" t="s">
        <v>119</v>
      </c>
      <c r="P8" s="1">
        <v>910101143</v>
      </c>
    </row>
    <row r="9" spans="1:19" x14ac:dyDescent="0.25">
      <c r="A9" s="15" t="s">
        <v>466</v>
      </c>
      <c r="B9" s="16" t="s">
        <v>429</v>
      </c>
      <c r="C9" s="1" t="s">
        <v>23</v>
      </c>
      <c r="D9" s="1" t="str">
        <f>VLOOKUP($C9,Sheet2!$A$2:$B$10,2,0)</f>
        <v>141185-74670</v>
      </c>
      <c r="E9" s="7" t="s">
        <v>24</v>
      </c>
      <c r="F9" s="12">
        <v>45971</v>
      </c>
      <c r="G9" s="13">
        <v>0.35416666666666669</v>
      </c>
      <c r="H9" s="1" t="s">
        <v>9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119</v>
      </c>
      <c r="P9" s="1">
        <v>910101143</v>
      </c>
    </row>
    <row r="10" spans="1:19" x14ac:dyDescent="0.25">
      <c r="A10" s="15" t="s">
        <v>466</v>
      </c>
      <c r="B10" s="16" t="s">
        <v>433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45971</v>
      </c>
      <c r="G10" s="13">
        <v>0.35416666666666669</v>
      </c>
      <c r="H10" s="1" t="s">
        <v>31</v>
      </c>
      <c r="I10" s="1" t="s">
        <v>10</v>
      </c>
      <c r="J10" s="1">
        <v>20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10</v>
      </c>
      <c r="N10" s="1"/>
      <c r="O10" s="1" t="s">
        <v>119</v>
      </c>
      <c r="P10" s="1" t="s">
        <v>412</v>
      </c>
    </row>
    <row r="11" spans="1:19" x14ac:dyDescent="0.25">
      <c r="A11" s="15" t="s">
        <v>466</v>
      </c>
      <c r="B11" s="16" t="s">
        <v>434</v>
      </c>
      <c r="C11" s="1" t="s">
        <v>29</v>
      </c>
      <c r="D11" s="1" t="str">
        <f>VLOOKUP($C11,Sheet2!$A$2:$B$10,2,0)</f>
        <v>141140-91211</v>
      </c>
      <c r="E11" s="7" t="s">
        <v>30</v>
      </c>
      <c r="F11" s="12">
        <v>45971</v>
      </c>
      <c r="G11" s="13">
        <v>0.35416666666666669</v>
      </c>
      <c r="H11" s="1" t="s">
        <v>31</v>
      </c>
      <c r="I11" s="1" t="s">
        <v>10</v>
      </c>
      <c r="J11" s="1">
        <v>20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ref="M11:M13" si="0">J11/K11</f>
        <v>10</v>
      </c>
      <c r="N11" s="1"/>
      <c r="O11" s="1" t="s">
        <v>119</v>
      </c>
      <c r="P11" s="1" t="s">
        <v>412</v>
      </c>
    </row>
    <row r="12" spans="1:19" x14ac:dyDescent="0.25">
      <c r="A12" s="15" t="s">
        <v>466</v>
      </c>
      <c r="B12" s="16" t="s">
        <v>438</v>
      </c>
      <c r="C12" s="1" t="s">
        <v>37</v>
      </c>
      <c r="D12" s="1" t="str">
        <f>VLOOKUP($C12,Sheet2!$A$2:$B$10,2,0)</f>
        <v>141150-91211</v>
      </c>
      <c r="E12" s="7" t="s">
        <v>38</v>
      </c>
      <c r="F12" s="12">
        <v>45971</v>
      </c>
      <c r="G12" s="13">
        <v>0.35416666666666669</v>
      </c>
      <c r="H12" s="1" t="s">
        <v>31</v>
      </c>
      <c r="I12" s="1" t="s">
        <v>10</v>
      </c>
      <c r="J12" s="1">
        <v>20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10</v>
      </c>
      <c r="N12" s="1"/>
      <c r="O12" s="1" t="s">
        <v>119</v>
      </c>
      <c r="P12" s="1" t="s">
        <v>412</v>
      </c>
    </row>
    <row r="13" spans="1:19" x14ac:dyDescent="0.25">
      <c r="A13" s="15" t="s">
        <v>466</v>
      </c>
      <c r="B13" s="16" t="s">
        <v>439</v>
      </c>
      <c r="C13" s="1" t="s">
        <v>37</v>
      </c>
      <c r="D13" s="1" t="str">
        <f>VLOOKUP($C13,Sheet2!$A$2:$B$10,2,0)</f>
        <v>141150-91211</v>
      </c>
      <c r="E13" s="7" t="s">
        <v>38</v>
      </c>
      <c r="F13" s="12">
        <v>45971</v>
      </c>
      <c r="G13" s="13">
        <v>0.35416666666666669</v>
      </c>
      <c r="H13" s="1" t="s">
        <v>31</v>
      </c>
      <c r="I13" s="1" t="s">
        <v>10</v>
      </c>
      <c r="J13" s="1">
        <v>20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si="0"/>
        <v>10</v>
      </c>
      <c r="N13" s="1"/>
      <c r="O13" s="1" t="s">
        <v>119</v>
      </c>
      <c r="P13" s="1" t="s">
        <v>412</v>
      </c>
    </row>
    <row r="14" spans="1:19" x14ac:dyDescent="0.25">
      <c r="A14" s="15" t="s">
        <v>466</v>
      </c>
      <c r="B14" s="16" t="s">
        <v>443</v>
      </c>
      <c r="C14" s="1" t="s">
        <v>45</v>
      </c>
      <c r="D14" s="1" t="str">
        <f>VLOOKUP($C14,Sheet2!$A$2:$B$10,2,0)</f>
        <v>141186-74360</v>
      </c>
      <c r="E14" s="7" t="s">
        <v>46</v>
      </c>
      <c r="F14" s="12">
        <v>45971</v>
      </c>
      <c r="G14" s="13">
        <v>0.35416666666666669</v>
      </c>
      <c r="H14" s="1" t="s">
        <v>31</v>
      </c>
      <c r="I14" s="1" t="s">
        <v>10</v>
      </c>
      <c r="J14" s="1">
        <v>40</v>
      </c>
      <c r="K14" s="14">
        <f>VLOOKUP($C14,Sheet2!$A$2:$D$10,4,0)</f>
        <v>40</v>
      </c>
      <c r="L14" s="14" t="str">
        <f>VLOOKUP($C14,Sheet2!$A$2:$E$10,5,0)</f>
        <v>Trolley</v>
      </c>
      <c r="M14" s="14"/>
      <c r="N14" s="1">
        <f t="shared" ref="N14:N15" si="1">J14/K14</f>
        <v>1</v>
      </c>
      <c r="O14" s="1" t="s">
        <v>119</v>
      </c>
      <c r="P14" s="1">
        <v>910102394</v>
      </c>
    </row>
    <row r="15" spans="1:19" x14ac:dyDescent="0.25">
      <c r="A15" s="15" t="s">
        <v>466</v>
      </c>
      <c r="B15" s="16" t="s">
        <v>444</v>
      </c>
      <c r="C15" s="1" t="s">
        <v>45</v>
      </c>
      <c r="D15" s="1" t="str">
        <f>VLOOKUP($C15,Sheet2!$A$2:$B$10,2,0)</f>
        <v>141186-74360</v>
      </c>
      <c r="E15" s="7" t="s">
        <v>46</v>
      </c>
      <c r="F15" s="12">
        <v>45971</v>
      </c>
      <c r="G15" s="13">
        <v>0.35416666666666669</v>
      </c>
      <c r="H15" s="1" t="s">
        <v>31</v>
      </c>
      <c r="I15" s="1" t="s">
        <v>10</v>
      </c>
      <c r="J15" s="1">
        <v>40</v>
      </c>
      <c r="K15" s="14">
        <f>VLOOKUP($C15,Sheet2!$A$2:$D$10,4,0)</f>
        <v>40</v>
      </c>
      <c r="L15" s="14" t="str">
        <f>VLOOKUP($C15,Sheet2!$A$2:$E$10,5,0)</f>
        <v>Trolley</v>
      </c>
      <c r="M15" s="14"/>
      <c r="N15" s="1">
        <f t="shared" si="1"/>
        <v>1</v>
      </c>
      <c r="O15" s="1" t="s">
        <v>119</v>
      </c>
      <c r="P15" s="1">
        <v>910102394</v>
      </c>
    </row>
    <row r="16" spans="1:19" x14ac:dyDescent="0.25">
      <c r="A16" s="15" t="s">
        <v>467</v>
      </c>
      <c r="B16" s="16" t="s">
        <v>448</v>
      </c>
      <c r="C16" s="1" t="s">
        <v>50</v>
      </c>
      <c r="D16" s="1" t="str">
        <f>VLOOKUP($C16,Sheet2!$A$2:$B$10,2,0)</f>
        <v>116040-92240</v>
      </c>
      <c r="E16" s="7" t="s">
        <v>51</v>
      </c>
      <c r="F16" s="12">
        <v>45971</v>
      </c>
      <c r="G16" s="13">
        <v>0.35416666666666669</v>
      </c>
      <c r="H16" s="1" t="s">
        <v>52</v>
      </c>
      <c r="I16" s="1" t="s">
        <v>10</v>
      </c>
      <c r="J16" s="1">
        <v>18</v>
      </c>
      <c r="K16" s="14">
        <f>VLOOKUP($C16,Sheet2!$A$2:$D$10,4,0)</f>
        <v>6</v>
      </c>
      <c r="L16" s="14" t="str">
        <f>VLOOKUP($C16,Sheet2!$A$2:$E$10,5,0)</f>
        <v>Bin</v>
      </c>
      <c r="M16" s="14">
        <f t="shared" ref="M16:M21" si="2">J16/K16</f>
        <v>3</v>
      </c>
      <c r="N16" s="1"/>
      <c r="O16" s="1" t="s">
        <v>119</v>
      </c>
      <c r="P16" s="1" t="s">
        <v>463</v>
      </c>
    </row>
    <row r="17" spans="1:16" x14ac:dyDescent="0.25">
      <c r="A17" s="15" t="s">
        <v>467</v>
      </c>
      <c r="B17" s="16" t="s">
        <v>449</v>
      </c>
      <c r="C17" s="1" t="s">
        <v>50</v>
      </c>
      <c r="D17" s="1" t="str">
        <f>VLOOKUP($C17,Sheet2!$A$2:$B$10,2,0)</f>
        <v>116040-92240</v>
      </c>
      <c r="E17" s="7" t="s">
        <v>51</v>
      </c>
      <c r="F17" s="12">
        <v>45971</v>
      </c>
      <c r="G17" s="13">
        <v>0.35416666666666669</v>
      </c>
      <c r="H17" s="1" t="s">
        <v>52</v>
      </c>
      <c r="I17" s="1" t="s">
        <v>10</v>
      </c>
      <c r="J17" s="1">
        <v>18</v>
      </c>
      <c r="K17" s="14">
        <f>VLOOKUP($C17,Sheet2!$A$2:$D$10,4,0)</f>
        <v>6</v>
      </c>
      <c r="L17" s="14" t="str">
        <f>VLOOKUP($C17,Sheet2!$A$2:$E$10,5,0)</f>
        <v>Bin</v>
      </c>
      <c r="M17" s="14">
        <f t="shared" si="2"/>
        <v>3</v>
      </c>
      <c r="N17" s="1"/>
      <c r="O17" s="1" t="s">
        <v>119</v>
      </c>
      <c r="P17" s="1" t="s">
        <v>463</v>
      </c>
    </row>
    <row r="18" spans="1:16" x14ac:dyDescent="0.25">
      <c r="A18" s="15" t="s">
        <v>467</v>
      </c>
      <c r="B18" s="16" t="s">
        <v>453</v>
      </c>
      <c r="C18" s="1" t="s">
        <v>59</v>
      </c>
      <c r="D18" s="1" t="str">
        <f>VLOOKUP($C18,Sheet2!$A$2:$B$10,2,0)</f>
        <v>114010-50820</v>
      </c>
      <c r="E18" s="7" t="s">
        <v>60</v>
      </c>
      <c r="F18" s="12">
        <v>45971</v>
      </c>
      <c r="G18" s="13">
        <v>0.35416666666666669</v>
      </c>
      <c r="H18" s="1" t="s">
        <v>52</v>
      </c>
      <c r="I18" s="1" t="s">
        <v>10</v>
      </c>
      <c r="J18" s="1">
        <v>10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2"/>
        <v>10</v>
      </c>
      <c r="N18" s="1"/>
      <c r="O18" s="1" t="s">
        <v>119</v>
      </c>
      <c r="P18" s="1" t="s">
        <v>417</v>
      </c>
    </row>
    <row r="19" spans="1:16" x14ac:dyDescent="0.25">
      <c r="A19" s="15" t="s">
        <v>467</v>
      </c>
      <c r="B19" s="16" t="s">
        <v>454</v>
      </c>
      <c r="C19" s="1" t="s">
        <v>59</v>
      </c>
      <c r="D19" s="1" t="str">
        <f>VLOOKUP($C19,Sheet2!$A$2:$B$10,2,0)</f>
        <v>114010-50820</v>
      </c>
      <c r="E19" s="7" t="s">
        <v>60</v>
      </c>
      <c r="F19" s="12">
        <v>45971</v>
      </c>
      <c r="G19" s="13">
        <v>0.35416666666666669</v>
      </c>
      <c r="H19" s="1" t="s">
        <v>52</v>
      </c>
      <c r="I19" s="1" t="s">
        <v>10</v>
      </c>
      <c r="J19" s="1">
        <v>7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2"/>
        <v>7</v>
      </c>
      <c r="N19" s="1"/>
      <c r="O19" s="1" t="s">
        <v>119</v>
      </c>
      <c r="P19" s="1" t="s">
        <v>584</v>
      </c>
    </row>
    <row r="20" spans="1:16" x14ac:dyDescent="0.25">
      <c r="A20" s="15" t="s">
        <v>467</v>
      </c>
      <c r="B20" s="16" t="s">
        <v>458</v>
      </c>
      <c r="C20" s="1" t="s">
        <v>67</v>
      </c>
      <c r="D20" s="1" t="str">
        <f>VLOOKUP($C20,Sheet2!$A$2:$B$10,2,0)</f>
        <v>114010-50830</v>
      </c>
      <c r="E20" s="7" t="s">
        <v>60</v>
      </c>
      <c r="F20" s="12">
        <v>45971</v>
      </c>
      <c r="G20" s="13">
        <v>0.35416666666666669</v>
      </c>
      <c r="H20" s="1" t="s">
        <v>52</v>
      </c>
      <c r="I20" s="1" t="s">
        <v>10</v>
      </c>
      <c r="J20" s="1">
        <v>10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2"/>
        <v>10</v>
      </c>
      <c r="N20" s="1"/>
      <c r="O20" s="1" t="s">
        <v>119</v>
      </c>
      <c r="P20" s="1" t="s">
        <v>416</v>
      </c>
    </row>
    <row r="21" spans="1:16" x14ac:dyDescent="0.25">
      <c r="A21" s="15" t="s">
        <v>467</v>
      </c>
      <c r="B21" s="16" t="s">
        <v>459</v>
      </c>
      <c r="C21" s="1" t="s">
        <v>67</v>
      </c>
      <c r="D21" s="1" t="str">
        <f>VLOOKUP($C21,Sheet2!$A$2:$B$10,2,0)</f>
        <v>114010-50830</v>
      </c>
      <c r="E21" s="7" t="s">
        <v>60</v>
      </c>
      <c r="F21" s="12">
        <v>45971</v>
      </c>
      <c r="G21" s="13">
        <v>0.35416666666666669</v>
      </c>
      <c r="H21" s="1" t="s">
        <v>52</v>
      </c>
      <c r="I21" s="1" t="s">
        <v>10</v>
      </c>
      <c r="J21" s="1">
        <v>12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12</v>
      </c>
      <c r="N21" s="1"/>
      <c r="O21" s="1" t="s">
        <v>119</v>
      </c>
      <c r="P21" s="1" t="s">
        <v>416</v>
      </c>
    </row>
    <row r="22" spans="1:16" s="20" customForma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>
        <v>85</v>
      </c>
      <c r="N22" s="9">
        <v>7</v>
      </c>
      <c r="O22" s="9"/>
      <c r="P22" s="9"/>
    </row>
    <row r="23" spans="1:16" x14ac:dyDescent="0.25">
      <c r="A23" s="15" t="s">
        <v>468</v>
      </c>
      <c r="B23" s="16" t="s">
        <v>420</v>
      </c>
      <c r="C23" s="1" t="s">
        <v>7</v>
      </c>
      <c r="D23" s="1" t="str">
        <f>VLOOKUP($C23,Sheet2!$A$2:$B$10,2,0)</f>
        <v>141110-14600</v>
      </c>
      <c r="E23" s="7" t="s">
        <v>8</v>
      </c>
      <c r="F23" s="12">
        <v>45971</v>
      </c>
      <c r="G23" s="13">
        <v>0.5625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3">
        <v>1</v>
      </c>
      <c r="O23" s="1" t="s">
        <v>171</v>
      </c>
      <c r="P23" s="1" t="s">
        <v>410</v>
      </c>
    </row>
    <row r="24" spans="1:16" x14ac:dyDescent="0.25">
      <c r="A24" s="15" t="s">
        <v>468</v>
      </c>
      <c r="B24" s="16" t="s">
        <v>425</v>
      </c>
      <c r="C24" s="1" t="s">
        <v>16</v>
      </c>
      <c r="D24" s="1" t="str">
        <f>VLOOKUP($C24,Sheet2!$A$2:$B$10,2,0)</f>
        <v>141120-14600</v>
      </c>
      <c r="E24" s="7" t="s">
        <v>17</v>
      </c>
      <c r="F24" s="12">
        <v>45971</v>
      </c>
      <c r="G24" s="13">
        <v>0.5625</v>
      </c>
      <c r="H24" s="1" t="s">
        <v>9</v>
      </c>
      <c r="I24" s="1" t="s">
        <v>10</v>
      </c>
      <c r="J24" s="1">
        <v>18</v>
      </c>
      <c r="K24" s="14">
        <f>VLOOKUP($C24,Sheet2!$A$2:$D$10,4,0)</f>
        <v>18</v>
      </c>
      <c r="L24" s="14" t="str">
        <f>VLOOKUP($C24,Sheet2!$A$2:$E$10,5,0)</f>
        <v>Trolley (H)</v>
      </c>
      <c r="M24" s="14"/>
      <c r="N24" s="64"/>
      <c r="O24" s="1" t="s">
        <v>171</v>
      </c>
      <c r="P24" s="1" t="s">
        <v>410</v>
      </c>
    </row>
    <row r="25" spans="1:16" x14ac:dyDescent="0.25">
      <c r="A25" s="15" t="s">
        <v>468</v>
      </c>
      <c r="B25" s="16" t="s">
        <v>430</v>
      </c>
      <c r="C25" s="1" t="s">
        <v>23</v>
      </c>
      <c r="D25" s="1" t="str">
        <f>VLOOKUP($C25,Sheet2!$A$2:$B$10,2,0)</f>
        <v>141185-74670</v>
      </c>
      <c r="E25" s="7" t="s">
        <v>24</v>
      </c>
      <c r="F25" s="12">
        <v>45971</v>
      </c>
      <c r="G25" s="13">
        <v>0.5625</v>
      </c>
      <c r="H25" s="1" t="s">
        <v>9</v>
      </c>
      <c r="I25" s="1" t="s">
        <v>10</v>
      </c>
      <c r="J25" s="1">
        <v>40</v>
      </c>
      <c r="K25" s="14">
        <f>VLOOKUP($C25,Sheet2!$A$2:$D$10,4,0)</f>
        <v>40</v>
      </c>
      <c r="L25" s="14" t="str">
        <f>VLOOKUP($C25,Sheet2!$A$2:$E$10,5,0)</f>
        <v>Trolley</v>
      </c>
      <c r="M25" s="14"/>
      <c r="N25" s="1">
        <f>J25/K25</f>
        <v>1</v>
      </c>
      <c r="O25" s="1" t="s">
        <v>171</v>
      </c>
      <c r="P25" s="1">
        <v>910101143</v>
      </c>
    </row>
    <row r="26" spans="1:16" x14ac:dyDescent="0.25">
      <c r="A26" s="15" t="s">
        <v>468</v>
      </c>
      <c r="B26" s="16" t="s">
        <v>435</v>
      </c>
      <c r="C26" s="1" t="s">
        <v>29</v>
      </c>
      <c r="D26" s="1" t="str">
        <f>VLOOKUP($C26,Sheet2!$A$2:$B$10,2,0)</f>
        <v>141140-91211</v>
      </c>
      <c r="E26" s="7" t="s">
        <v>30</v>
      </c>
      <c r="F26" s="12">
        <v>45971</v>
      </c>
      <c r="G26" s="13">
        <v>0.5625</v>
      </c>
      <c r="H26" s="1" t="s">
        <v>31</v>
      </c>
      <c r="I26" s="1" t="s">
        <v>10</v>
      </c>
      <c r="J26" s="1">
        <v>20</v>
      </c>
      <c r="K26" s="14">
        <f>VLOOKUP($C26,Sheet2!$A$2:$D$10,4,0)</f>
        <v>2</v>
      </c>
      <c r="L26" s="14" t="str">
        <f>VLOOKUP($C26,Sheet2!$A$2:$E$10,5,0)</f>
        <v>Bin</v>
      </c>
      <c r="M26" s="14">
        <f t="shared" ref="M26:M27" si="3">J26/K26</f>
        <v>10</v>
      </c>
      <c r="N26" s="1"/>
      <c r="O26" s="1" t="s">
        <v>171</v>
      </c>
      <c r="P26" s="1" t="s">
        <v>412</v>
      </c>
    </row>
    <row r="27" spans="1:16" x14ac:dyDescent="0.25">
      <c r="A27" s="15" t="s">
        <v>468</v>
      </c>
      <c r="B27" s="16" t="s">
        <v>440</v>
      </c>
      <c r="C27" s="1" t="s">
        <v>37</v>
      </c>
      <c r="D27" s="1" t="str">
        <f>VLOOKUP($C27,Sheet2!$A$2:$B$10,2,0)</f>
        <v>141150-91211</v>
      </c>
      <c r="E27" s="7" t="s">
        <v>38</v>
      </c>
      <c r="F27" s="12">
        <v>45971</v>
      </c>
      <c r="G27" s="13">
        <v>0.5625</v>
      </c>
      <c r="H27" s="1" t="s">
        <v>31</v>
      </c>
      <c r="I27" s="1" t="s">
        <v>10</v>
      </c>
      <c r="J27" s="1">
        <v>20</v>
      </c>
      <c r="K27" s="14">
        <f>VLOOKUP($C27,Sheet2!$A$2:$D$10,4,0)</f>
        <v>2</v>
      </c>
      <c r="L27" s="14" t="str">
        <f>VLOOKUP($C27,Sheet2!$A$2:$E$10,5,0)</f>
        <v>Bin</v>
      </c>
      <c r="M27" s="14">
        <f t="shared" si="3"/>
        <v>10</v>
      </c>
      <c r="N27" s="1"/>
      <c r="O27" s="1" t="s">
        <v>171</v>
      </c>
      <c r="P27" s="1" t="s">
        <v>412</v>
      </c>
    </row>
    <row r="28" spans="1:16" x14ac:dyDescent="0.25">
      <c r="A28" s="15" t="s">
        <v>468</v>
      </c>
      <c r="B28" s="16" t="s">
        <v>445</v>
      </c>
      <c r="C28" s="1" t="s">
        <v>45</v>
      </c>
      <c r="D28" s="1" t="str">
        <f>VLOOKUP($C28,Sheet2!$A$2:$B$10,2,0)</f>
        <v>141186-74360</v>
      </c>
      <c r="E28" s="7" t="s">
        <v>46</v>
      </c>
      <c r="F28" s="12">
        <v>45971</v>
      </c>
      <c r="G28" s="13">
        <v>0.5625</v>
      </c>
      <c r="H28" s="1" t="s">
        <v>31</v>
      </c>
      <c r="I28" s="1" t="s">
        <v>10</v>
      </c>
      <c r="J28" s="1">
        <v>40</v>
      </c>
      <c r="K28" s="14">
        <f>VLOOKUP($C28,Sheet2!$A$2:$D$10,4,0)</f>
        <v>40</v>
      </c>
      <c r="L28" s="14" t="str">
        <f>VLOOKUP($C28,Sheet2!$A$2:$E$10,5,0)</f>
        <v>Trolley</v>
      </c>
      <c r="M28" s="14"/>
      <c r="N28" s="1">
        <f>J28/K28</f>
        <v>1</v>
      </c>
      <c r="O28" s="1" t="s">
        <v>171</v>
      </c>
      <c r="P28" s="1">
        <v>910102394</v>
      </c>
    </row>
    <row r="29" spans="1:16" x14ac:dyDescent="0.25">
      <c r="A29" s="15" t="s">
        <v>469</v>
      </c>
      <c r="B29" s="16" t="s">
        <v>450</v>
      </c>
      <c r="C29" s="1" t="s">
        <v>50</v>
      </c>
      <c r="D29" s="1" t="str">
        <f>VLOOKUP($C29,Sheet2!$A$2:$B$10,2,0)</f>
        <v>116040-92240</v>
      </c>
      <c r="E29" s="7" t="s">
        <v>51</v>
      </c>
      <c r="F29" s="12">
        <v>45971</v>
      </c>
      <c r="G29" s="13">
        <v>0.5625</v>
      </c>
      <c r="H29" s="1" t="s">
        <v>52</v>
      </c>
      <c r="I29" s="1" t="s">
        <v>10</v>
      </c>
      <c r="J29" s="1">
        <v>18</v>
      </c>
      <c r="K29" s="14">
        <f>VLOOKUP($C29,Sheet2!$A$2:$D$10,4,0)</f>
        <v>6</v>
      </c>
      <c r="L29" s="14" t="str">
        <f>VLOOKUP($C29,Sheet2!$A$2:$E$10,5,0)</f>
        <v>Bin</v>
      </c>
      <c r="M29" s="14">
        <f t="shared" ref="M29:M31" si="4">J29/K29</f>
        <v>3</v>
      </c>
      <c r="N29" s="1"/>
      <c r="O29" s="1" t="s">
        <v>171</v>
      </c>
      <c r="P29" s="1" t="s">
        <v>463</v>
      </c>
    </row>
    <row r="30" spans="1:16" x14ac:dyDescent="0.25">
      <c r="A30" s="15" t="s">
        <v>469</v>
      </c>
      <c r="B30" s="16" t="s">
        <v>455</v>
      </c>
      <c r="C30" s="1" t="s">
        <v>59</v>
      </c>
      <c r="D30" s="1" t="str">
        <f>VLOOKUP($C30,Sheet2!$A$2:$B$10,2,0)</f>
        <v>114010-50820</v>
      </c>
      <c r="E30" s="7" t="s">
        <v>60</v>
      </c>
      <c r="F30" s="12">
        <v>45971</v>
      </c>
      <c r="G30" s="13">
        <v>0.5625</v>
      </c>
      <c r="H30" s="1" t="s">
        <v>52</v>
      </c>
      <c r="I30" s="1" t="s">
        <v>10</v>
      </c>
      <c r="J30" s="1">
        <v>9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si="4"/>
        <v>9</v>
      </c>
      <c r="N30" s="1"/>
      <c r="O30" s="1" t="s">
        <v>171</v>
      </c>
      <c r="P30" s="1" t="s">
        <v>582</v>
      </c>
    </row>
    <row r="31" spans="1:16" x14ac:dyDescent="0.25">
      <c r="A31" s="15" t="s">
        <v>469</v>
      </c>
      <c r="B31" s="16" t="s">
        <v>460</v>
      </c>
      <c r="C31" s="1" t="s">
        <v>67</v>
      </c>
      <c r="D31" s="1" t="str">
        <f>VLOOKUP($C31,Sheet2!$A$2:$B$10,2,0)</f>
        <v>114010-50830</v>
      </c>
      <c r="E31" s="7" t="s">
        <v>60</v>
      </c>
      <c r="F31" s="12">
        <v>45971</v>
      </c>
      <c r="G31" s="13">
        <v>0.5625</v>
      </c>
      <c r="H31" s="1" t="s">
        <v>52</v>
      </c>
      <c r="I31" s="1" t="s">
        <v>10</v>
      </c>
      <c r="J31" s="1">
        <v>11</v>
      </c>
      <c r="K31" s="14">
        <f>VLOOKUP($C31,Sheet2!$A$2:$D$10,4,0)</f>
        <v>1</v>
      </c>
      <c r="L31" s="14" t="str">
        <f>VLOOKUP($C31,Sheet2!$A$2:$E$10,5,0)</f>
        <v>Bin</v>
      </c>
      <c r="M31" s="14">
        <f t="shared" si="4"/>
        <v>11</v>
      </c>
      <c r="N31" s="1"/>
      <c r="O31" s="1" t="s">
        <v>171</v>
      </c>
      <c r="P31" s="1" t="s">
        <v>416</v>
      </c>
    </row>
    <row r="32" spans="1:16" s="20" customForma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>
        <v>43</v>
      </c>
      <c r="N32" s="9">
        <v>3</v>
      </c>
      <c r="O32" s="9"/>
      <c r="P32" s="9"/>
    </row>
    <row r="33" spans="1:16" x14ac:dyDescent="0.25">
      <c r="A33" s="15" t="s">
        <v>470</v>
      </c>
      <c r="B33" s="16" t="s">
        <v>421</v>
      </c>
      <c r="C33" s="1" t="s">
        <v>7</v>
      </c>
      <c r="D33" s="1" t="str">
        <f>VLOOKUP($C33,Sheet2!$A$2:$B$10,2,0)</f>
        <v>141110-14600</v>
      </c>
      <c r="E33" s="7" t="s">
        <v>8</v>
      </c>
      <c r="F33" s="12">
        <v>45971</v>
      </c>
      <c r="G33" s="13">
        <v>0.77083333333333337</v>
      </c>
      <c r="H33" s="1" t="s">
        <v>9</v>
      </c>
      <c r="I33" s="1" t="s">
        <v>10</v>
      </c>
      <c r="J33" s="1">
        <v>18</v>
      </c>
      <c r="K33" s="14">
        <f>VLOOKUP($C33,Sheet2!$A$2:$D$10,4,0)</f>
        <v>18</v>
      </c>
      <c r="L33" s="14" t="str">
        <f>VLOOKUP($C33,Sheet2!$A$2:$E$10,5,0)</f>
        <v>Trolley (H)</v>
      </c>
      <c r="M33" s="14"/>
      <c r="N33" s="63">
        <v>1</v>
      </c>
      <c r="O33" s="1" t="s">
        <v>166</v>
      </c>
      <c r="P33" s="1" t="s">
        <v>583</v>
      </c>
    </row>
    <row r="34" spans="1:16" x14ac:dyDescent="0.25">
      <c r="A34" s="15" t="s">
        <v>470</v>
      </c>
      <c r="B34" s="16" t="s">
        <v>426</v>
      </c>
      <c r="C34" s="1" t="s">
        <v>16</v>
      </c>
      <c r="D34" s="1" t="str">
        <f>VLOOKUP($C34,Sheet2!$A$2:$B$10,2,0)</f>
        <v>141120-14600</v>
      </c>
      <c r="E34" s="7" t="s">
        <v>17</v>
      </c>
      <c r="F34" s="12">
        <v>45971</v>
      </c>
      <c r="G34" s="13">
        <v>0.77083333333333337</v>
      </c>
      <c r="H34" s="1" t="s">
        <v>9</v>
      </c>
      <c r="I34" s="1" t="s">
        <v>10</v>
      </c>
      <c r="J34" s="1">
        <v>18</v>
      </c>
      <c r="K34" s="14">
        <f>VLOOKUP($C34,Sheet2!$A$2:$D$10,4,0)</f>
        <v>18</v>
      </c>
      <c r="L34" s="14" t="str">
        <f>VLOOKUP($C34,Sheet2!$A$2:$E$10,5,0)</f>
        <v>Trolley (H)</v>
      </c>
      <c r="M34" s="14"/>
      <c r="N34" s="64"/>
      <c r="O34" s="1" t="s">
        <v>166</v>
      </c>
      <c r="P34" s="1" t="s">
        <v>410</v>
      </c>
    </row>
    <row r="35" spans="1:16" x14ac:dyDescent="0.25">
      <c r="A35" s="15" t="s">
        <v>470</v>
      </c>
      <c r="B35" s="16" t="s">
        <v>431</v>
      </c>
      <c r="C35" s="1" t="s">
        <v>23</v>
      </c>
      <c r="D35" s="1" t="str">
        <f>VLOOKUP($C35,Sheet2!$A$2:$B$10,2,0)</f>
        <v>141185-74670</v>
      </c>
      <c r="E35" s="7" t="s">
        <v>24</v>
      </c>
      <c r="F35" s="12">
        <v>45971</v>
      </c>
      <c r="G35" s="13">
        <v>0.77083333333333337</v>
      </c>
      <c r="H35" s="1" t="s">
        <v>9</v>
      </c>
      <c r="I35" s="1" t="s">
        <v>10</v>
      </c>
      <c r="J35" s="1">
        <v>40</v>
      </c>
      <c r="K35" s="14">
        <f>VLOOKUP($C35,Sheet2!$A$2:$D$10,4,0)</f>
        <v>40</v>
      </c>
      <c r="L35" s="14" t="str">
        <f>VLOOKUP($C35,Sheet2!$A$2:$E$10,5,0)</f>
        <v>Trolley</v>
      </c>
      <c r="M35" s="14"/>
      <c r="N35" s="1">
        <f>J35/K35</f>
        <v>1</v>
      </c>
      <c r="O35" s="1" t="s">
        <v>166</v>
      </c>
      <c r="P35" s="1">
        <v>910101143</v>
      </c>
    </row>
    <row r="36" spans="1:16" x14ac:dyDescent="0.25">
      <c r="A36" s="15" t="s">
        <v>470</v>
      </c>
      <c r="B36" s="16" t="s">
        <v>436</v>
      </c>
      <c r="C36" s="1" t="s">
        <v>29</v>
      </c>
      <c r="D36" s="1" t="str">
        <f>VLOOKUP($C36,Sheet2!$A$2:$B$10,2,0)</f>
        <v>141140-91211</v>
      </c>
      <c r="E36" s="7" t="s">
        <v>30</v>
      </c>
      <c r="F36" s="12">
        <v>45971</v>
      </c>
      <c r="G36" s="13">
        <v>0.77083333333333337</v>
      </c>
      <c r="H36" s="1" t="s">
        <v>31</v>
      </c>
      <c r="I36" s="1" t="s">
        <v>10</v>
      </c>
      <c r="J36" s="1">
        <v>20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ref="M36:M37" si="5">J36/K36</f>
        <v>10</v>
      </c>
      <c r="N36" s="1"/>
      <c r="O36" s="1" t="s">
        <v>166</v>
      </c>
      <c r="P36" s="1" t="s">
        <v>412</v>
      </c>
    </row>
    <row r="37" spans="1:16" x14ac:dyDescent="0.25">
      <c r="A37" s="15" t="s">
        <v>470</v>
      </c>
      <c r="B37" s="16" t="s">
        <v>441</v>
      </c>
      <c r="C37" s="1" t="s">
        <v>37</v>
      </c>
      <c r="D37" s="1" t="str">
        <f>VLOOKUP($C37,Sheet2!$A$2:$B$10,2,0)</f>
        <v>141150-91211</v>
      </c>
      <c r="E37" s="7" t="s">
        <v>38</v>
      </c>
      <c r="F37" s="12">
        <v>45971</v>
      </c>
      <c r="G37" s="13">
        <v>0.77083333333333337</v>
      </c>
      <c r="H37" s="1" t="s">
        <v>31</v>
      </c>
      <c r="I37" s="1" t="s">
        <v>10</v>
      </c>
      <c r="J37" s="1">
        <v>20</v>
      </c>
      <c r="K37" s="14">
        <f>VLOOKUP($C37,Sheet2!$A$2:$D$10,4,0)</f>
        <v>2</v>
      </c>
      <c r="L37" s="14" t="str">
        <f>VLOOKUP($C37,Sheet2!$A$2:$E$10,5,0)</f>
        <v>Bin</v>
      </c>
      <c r="M37" s="14">
        <f t="shared" si="5"/>
        <v>10</v>
      </c>
      <c r="N37" s="1"/>
      <c r="O37" s="1" t="s">
        <v>166</v>
      </c>
      <c r="P37" s="1" t="s">
        <v>412</v>
      </c>
    </row>
    <row r="38" spans="1:16" x14ac:dyDescent="0.25">
      <c r="A38" s="15" t="s">
        <v>470</v>
      </c>
      <c r="B38" s="16" t="s">
        <v>446</v>
      </c>
      <c r="C38" s="1" t="s">
        <v>45</v>
      </c>
      <c r="D38" s="1" t="str">
        <f>VLOOKUP($C38,Sheet2!$A$2:$B$10,2,0)</f>
        <v>141186-74360</v>
      </c>
      <c r="E38" s="7" t="s">
        <v>46</v>
      </c>
      <c r="F38" s="12">
        <v>45971</v>
      </c>
      <c r="G38" s="13">
        <v>0.77083333333333337</v>
      </c>
      <c r="H38" s="1" t="s">
        <v>31</v>
      </c>
      <c r="I38" s="1" t="s">
        <v>10</v>
      </c>
      <c r="J38" s="1">
        <v>40</v>
      </c>
      <c r="K38" s="14">
        <f>VLOOKUP($C38,Sheet2!$A$2:$D$10,4,0)</f>
        <v>40</v>
      </c>
      <c r="L38" s="14" t="str">
        <f>VLOOKUP($C38,Sheet2!$A$2:$E$10,5,0)</f>
        <v>Trolley</v>
      </c>
      <c r="M38" s="14"/>
      <c r="N38" s="1">
        <f>J38/K38</f>
        <v>1</v>
      </c>
      <c r="O38" s="1" t="s">
        <v>166</v>
      </c>
      <c r="P38" s="1">
        <v>910102394</v>
      </c>
    </row>
    <row r="39" spans="1:16" x14ac:dyDescent="0.25">
      <c r="A39" s="15" t="s">
        <v>471</v>
      </c>
      <c r="B39" s="16" t="s">
        <v>451</v>
      </c>
      <c r="C39" s="1" t="s">
        <v>50</v>
      </c>
      <c r="D39" s="1" t="str">
        <f>VLOOKUP($C39,Sheet2!$A$2:$B$10,2,0)</f>
        <v>116040-92240</v>
      </c>
      <c r="E39" s="7" t="s">
        <v>51</v>
      </c>
      <c r="F39" s="12">
        <v>45971</v>
      </c>
      <c r="G39" s="13">
        <v>0.77083333333333337</v>
      </c>
      <c r="H39" s="1" t="s">
        <v>52</v>
      </c>
      <c r="I39" s="1" t="s">
        <v>10</v>
      </c>
      <c r="J39" s="1">
        <v>24</v>
      </c>
      <c r="K39" s="14">
        <f>VLOOKUP($C39,Sheet2!$A$2:$D$10,4,0)</f>
        <v>6</v>
      </c>
      <c r="L39" s="14" t="str">
        <f>VLOOKUP($C39,Sheet2!$A$2:$E$10,5,0)</f>
        <v>Bin</v>
      </c>
      <c r="M39" s="14">
        <f t="shared" ref="M39:M41" si="6">J39/K39</f>
        <v>4</v>
      </c>
      <c r="N39" s="1"/>
      <c r="O39" s="1" t="s">
        <v>166</v>
      </c>
      <c r="P39" s="1" t="s">
        <v>463</v>
      </c>
    </row>
    <row r="40" spans="1:16" x14ac:dyDescent="0.25">
      <c r="A40" s="15" t="s">
        <v>471</v>
      </c>
      <c r="B40" s="16" t="s">
        <v>456</v>
      </c>
      <c r="C40" s="1" t="s">
        <v>59</v>
      </c>
      <c r="D40" s="1" t="str">
        <f>VLOOKUP($C40,Sheet2!$A$2:$B$10,2,0)</f>
        <v>114010-50820</v>
      </c>
      <c r="E40" s="7" t="s">
        <v>60</v>
      </c>
      <c r="F40" s="12">
        <v>45971</v>
      </c>
      <c r="G40" s="13">
        <v>0.77083333333333337</v>
      </c>
      <c r="H40" s="1" t="s">
        <v>52</v>
      </c>
      <c r="I40" s="1" t="s">
        <v>10</v>
      </c>
      <c r="J40" s="1">
        <v>10</v>
      </c>
      <c r="K40" s="14">
        <f>VLOOKUP($C40,Sheet2!$A$2:$D$10,4,0)</f>
        <v>1</v>
      </c>
      <c r="L40" s="14" t="str">
        <f>VLOOKUP($C40,Sheet2!$A$2:$E$10,5,0)</f>
        <v>Bin</v>
      </c>
      <c r="M40" s="14">
        <f t="shared" si="6"/>
        <v>10</v>
      </c>
      <c r="N40" s="1"/>
      <c r="O40" s="1" t="s">
        <v>166</v>
      </c>
      <c r="P40" s="1" t="s">
        <v>582</v>
      </c>
    </row>
    <row r="41" spans="1:16" ht="15.75" thickBot="1" x14ac:dyDescent="0.3">
      <c r="A41" s="15" t="s">
        <v>471</v>
      </c>
      <c r="B41" s="16" t="s">
        <v>461</v>
      </c>
      <c r="C41" s="1" t="s">
        <v>67</v>
      </c>
      <c r="D41" s="1" t="str">
        <f>VLOOKUP($C41,Sheet2!$A$2:$B$10,2,0)</f>
        <v>114010-50830</v>
      </c>
      <c r="E41" s="7" t="s">
        <v>60</v>
      </c>
      <c r="F41" s="12">
        <v>45971</v>
      </c>
      <c r="G41" s="19">
        <v>0.77083333333333337</v>
      </c>
      <c r="H41" s="1" t="s">
        <v>52</v>
      </c>
      <c r="I41" s="1" t="s">
        <v>10</v>
      </c>
      <c r="J41" s="1">
        <v>10</v>
      </c>
      <c r="K41" s="14">
        <f>VLOOKUP($C41,Sheet2!$A$2:$D$10,4,0)</f>
        <v>1</v>
      </c>
      <c r="L41" s="14" t="str">
        <f>VLOOKUP($C41,Sheet2!$A$2:$E$10,5,0)</f>
        <v>Bin</v>
      </c>
      <c r="M41" s="14">
        <f t="shared" si="6"/>
        <v>10</v>
      </c>
      <c r="N41" s="1"/>
      <c r="O41" s="1" t="s">
        <v>166</v>
      </c>
      <c r="P41" s="1" t="s">
        <v>416</v>
      </c>
    </row>
    <row r="42" spans="1:16" ht="15.75" thickTop="1" x14ac:dyDescent="0.25">
      <c r="A42" s="15" t="s">
        <v>472</v>
      </c>
      <c r="B42" s="16" t="s">
        <v>422</v>
      </c>
      <c r="C42" s="1" t="s">
        <v>7</v>
      </c>
      <c r="D42" s="1" t="str">
        <f>VLOOKUP($C42,Sheet2!$A$2:$B$10,2,0)</f>
        <v>141110-14600</v>
      </c>
      <c r="E42" s="7" t="s">
        <v>8</v>
      </c>
      <c r="F42" s="12">
        <v>45971</v>
      </c>
      <c r="G42" s="18">
        <v>0.97916666666666663</v>
      </c>
      <c r="H42" s="1" t="s">
        <v>9</v>
      </c>
      <c r="I42" s="1" t="s">
        <v>10</v>
      </c>
      <c r="J42" s="1">
        <v>18</v>
      </c>
      <c r="K42" s="14">
        <f>VLOOKUP($C42,Sheet2!$A$2:$D$10,4,0)</f>
        <v>18</v>
      </c>
      <c r="L42" s="14" t="str">
        <f>VLOOKUP($C42,Sheet2!$A$2:$E$10,5,0)</f>
        <v>Trolley (H)</v>
      </c>
      <c r="M42" s="14"/>
      <c r="N42" s="63">
        <v>1</v>
      </c>
      <c r="O42" s="1" t="s">
        <v>166</v>
      </c>
      <c r="P42" s="1" t="s">
        <v>410</v>
      </c>
    </row>
    <row r="43" spans="1:16" x14ac:dyDescent="0.25">
      <c r="A43" s="15" t="s">
        <v>472</v>
      </c>
      <c r="B43" s="16" t="s">
        <v>427</v>
      </c>
      <c r="C43" s="1" t="s">
        <v>16</v>
      </c>
      <c r="D43" s="1" t="str">
        <f>VLOOKUP($C43,Sheet2!$A$2:$B$10,2,0)</f>
        <v>141120-14600</v>
      </c>
      <c r="E43" s="7" t="s">
        <v>17</v>
      </c>
      <c r="F43" s="12">
        <v>45971</v>
      </c>
      <c r="G43" s="13">
        <v>0.97916666666666663</v>
      </c>
      <c r="H43" s="1" t="s">
        <v>9</v>
      </c>
      <c r="I43" s="1" t="s">
        <v>10</v>
      </c>
      <c r="J43" s="1">
        <v>18</v>
      </c>
      <c r="K43" s="14">
        <f>VLOOKUP($C43,Sheet2!$A$2:$D$10,4,0)</f>
        <v>18</v>
      </c>
      <c r="L43" s="14" t="str">
        <f>VLOOKUP($C43,Sheet2!$A$2:$E$10,5,0)</f>
        <v>Trolley (H)</v>
      </c>
      <c r="M43" s="14"/>
      <c r="N43" s="64"/>
      <c r="O43" s="1" t="s">
        <v>166</v>
      </c>
      <c r="P43" s="1" t="s">
        <v>410</v>
      </c>
    </row>
    <row r="44" spans="1:16" x14ac:dyDescent="0.25">
      <c r="A44" s="15" t="s">
        <v>472</v>
      </c>
      <c r="B44" s="16" t="s">
        <v>432</v>
      </c>
      <c r="C44" s="1" t="s">
        <v>23</v>
      </c>
      <c r="D44" s="1" t="str">
        <f>VLOOKUP($C44,Sheet2!$A$2:$B$10,2,0)</f>
        <v>141185-74670</v>
      </c>
      <c r="E44" s="7" t="s">
        <v>24</v>
      </c>
      <c r="F44" s="12">
        <v>45971</v>
      </c>
      <c r="G44" s="13">
        <v>0.97916666666666663</v>
      </c>
      <c r="H44" s="1" t="s">
        <v>9</v>
      </c>
      <c r="I44" s="1" t="s">
        <v>10</v>
      </c>
      <c r="J44" s="1">
        <v>40</v>
      </c>
      <c r="K44" s="14">
        <f>VLOOKUP($C44,Sheet2!$A$2:$D$10,4,0)</f>
        <v>40</v>
      </c>
      <c r="L44" s="14" t="str">
        <f>VLOOKUP($C44,Sheet2!$A$2:$E$10,5,0)</f>
        <v>Trolley</v>
      </c>
      <c r="M44" s="14"/>
      <c r="N44" s="1">
        <f>J44/K44</f>
        <v>1</v>
      </c>
      <c r="O44" s="1" t="s">
        <v>166</v>
      </c>
      <c r="P44" s="1">
        <v>910101143</v>
      </c>
    </row>
    <row r="45" spans="1:16" x14ac:dyDescent="0.25">
      <c r="A45" s="15" t="s">
        <v>472</v>
      </c>
      <c r="B45" s="16" t="s">
        <v>437</v>
      </c>
      <c r="C45" s="1" t="s">
        <v>29</v>
      </c>
      <c r="D45" s="1" t="str">
        <f>VLOOKUP($C45,Sheet2!$A$2:$B$10,2,0)</f>
        <v>141140-91211</v>
      </c>
      <c r="E45" s="7" t="s">
        <v>30</v>
      </c>
      <c r="F45" s="12">
        <v>45971</v>
      </c>
      <c r="G45" s="13">
        <v>0.97916666666666663</v>
      </c>
      <c r="H45" s="1" t="s">
        <v>31</v>
      </c>
      <c r="I45" s="1" t="s">
        <v>10</v>
      </c>
      <c r="J45" s="1">
        <v>28</v>
      </c>
      <c r="K45" s="14">
        <f>VLOOKUP($C45,Sheet2!$A$2:$D$10,4,0)</f>
        <v>2</v>
      </c>
      <c r="L45" s="14" t="str">
        <f>VLOOKUP($C45,Sheet2!$A$2:$E$10,5,0)</f>
        <v>Bin</v>
      </c>
      <c r="M45" s="14">
        <f t="shared" ref="M45:M46" si="7">J45/K45</f>
        <v>14</v>
      </c>
      <c r="N45" s="1"/>
      <c r="O45" s="1" t="s">
        <v>166</v>
      </c>
      <c r="P45" s="1" t="s">
        <v>412</v>
      </c>
    </row>
    <row r="46" spans="1:16" x14ac:dyDescent="0.25">
      <c r="A46" s="15" t="s">
        <v>472</v>
      </c>
      <c r="B46" s="16" t="s">
        <v>442</v>
      </c>
      <c r="C46" s="1" t="s">
        <v>37</v>
      </c>
      <c r="D46" s="1" t="str">
        <f>VLOOKUP($C46,Sheet2!$A$2:$B$10,2,0)</f>
        <v>141150-91211</v>
      </c>
      <c r="E46" s="7" t="s">
        <v>38</v>
      </c>
      <c r="F46" s="12">
        <v>45971</v>
      </c>
      <c r="G46" s="13">
        <v>0.97916666666666663</v>
      </c>
      <c r="H46" s="1" t="s">
        <v>31</v>
      </c>
      <c r="I46" s="1" t="s">
        <v>10</v>
      </c>
      <c r="J46" s="1">
        <v>28</v>
      </c>
      <c r="K46" s="14">
        <f>VLOOKUP($C46,Sheet2!$A$2:$D$10,4,0)</f>
        <v>2</v>
      </c>
      <c r="L46" s="14" t="str">
        <f>VLOOKUP($C46,Sheet2!$A$2:$E$10,5,0)</f>
        <v>Bin</v>
      </c>
      <c r="M46" s="14">
        <f t="shared" si="7"/>
        <v>14</v>
      </c>
      <c r="N46" s="1"/>
      <c r="O46" s="1" t="s">
        <v>166</v>
      </c>
      <c r="P46" s="1" t="s">
        <v>412</v>
      </c>
    </row>
    <row r="47" spans="1:16" x14ac:dyDescent="0.25">
      <c r="A47" s="15" t="s">
        <v>472</v>
      </c>
      <c r="B47" s="16" t="s">
        <v>447</v>
      </c>
      <c r="C47" s="1" t="s">
        <v>45</v>
      </c>
      <c r="D47" s="1" t="str">
        <f>VLOOKUP($C47,Sheet2!$A$2:$B$10,2,0)</f>
        <v>141186-74360</v>
      </c>
      <c r="E47" s="7" t="s">
        <v>46</v>
      </c>
      <c r="F47" s="12">
        <v>45971</v>
      </c>
      <c r="G47" s="13">
        <v>0.97916666666666663</v>
      </c>
      <c r="H47" s="1" t="s">
        <v>31</v>
      </c>
      <c r="I47" s="1" t="s">
        <v>10</v>
      </c>
      <c r="J47" s="1">
        <v>80</v>
      </c>
      <c r="K47" s="14">
        <f>VLOOKUP($C47,Sheet2!$A$2:$D$10,4,0)</f>
        <v>40</v>
      </c>
      <c r="L47" s="14" t="str">
        <f>VLOOKUP($C47,Sheet2!$A$2:$E$10,5,0)</f>
        <v>Trolley</v>
      </c>
      <c r="M47" s="14"/>
      <c r="N47" s="1">
        <f>J47/K47</f>
        <v>2</v>
      </c>
      <c r="O47" s="1" t="s">
        <v>166</v>
      </c>
      <c r="P47" s="1">
        <v>910102394</v>
      </c>
    </row>
    <row r="48" spans="1:16" x14ac:dyDescent="0.25">
      <c r="A48" s="15" t="s">
        <v>473</v>
      </c>
      <c r="B48" s="16" t="s">
        <v>452</v>
      </c>
      <c r="C48" s="1" t="s">
        <v>50</v>
      </c>
      <c r="D48" s="1" t="str">
        <f>VLOOKUP($C48,Sheet2!$A$2:$B$10,2,0)</f>
        <v>116040-92240</v>
      </c>
      <c r="E48" s="7" t="s">
        <v>51</v>
      </c>
      <c r="F48" s="12">
        <v>45971</v>
      </c>
      <c r="G48" s="13">
        <v>0.97916666666666663</v>
      </c>
      <c r="H48" s="1" t="s">
        <v>52</v>
      </c>
      <c r="I48" s="1" t="s">
        <v>10</v>
      </c>
      <c r="J48" s="1">
        <v>30</v>
      </c>
      <c r="K48" s="14">
        <f>VLOOKUP($C48,Sheet2!$A$2:$D$10,4,0)</f>
        <v>6</v>
      </c>
      <c r="L48" s="14" t="str">
        <f>VLOOKUP($C48,Sheet2!$A$2:$E$10,5,0)</f>
        <v>Bin</v>
      </c>
      <c r="M48" s="14">
        <f t="shared" ref="M48:M50" si="8">J48/K48</f>
        <v>5</v>
      </c>
      <c r="N48" s="1"/>
      <c r="O48" s="1" t="s">
        <v>166</v>
      </c>
      <c r="P48" s="1" t="s">
        <v>463</v>
      </c>
    </row>
    <row r="49" spans="1:16" x14ac:dyDescent="0.25">
      <c r="A49" s="15" t="s">
        <v>473</v>
      </c>
      <c r="B49" s="16" t="s">
        <v>457</v>
      </c>
      <c r="C49" s="1" t="s">
        <v>59</v>
      </c>
      <c r="D49" s="1" t="str">
        <f>VLOOKUP($C49,Sheet2!$A$2:$B$10,2,0)</f>
        <v>114010-50820</v>
      </c>
      <c r="E49" s="7" t="s">
        <v>60</v>
      </c>
      <c r="F49" s="12">
        <v>45971</v>
      </c>
      <c r="G49" s="13">
        <v>0.97916666666666663</v>
      </c>
      <c r="H49" s="1" t="s">
        <v>52</v>
      </c>
      <c r="I49" s="1" t="s">
        <v>10</v>
      </c>
      <c r="J49" s="1">
        <v>14</v>
      </c>
      <c r="K49" s="14">
        <f>VLOOKUP($C49,Sheet2!$A$2:$D$10,4,0)</f>
        <v>1</v>
      </c>
      <c r="L49" s="14" t="str">
        <f>VLOOKUP($C49,Sheet2!$A$2:$E$10,5,0)</f>
        <v>Bin</v>
      </c>
      <c r="M49" s="14">
        <f t="shared" si="8"/>
        <v>14</v>
      </c>
      <c r="N49" s="1"/>
      <c r="O49" s="1" t="s">
        <v>166</v>
      </c>
      <c r="P49" s="1" t="s">
        <v>582</v>
      </c>
    </row>
    <row r="50" spans="1:16" x14ac:dyDescent="0.25">
      <c r="A50" s="15" t="s">
        <v>473</v>
      </c>
      <c r="B50" s="16" t="s">
        <v>462</v>
      </c>
      <c r="C50" s="1" t="s">
        <v>67</v>
      </c>
      <c r="D50" s="1" t="str">
        <f>VLOOKUP($C50,Sheet2!$A$2:$B$10,2,0)</f>
        <v>114010-50830</v>
      </c>
      <c r="E50" s="7" t="s">
        <v>60</v>
      </c>
      <c r="F50" s="12">
        <v>45971</v>
      </c>
      <c r="G50" s="13">
        <v>0.97916666666666663</v>
      </c>
      <c r="H50" s="1" t="s">
        <v>52</v>
      </c>
      <c r="I50" s="1" t="s">
        <v>10</v>
      </c>
      <c r="J50" s="1">
        <v>15</v>
      </c>
      <c r="K50" s="14">
        <f>VLOOKUP($C50,Sheet2!$A$2:$D$10,4,0)</f>
        <v>1</v>
      </c>
      <c r="L50" s="14" t="str">
        <f>VLOOKUP($C50,Sheet2!$A$2:$E$10,5,0)</f>
        <v>Bin</v>
      </c>
      <c r="M50" s="14">
        <f t="shared" si="8"/>
        <v>15</v>
      </c>
      <c r="N50" s="1"/>
      <c r="O50" s="1" t="s">
        <v>166</v>
      </c>
      <c r="P50" s="1" t="s">
        <v>416</v>
      </c>
    </row>
    <row r="51" spans="1:16" s="20" customForma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>
        <v>106</v>
      </c>
      <c r="N51" s="9">
        <v>7</v>
      </c>
      <c r="O51" s="9"/>
      <c r="P51" s="9"/>
    </row>
    <row r="67" spans="7:7" ht="15.75" x14ac:dyDescent="0.25">
      <c r="G67" s="21"/>
    </row>
  </sheetData>
  <autoFilter ref="A3:S3" xr:uid="{85B69B13-CBD3-4637-855C-ADD3AB13D851}"/>
  <mergeCells count="7">
    <mergeCell ref="N42:N43"/>
    <mergeCell ref="A1:F1"/>
    <mergeCell ref="J1:N1"/>
    <mergeCell ref="N4:N5"/>
    <mergeCell ref="N6:N7"/>
    <mergeCell ref="N23:N24"/>
    <mergeCell ref="N33:N34"/>
  </mergeCells>
  <conditionalFormatting sqref="B2">
    <cfRule type="duplicateValues" dxfId="743" priority="42"/>
    <cfRule type="duplicateValues" dxfId="742" priority="41"/>
  </conditionalFormatting>
  <conditionalFormatting sqref="B4:B21 B23:B31 B33:B50">
    <cfRule type="duplicateValues" dxfId="741" priority="33"/>
  </conditionalFormatting>
  <conditionalFormatting sqref="C2:D2">
    <cfRule type="duplicateValues" dxfId="740" priority="44"/>
    <cfRule type="duplicateValues" dxfId="739" priority="43"/>
  </conditionalFormatting>
  <conditionalFormatting sqref="D3">
    <cfRule type="duplicateValues" dxfId="736" priority="40"/>
    <cfRule type="duplicateValues" dxfId="735" priority="39"/>
  </conditionalFormatting>
  <conditionalFormatting sqref="D22">
    <cfRule type="duplicateValues" dxfId="730" priority="23"/>
    <cfRule type="duplicateValues" dxfId="729" priority="22"/>
  </conditionalFormatting>
  <conditionalFormatting sqref="D32">
    <cfRule type="duplicateValues" dxfId="728" priority="16"/>
    <cfRule type="duplicateValues" dxfId="727" priority="17"/>
  </conditionalFormatting>
  <conditionalFormatting sqref="D51">
    <cfRule type="duplicateValues" dxfId="725" priority="4"/>
    <cfRule type="duplicateValues" dxfId="724" priority="5"/>
  </conditionalFormatting>
  <pageMargins left="0.17" right="0.17" top="0.17" bottom="0.17" header="0.17" footer="0.3"/>
  <pageSetup paperSize="9" scale="54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operator="containsText" text="17521M68PA0" id="{5C65CE7C-04E0-44CE-B49A-916F1DD3D32A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C4:D21 C23:D31 C33:D50</xm:sqref>
        </x14:conditionalFormatting>
        <x14:conditionalFormatting xmlns:xm="http://schemas.microsoft.com/office/excel/2006/main">
          <x14:cfRule type="containsText" priority="49" operator="containsText" text="17521M68PA0" id="{CA05336D-88A1-4C88-8450-BAD920D9894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2" operator="containsText" text="17521M74T00" id="{C6AD9615-9594-47F0-97AA-A639D6E058AB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17521M74T00" id="{6C5C0138-5D5D-4CB1-8564-9EB55CE87760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1" operator="containsText" text="17521M68PA0" id="{AF24BED1-12EA-4C1C-8227-3E110D991DB5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D4:D21 D23:D31 D33:D50</xm:sqref>
        </x14:conditionalFormatting>
        <x14:conditionalFormatting xmlns:xm="http://schemas.microsoft.com/office/excel/2006/main">
          <x14:cfRule type="containsText" priority="24" operator="containsText" text="17521M68PA0" id="{289AE94C-3276-4D6E-A6BC-36D8EF7C2BB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ontainsText" priority="18" operator="containsText" text="17521M68PA0" id="{9EAFD8ED-9AF1-4ED8-ADA9-9D6560F680D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containsText" priority="6" operator="containsText" text="17521M68PA0" id="{2070494D-EF42-4B2B-B19B-0DB45AD6EDFC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D51</xm:sqref>
        </x14:conditionalFormatting>
        <x14:conditionalFormatting xmlns:xm="http://schemas.microsoft.com/office/excel/2006/main">
          <x14:cfRule type="containsText" priority="45" operator="containsText" text="17521M68PA0" id="{612BB265-116A-4403-BA7B-A4242BBBC07E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6" operator="containsText" text="17521M74T00" id="{B33611EE-78B8-4350-96AB-30AE3256851B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36" operator="containsText" text="BELT,WATER PUMP - 7PK 975" id="{5225BAE9-32B8-4A04-BE6A-7E155776DC70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35" operator="containsText" text="BELT,WATER PUMP - 5PK 913" id="{67AE296F-2B7E-4AE0-AE88-3BC70D1815ED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E3:E51</xm:sqref>
        </x14:conditionalFormatting>
        <x14:conditionalFormatting xmlns:xm="http://schemas.microsoft.com/office/excel/2006/main">
          <x14:cfRule type="containsText" priority="19" operator="containsText" text="BELT,WATER PUMP - 7PK 975" id="{8B4EBFD4-6796-48CD-87B5-462DD845A4AE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13" operator="containsText" text="BELT,WATER PUMP - 7PK 975" id="{8752880F-DC57-4F40-B31E-7C4E39A0D7ED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E32</xm:sqref>
        </x14:conditionalFormatting>
        <x14:conditionalFormatting xmlns:xm="http://schemas.microsoft.com/office/excel/2006/main">
          <x14:cfRule type="containsText" priority="1" operator="containsText" text="BELT,WATER PUMP - 7PK 975" id="{E64ABC58-8C77-46E2-A0AB-A66E97301A6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E51</xm:sqref>
        </x14:conditionalFormatting>
        <x14:conditionalFormatting xmlns:xm="http://schemas.microsoft.com/office/excel/2006/main">
          <x14:cfRule type="containsText" priority="47" operator="containsText" text="BELT,WATER PUMP - 5PK 913" id="{4B8A019F-4F9D-4662-9E8F-EF61BD3A827D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8" operator="containsText" text="BELT,WATER PUMP - 7PK 975" id="{C7FA9B07-61AA-473B-A106-5CAFFDB4E7A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37" operator="containsText" text="5PK 913" id="{9F82C5DB-665E-4E9A-8A76-7641AEAC697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8" operator="containsText" text="7PK 975" id="{F0683158-5898-44D0-A52B-C92CF731D1CA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1" operator="containsText" text="7PK 975" id="{FC652AAE-BF0E-4303-9D1F-33FE353C94CA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text="5PK 913" id="{6A4DC066-57FF-4B45-A21B-651F2E48F40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P22</xm:sqref>
        </x14:conditionalFormatting>
        <x14:conditionalFormatting xmlns:xm="http://schemas.microsoft.com/office/excel/2006/main">
          <x14:cfRule type="containsText" priority="14" operator="containsText" text="5PK 913" id="{3D956829-D7AC-433C-9E8E-AF7DE3381E1F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5" operator="containsText" text="7PK 975" id="{D895C291-D215-42E2-B3C7-D4209B4FDCD7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P32</xm:sqref>
        </x14:conditionalFormatting>
        <x14:conditionalFormatting xmlns:xm="http://schemas.microsoft.com/office/excel/2006/main">
          <x14:cfRule type="containsText" priority="2" operator="containsText" text="5PK 913" id="{A75CE893-B6D2-448F-8087-893A0A5F60F1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7PK 975" id="{E9EF3088-0860-4484-AD5B-153AC30C02A0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P51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A2BD-6E74-473E-99FD-22D93544FD09}">
  <sheetPr>
    <pageSetUpPr fitToPage="1"/>
  </sheetPr>
  <dimension ref="A1:S47"/>
  <sheetViews>
    <sheetView workbookViewId="0">
      <selection activeCell="P3" sqref="P3"/>
    </sheetView>
  </sheetViews>
  <sheetFormatPr defaultColWidth="66.85546875" defaultRowHeight="15" x14ac:dyDescent="0.25"/>
  <cols>
    <col min="1" max="1" width="15.425781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7.7109375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42578125" customWidth="1"/>
    <col min="16" max="16" width="43.28515625" bestFit="1" customWidth="1"/>
    <col min="17" max="17" width="15.42578125" bestFit="1" customWidth="1"/>
    <col min="18" max="18" width="6.140625" customWidth="1"/>
    <col min="19" max="19" width="24" bestFit="1" customWidth="1"/>
  </cols>
  <sheetData>
    <row r="1" spans="1:19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"/>
      <c r="P1" s="3"/>
    </row>
    <row r="2" spans="1:19" ht="15.75" x14ac:dyDescent="0.25">
      <c r="A2" s="4" t="s">
        <v>74</v>
      </c>
      <c r="B2" s="5">
        <v>45972</v>
      </c>
      <c r="C2" s="6"/>
      <c r="D2" s="6"/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8"/>
    </row>
    <row r="3" spans="1:19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9" x14ac:dyDescent="0.25">
      <c r="A4" s="15" t="s">
        <v>515</v>
      </c>
      <c r="B4" s="16" t="s">
        <v>474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45972</v>
      </c>
      <c r="G4" s="13">
        <v>0.27083333333333331</v>
      </c>
      <c r="H4" s="1" t="s">
        <v>9</v>
      </c>
      <c r="I4" s="1" t="s">
        <v>10</v>
      </c>
      <c r="J4" s="1">
        <v>36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2</v>
      </c>
      <c r="O4" s="1" t="s">
        <v>528</v>
      </c>
      <c r="P4" s="1" t="s">
        <v>585</v>
      </c>
      <c r="R4" s="23"/>
      <c r="S4" s="24" t="s">
        <v>525</v>
      </c>
    </row>
    <row r="5" spans="1:19" x14ac:dyDescent="0.25">
      <c r="A5" s="15" t="s">
        <v>515</v>
      </c>
      <c r="B5" s="16" t="s">
        <v>478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45972</v>
      </c>
      <c r="G5" s="13">
        <v>0.27083333333333331</v>
      </c>
      <c r="H5" s="1" t="s">
        <v>9</v>
      </c>
      <c r="I5" s="1" t="s">
        <v>10</v>
      </c>
      <c r="J5" s="1">
        <v>36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528</v>
      </c>
      <c r="P5" s="1" t="s">
        <v>586</v>
      </c>
      <c r="R5" s="25"/>
      <c r="S5" s="24" t="s">
        <v>526</v>
      </c>
    </row>
    <row r="6" spans="1:19" x14ac:dyDescent="0.25">
      <c r="A6" s="15" t="s">
        <v>515</v>
      </c>
      <c r="B6" s="16" t="s">
        <v>482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45972</v>
      </c>
      <c r="G6" s="13">
        <v>0.27083333333333331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528</v>
      </c>
      <c r="P6" s="1">
        <v>910101143</v>
      </c>
      <c r="R6" s="26"/>
      <c r="S6" s="24" t="s">
        <v>527</v>
      </c>
    </row>
    <row r="7" spans="1:19" x14ac:dyDescent="0.25">
      <c r="A7" s="15" t="s">
        <v>515</v>
      </c>
      <c r="B7" s="16" t="s">
        <v>486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45972</v>
      </c>
      <c r="G7" s="13">
        <v>0.27083333333333331</v>
      </c>
      <c r="H7" s="1" t="s">
        <v>31</v>
      </c>
      <c r="I7" s="1" t="s">
        <v>10</v>
      </c>
      <c r="J7" s="1">
        <v>20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10</v>
      </c>
      <c r="N7" s="1"/>
      <c r="O7" s="1" t="s">
        <v>528</v>
      </c>
      <c r="P7" s="1" t="s">
        <v>412</v>
      </c>
    </row>
    <row r="8" spans="1:19" x14ac:dyDescent="0.25">
      <c r="A8" s="15" t="s">
        <v>515</v>
      </c>
      <c r="B8" s="16" t="s">
        <v>491</v>
      </c>
      <c r="C8" s="1" t="s">
        <v>37</v>
      </c>
      <c r="D8" s="1" t="str">
        <f>VLOOKUP($C8,Sheet2!$A$2:$B$10,2,0)</f>
        <v>141150-91211</v>
      </c>
      <c r="E8" s="7" t="s">
        <v>38</v>
      </c>
      <c r="F8" s="12">
        <v>45972</v>
      </c>
      <c r="G8" s="13">
        <v>0.27083333333333331</v>
      </c>
      <c r="H8" s="1" t="s">
        <v>31</v>
      </c>
      <c r="I8" s="1" t="s">
        <v>10</v>
      </c>
      <c r="J8" s="1">
        <v>20</v>
      </c>
      <c r="K8" s="14">
        <f>VLOOKUP($C8,Sheet2!$A$2:$D$10,4,0)</f>
        <v>2</v>
      </c>
      <c r="L8" s="14" t="str">
        <f>VLOOKUP($C8,Sheet2!$A$2:$E$10,5,0)</f>
        <v>Bin</v>
      </c>
      <c r="M8" s="14">
        <f>J8/K8</f>
        <v>10</v>
      </c>
      <c r="N8" s="1"/>
      <c r="O8" s="1" t="s">
        <v>528</v>
      </c>
      <c r="P8" s="1" t="s">
        <v>412</v>
      </c>
    </row>
    <row r="9" spans="1:19" x14ac:dyDescent="0.25">
      <c r="A9" s="15" t="s">
        <v>515</v>
      </c>
      <c r="B9" s="16" t="s">
        <v>496</v>
      </c>
      <c r="C9" s="1" t="s">
        <v>45</v>
      </c>
      <c r="D9" s="1" t="str">
        <f>VLOOKUP($C9,Sheet2!$A$2:$B$10,2,0)</f>
        <v>141186-74360</v>
      </c>
      <c r="E9" s="7" t="s">
        <v>46</v>
      </c>
      <c r="F9" s="12">
        <v>45972</v>
      </c>
      <c r="G9" s="13">
        <v>0.27083333333333331</v>
      </c>
      <c r="H9" s="1" t="s">
        <v>31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528</v>
      </c>
      <c r="P9" s="1">
        <v>910102394</v>
      </c>
    </row>
    <row r="10" spans="1:19" x14ac:dyDescent="0.25">
      <c r="A10" s="15" t="s">
        <v>516</v>
      </c>
      <c r="B10" s="16" t="s">
        <v>500</v>
      </c>
      <c r="C10" s="1" t="s">
        <v>50</v>
      </c>
      <c r="D10" s="1" t="str">
        <f>VLOOKUP($C10,Sheet2!$A$2:$B$10,2,0)</f>
        <v>116040-92240</v>
      </c>
      <c r="E10" s="7" t="s">
        <v>51</v>
      </c>
      <c r="F10" s="12">
        <v>45972</v>
      </c>
      <c r="G10" s="13">
        <v>0.27083333333333331</v>
      </c>
      <c r="H10" s="1" t="s">
        <v>52</v>
      </c>
      <c r="I10" s="1" t="s">
        <v>10</v>
      </c>
      <c r="J10" s="1">
        <v>18</v>
      </c>
      <c r="K10" s="14">
        <f>VLOOKUP($C10,Sheet2!$A$2:$D$10,4,0)</f>
        <v>6</v>
      </c>
      <c r="L10" s="14" t="str">
        <f>VLOOKUP($C10,Sheet2!$A$2:$E$10,5,0)</f>
        <v>Bin</v>
      </c>
      <c r="M10" s="14">
        <f t="shared" ref="M10:M12" si="0">J10/K10</f>
        <v>3</v>
      </c>
      <c r="N10" s="1"/>
      <c r="O10" s="1" t="s">
        <v>528</v>
      </c>
      <c r="P10" s="1" t="s">
        <v>463</v>
      </c>
    </row>
    <row r="11" spans="1:19" x14ac:dyDescent="0.25">
      <c r="A11" s="15" t="s">
        <v>516</v>
      </c>
      <c r="B11" s="16" t="s">
        <v>505</v>
      </c>
      <c r="C11" s="1" t="s">
        <v>59</v>
      </c>
      <c r="D11" s="1" t="str">
        <f>VLOOKUP($C11,Sheet2!$A$2:$B$10,2,0)</f>
        <v>114010-50820</v>
      </c>
      <c r="E11" s="7" t="s">
        <v>60</v>
      </c>
      <c r="F11" s="12">
        <v>45972</v>
      </c>
      <c r="G11" s="13">
        <v>0.27083333333333331</v>
      </c>
      <c r="H11" s="1" t="s">
        <v>52</v>
      </c>
      <c r="I11" s="1" t="s">
        <v>10</v>
      </c>
      <c r="J11" s="1">
        <v>10</v>
      </c>
      <c r="K11" s="14">
        <f>VLOOKUP($C11,Sheet2!$A$2:$D$10,4,0)</f>
        <v>1</v>
      </c>
      <c r="L11" s="14" t="str">
        <f>VLOOKUP($C11,Sheet2!$A$2:$E$10,5,0)</f>
        <v>Bin</v>
      </c>
      <c r="M11" s="14">
        <f t="shared" si="0"/>
        <v>10</v>
      </c>
      <c r="N11" s="1"/>
      <c r="O11" s="1" t="s">
        <v>528</v>
      </c>
      <c r="P11" s="1" t="s">
        <v>582</v>
      </c>
    </row>
    <row r="12" spans="1:19" x14ac:dyDescent="0.25">
      <c r="A12" s="15" t="s">
        <v>516</v>
      </c>
      <c r="B12" s="16" t="s">
        <v>510</v>
      </c>
      <c r="C12" s="1" t="s">
        <v>67</v>
      </c>
      <c r="D12" s="1" t="str">
        <f>VLOOKUP($C12,Sheet2!$A$2:$B$10,2,0)</f>
        <v>114010-50830</v>
      </c>
      <c r="E12" s="7" t="s">
        <v>60</v>
      </c>
      <c r="F12" s="12">
        <v>45972</v>
      </c>
      <c r="G12" s="13">
        <v>0.27083333333333331</v>
      </c>
      <c r="H12" s="1" t="s">
        <v>52</v>
      </c>
      <c r="I12" s="1" t="s">
        <v>10</v>
      </c>
      <c r="J12" s="1">
        <v>10</v>
      </c>
      <c r="K12" s="14">
        <f>VLOOKUP($C12,Sheet2!$A$2:$D$10,4,0)</f>
        <v>1</v>
      </c>
      <c r="L12" s="14" t="str">
        <f>VLOOKUP($C12,Sheet2!$A$2:$E$10,5,0)</f>
        <v>Bin</v>
      </c>
      <c r="M12" s="14">
        <f t="shared" si="0"/>
        <v>10</v>
      </c>
      <c r="N12" s="1"/>
      <c r="O12" s="1" t="s">
        <v>528</v>
      </c>
      <c r="P12" s="1" t="s">
        <v>587</v>
      </c>
    </row>
    <row r="13" spans="1:19" s="20" customForma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>
        <v>43</v>
      </c>
      <c r="N13" s="9">
        <v>4</v>
      </c>
      <c r="O13" s="9"/>
      <c r="P13" s="9"/>
    </row>
    <row r="14" spans="1:19" x14ac:dyDescent="0.25">
      <c r="A14" s="15" t="s">
        <v>517</v>
      </c>
      <c r="B14" s="16" t="s">
        <v>475</v>
      </c>
      <c r="C14" s="1" t="s">
        <v>7</v>
      </c>
      <c r="D14" s="1" t="str">
        <f>VLOOKUP($C14,Sheet2!$A$2:$B$10,2,0)</f>
        <v>141110-14600</v>
      </c>
      <c r="E14" s="7" t="s">
        <v>8</v>
      </c>
      <c r="F14" s="12">
        <v>45972</v>
      </c>
      <c r="G14" s="13">
        <v>0.3125</v>
      </c>
      <c r="H14" s="1" t="s">
        <v>9</v>
      </c>
      <c r="I14" s="1" t="s">
        <v>10</v>
      </c>
      <c r="J14" s="1">
        <v>18</v>
      </c>
      <c r="K14" s="14">
        <f>VLOOKUP($C14,Sheet2!$A$2:$D$10,4,0)</f>
        <v>18</v>
      </c>
      <c r="L14" s="14" t="str">
        <f>VLOOKUP($C14,Sheet2!$A$2:$E$10,5,0)</f>
        <v>Trolley (H)</v>
      </c>
      <c r="M14" s="14"/>
      <c r="N14" s="63">
        <v>1</v>
      </c>
      <c r="O14" s="1" t="s">
        <v>171</v>
      </c>
      <c r="P14" s="1" t="s">
        <v>585</v>
      </c>
    </row>
    <row r="15" spans="1:19" x14ac:dyDescent="0.25">
      <c r="A15" s="15" t="s">
        <v>517</v>
      </c>
      <c r="B15" s="16" t="s">
        <v>479</v>
      </c>
      <c r="C15" s="1" t="s">
        <v>16</v>
      </c>
      <c r="D15" s="1" t="str">
        <f>VLOOKUP($C15,Sheet2!$A$2:$B$10,2,0)</f>
        <v>141120-14600</v>
      </c>
      <c r="E15" s="7" t="s">
        <v>17</v>
      </c>
      <c r="F15" s="12">
        <v>45972</v>
      </c>
      <c r="G15" s="13">
        <v>0.3125</v>
      </c>
      <c r="H15" s="1" t="s">
        <v>9</v>
      </c>
      <c r="I15" s="1" t="s">
        <v>10</v>
      </c>
      <c r="J15" s="1">
        <v>18</v>
      </c>
      <c r="K15" s="14">
        <f>VLOOKUP($C15,Sheet2!$A$2:$D$10,4,0)</f>
        <v>18</v>
      </c>
      <c r="L15" s="14" t="str">
        <f>VLOOKUP($C15,Sheet2!$A$2:$E$10,5,0)</f>
        <v>Trolley (H)</v>
      </c>
      <c r="M15" s="14"/>
      <c r="N15" s="64"/>
      <c r="O15" s="1" t="s">
        <v>171</v>
      </c>
      <c r="P15" s="1" t="s">
        <v>585</v>
      </c>
    </row>
    <row r="16" spans="1:19" x14ac:dyDescent="0.25">
      <c r="A16" s="15" t="s">
        <v>517</v>
      </c>
      <c r="B16" s="16" t="s">
        <v>483</v>
      </c>
      <c r="C16" s="1" t="s">
        <v>23</v>
      </c>
      <c r="D16" s="1" t="str">
        <f>VLOOKUP($C16,Sheet2!$A$2:$B$10,2,0)</f>
        <v>141185-74670</v>
      </c>
      <c r="E16" s="7" t="s">
        <v>24</v>
      </c>
      <c r="F16" s="12">
        <v>45972</v>
      </c>
      <c r="G16" s="13">
        <v>0.3125</v>
      </c>
      <c r="H16" s="1" t="s">
        <v>9</v>
      </c>
      <c r="I16" s="1" t="s">
        <v>10</v>
      </c>
      <c r="J16" s="1">
        <v>40</v>
      </c>
      <c r="K16" s="14">
        <f>VLOOKUP($C16,Sheet2!$A$2:$D$10,4,0)</f>
        <v>40</v>
      </c>
      <c r="L16" s="14" t="str">
        <f>VLOOKUP($C16,Sheet2!$A$2:$E$10,5,0)</f>
        <v>Trolley</v>
      </c>
      <c r="M16" s="14"/>
      <c r="N16" s="1">
        <f>J16/K16</f>
        <v>1</v>
      </c>
      <c r="O16" s="1" t="s">
        <v>171</v>
      </c>
      <c r="P16" s="1">
        <v>910101143</v>
      </c>
    </row>
    <row r="17" spans="1:17" x14ac:dyDescent="0.25">
      <c r="A17" s="15" t="s">
        <v>517</v>
      </c>
      <c r="B17" s="16" t="s">
        <v>487</v>
      </c>
      <c r="C17" s="1" t="s">
        <v>29</v>
      </c>
      <c r="D17" s="1" t="str">
        <f>VLOOKUP($C17,Sheet2!$A$2:$B$10,2,0)</f>
        <v>141140-91211</v>
      </c>
      <c r="E17" s="7" t="s">
        <v>30</v>
      </c>
      <c r="F17" s="12">
        <v>45972</v>
      </c>
      <c r="G17" s="13">
        <v>0.3125</v>
      </c>
      <c r="H17" s="1" t="s">
        <v>31</v>
      </c>
      <c r="I17" s="1" t="s">
        <v>10</v>
      </c>
      <c r="J17" s="1">
        <v>20</v>
      </c>
      <c r="K17" s="14">
        <f>VLOOKUP($C17,Sheet2!$A$2:$D$10,4,0)</f>
        <v>2</v>
      </c>
      <c r="L17" s="14" t="str">
        <f>VLOOKUP($C17,Sheet2!$A$2:$E$10,5,0)</f>
        <v>Bin</v>
      </c>
      <c r="M17" s="14">
        <f t="shared" ref="M17:M18" si="1">J17/K17</f>
        <v>10</v>
      </c>
      <c r="N17" s="1"/>
      <c r="O17" s="1" t="s">
        <v>171</v>
      </c>
      <c r="P17" s="1" t="s">
        <v>412</v>
      </c>
    </row>
    <row r="18" spans="1:17" x14ac:dyDescent="0.25">
      <c r="A18" s="15" t="s">
        <v>517</v>
      </c>
      <c r="B18" s="16" t="s">
        <v>492</v>
      </c>
      <c r="C18" s="1" t="s">
        <v>37</v>
      </c>
      <c r="D18" s="1" t="str">
        <f>VLOOKUP($C18,Sheet2!$A$2:$B$10,2,0)</f>
        <v>141150-91211</v>
      </c>
      <c r="E18" s="7" t="s">
        <v>38</v>
      </c>
      <c r="F18" s="12">
        <v>45972</v>
      </c>
      <c r="G18" s="13">
        <v>0.3125</v>
      </c>
      <c r="H18" s="1" t="s">
        <v>31</v>
      </c>
      <c r="I18" s="1" t="s">
        <v>10</v>
      </c>
      <c r="J18" s="1">
        <v>20</v>
      </c>
      <c r="K18" s="14">
        <f>VLOOKUP($C18,Sheet2!$A$2:$D$10,4,0)</f>
        <v>2</v>
      </c>
      <c r="L18" s="14" t="str">
        <f>VLOOKUP($C18,Sheet2!$A$2:$E$10,5,0)</f>
        <v>Bin</v>
      </c>
      <c r="M18" s="14">
        <f t="shared" si="1"/>
        <v>10</v>
      </c>
      <c r="N18" s="1"/>
      <c r="O18" s="1" t="s">
        <v>171</v>
      </c>
      <c r="P18" s="1" t="s">
        <v>412</v>
      </c>
    </row>
    <row r="19" spans="1:17" x14ac:dyDescent="0.25">
      <c r="A19" s="15" t="s">
        <v>517</v>
      </c>
      <c r="B19" s="16" t="s">
        <v>497</v>
      </c>
      <c r="C19" s="1" t="s">
        <v>45</v>
      </c>
      <c r="D19" s="1" t="str">
        <f>VLOOKUP($C19,Sheet2!$A$2:$B$10,2,0)</f>
        <v>141186-74360</v>
      </c>
      <c r="E19" s="7" t="s">
        <v>46</v>
      </c>
      <c r="F19" s="12">
        <v>45972</v>
      </c>
      <c r="G19" s="13">
        <v>0.3125</v>
      </c>
      <c r="H19" s="1" t="s">
        <v>31</v>
      </c>
      <c r="I19" s="1" t="s">
        <v>10</v>
      </c>
      <c r="J19" s="1">
        <v>40</v>
      </c>
      <c r="K19" s="14">
        <f>VLOOKUP($C19,Sheet2!$A$2:$D$10,4,0)</f>
        <v>40</v>
      </c>
      <c r="L19" s="14" t="str">
        <f>VLOOKUP($C19,Sheet2!$A$2:$E$10,5,0)</f>
        <v>Trolley</v>
      </c>
      <c r="M19" s="14"/>
      <c r="N19" s="1">
        <f>J19/K19</f>
        <v>1</v>
      </c>
      <c r="O19" s="1" t="s">
        <v>171</v>
      </c>
      <c r="P19" s="1">
        <v>910102394</v>
      </c>
    </row>
    <row r="20" spans="1:17" x14ac:dyDescent="0.25">
      <c r="A20" s="15" t="s">
        <v>518</v>
      </c>
      <c r="B20" s="16" t="s">
        <v>501</v>
      </c>
      <c r="C20" s="1" t="s">
        <v>50</v>
      </c>
      <c r="D20" s="1" t="str">
        <f>VLOOKUP($C20,Sheet2!$A$2:$B$10,2,0)</f>
        <v>116040-92240</v>
      </c>
      <c r="E20" s="7" t="s">
        <v>51</v>
      </c>
      <c r="F20" s="12">
        <v>45972</v>
      </c>
      <c r="G20" s="13">
        <v>0.3125</v>
      </c>
      <c r="H20" s="1" t="s">
        <v>52</v>
      </c>
      <c r="I20" s="1" t="s">
        <v>10</v>
      </c>
      <c r="J20" s="1">
        <v>18</v>
      </c>
      <c r="K20" s="14">
        <f>VLOOKUP($C20,Sheet2!$A$2:$D$10,4,0)</f>
        <v>6</v>
      </c>
      <c r="L20" s="14" t="str">
        <f>VLOOKUP($C20,Sheet2!$A$2:$E$10,5,0)</f>
        <v>Bin</v>
      </c>
      <c r="M20" s="14">
        <f t="shared" ref="M20:M22" si="2">J20/K20</f>
        <v>3</v>
      </c>
      <c r="N20" s="1"/>
      <c r="O20" s="1" t="s">
        <v>171</v>
      </c>
      <c r="P20" s="1" t="s">
        <v>463</v>
      </c>
    </row>
    <row r="21" spans="1:17" x14ac:dyDescent="0.25">
      <c r="A21" s="15" t="s">
        <v>518</v>
      </c>
      <c r="B21" s="16" t="s">
        <v>506</v>
      </c>
      <c r="C21" s="1" t="s">
        <v>59</v>
      </c>
      <c r="D21" s="1" t="str">
        <f>VLOOKUP($C21,Sheet2!$A$2:$B$10,2,0)</f>
        <v>114010-50820</v>
      </c>
      <c r="E21" s="7" t="s">
        <v>60</v>
      </c>
      <c r="F21" s="12">
        <v>45972</v>
      </c>
      <c r="G21" s="13">
        <v>0.3125</v>
      </c>
      <c r="H21" s="1" t="s">
        <v>52</v>
      </c>
      <c r="I21" s="1" t="s">
        <v>10</v>
      </c>
      <c r="J21" s="1">
        <v>9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9</v>
      </c>
      <c r="N21" s="1"/>
      <c r="O21" s="1" t="s">
        <v>171</v>
      </c>
      <c r="P21" s="1" t="s">
        <v>582</v>
      </c>
    </row>
    <row r="22" spans="1:17" ht="15.75" thickBot="1" x14ac:dyDescent="0.3">
      <c r="A22" s="15" t="s">
        <v>518</v>
      </c>
      <c r="B22" s="16" t="s">
        <v>511</v>
      </c>
      <c r="C22" s="1" t="s">
        <v>67</v>
      </c>
      <c r="D22" s="1" t="str">
        <f>VLOOKUP($C22,Sheet2!$A$2:$B$10,2,0)</f>
        <v>114010-50830</v>
      </c>
      <c r="E22" s="7" t="s">
        <v>60</v>
      </c>
      <c r="F22" s="12">
        <v>45972</v>
      </c>
      <c r="G22" s="19">
        <v>0.3125</v>
      </c>
      <c r="H22" s="1" t="s">
        <v>52</v>
      </c>
      <c r="I22" s="1" t="s">
        <v>10</v>
      </c>
      <c r="J22" s="1">
        <v>11</v>
      </c>
      <c r="K22" s="14">
        <f>VLOOKUP($C22,Sheet2!$A$2:$D$10,4,0)</f>
        <v>1</v>
      </c>
      <c r="L22" s="14" t="str">
        <f>VLOOKUP($C22,Sheet2!$A$2:$E$10,5,0)</f>
        <v>Bin</v>
      </c>
      <c r="M22" s="14">
        <f t="shared" si="2"/>
        <v>11</v>
      </c>
      <c r="N22" s="1"/>
      <c r="O22" s="1" t="s">
        <v>171</v>
      </c>
      <c r="P22" s="1" t="s">
        <v>588</v>
      </c>
    </row>
    <row r="23" spans="1:17" ht="15.75" thickTop="1" x14ac:dyDescent="0.25">
      <c r="A23" s="15" t="s">
        <v>519</v>
      </c>
      <c r="B23" s="16" t="s">
        <v>476</v>
      </c>
      <c r="C23" s="1" t="s">
        <v>7</v>
      </c>
      <c r="D23" s="1" t="str">
        <f>VLOOKUP($C23,Sheet2!$A$2:$B$10,2,0)</f>
        <v>141110-14600</v>
      </c>
      <c r="E23" s="7" t="s">
        <v>8</v>
      </c>
      <c r="F23" s="12">
        <v>45972</v>
      </c>
      <c r="G23" s="18">
        <v>0.35416666666666669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3">
        <v>1</v>
      </c>
      <c r="O23" s="1" t="s">
        <v>171</v>
      </c>
      <c r="P23" s="1" t="s">
        <v>585</v>
      </c>
      <c r="Q23" s="29"/>
    </row>
    <row r="24" spans="1:17" x14ac:dyDescent="0.25">
      <c r="A24" s="15" t="s">
        <v>519</v>
      </c>
      <c r="B24" s="16" t="s">
        <v>480</v>
      </c>
      <c r="C24" s="1" t="s">
        <v>16</v>
      </c>
      <c r="D24" s="1" t="str">
        <f>VLOOKUP($C24,Sheet2!$A$2:$B$10,2,0)</f>
        <v>141120-14600</v>
      </c>
      <c r="E24" s="7" t="s">
        <v>17</v>
      </c>
      <c r="F24" s="12">
        <v>45972</v>
      </c>
      <c r="G24" s="13">
        <v>0.35416666666666669</v>
      </c>
      <c r="H24" s="1" t="s">
        <v>9</v>
      </c>
      <c r="I24" s="1" t="s">
        <v>10</v>
      </c>
      <c r="J24" s="1">
        <v>18</v>
      </c>
      <c r="K24" s="14">
        <f>VLOOKUP($C24,Sheet2!$A$2:$D$10,4,0)</f>
        <v>18</v>
      </c>
      <c r="L24" s="14" t="str">
        <f>VLOOKUP($C24,Sheet2!$A$2:$E$10,5,0)</f>
        <v>Trolley (H)</v>
      </c>
      <c r="M24" s="14"/>
      <c r="N24" s="64"/>
      <c r="O24" s="1" t="s">
        <v>171</v>
      </c>
      <c r="P24" s="1" t="s">
        <v>585</v>
      </c>
    </row>
    <row r="25" spans="1:17" x14ac:dyDescent="0.25">
      <c r="A25" s="15" t="s">
        <v>519</v>
      </c>
      <c r="B25" s="16" t="s">
        <v>488</v>
      </c>
      <c r="C25" s="1" t="s">
        <v>29</v>
      </c>
      <c r="D25" s="1" t="str">
        <f>VLOOKUP($C25,Sheet2!$A$2:$B$10,2,0)</f>
        <v>141140-91211</v>
      </c>
      <c r="E25" s="7" t="s">
        <v>30</v>
      </c>
      <c r="F25" s="12">
        <v>45972</v>
      </c>
      <c r="G25" s="13">
        <v>0.35416666666666669</v>
      </c>
      <c r="H25" s="1" t="s">
        <v>31</v>
      </c>
      <c r="I25" s="1" t="s">
        <v>10</v>
      </c>
      <c r="J25" s="1">
        <v>10</v>
      </c>
      <c r="K25" s="14">
        <f>VLOOKUP($C25,Sheet2!$A$2:$D$10,4,0)</f>
        <v>2</v>
      </c>
      <c r="L25" s="14" t="str">
        <f>VLOOKUP($C25,Sheet2!$A$2:$E$10,5,0)</f>
        <v>Bin</v>
      </c>
      <c r="M25" s="14">
        <f t="shared" ref="M25:M29" si="3">J25/K25</f>
        <v>5</v>
      </c>
      <c r="N25" s="1"/>
      <c r="O25" s="1" t="s">
        <v>171</v>
      </c>
      <c r="P25" s="1" t="s">
        <v>412</v>
      </c>
    </row>
    <row r="26" spans="1:17" x14ac:dyDescent="0.25">
      <c r="A26" s="15" t="s">
        <v>519</v>
      </c>
      <c r="B26" s="16" t="s">
        <v>493</v>
      </c>
      <c r="C26" s="1" t="s">
        <v>37</v>
      </c>
      <c r="D26" s="1" t="str">
        <f>VLOOKUP($C26,Sheet2!$A$2:$B$10,2,0)</f>
        <v>141150-91211</v>
      </c>
      <c r="E26" s="7" t="s">
        <v>38</v>
      </c>
      <c r="F26" s="12">
        <v>45972</v>
      </c>
      <c r="G26" s="13">
        <v>0.35416666666666669</v>
      </c>
      <c r="H26" s="1" t="s">
        <v>31</v>
      </c>
      <c r="I26" s="1" t="s">
        <v>10</v>
      </c>
      <c r="J26" s="1">
        <v>10</v>
      </c>
      <c r="K26" s="14">
        <f>VLOOKUP($C26,Sheet2!$A$2:$D$10,4,0)</f>
        <v>2</v>
      </c>
      <c r="L26" s="14" t="str">
        <f>VLOOKUP($C26,Sheet2!$A$2:$E$10,5,0)</f>
        <v>Bin</v>
      </c>
      <c r="M26" s="14">
        <f t="shared" si="3"/>
        <v>5</v>
      </c>
      <c r="N26" s="1"/>
      <c r="O26" s="1" t="s">
        <v>171</v>
      </c>
      <c r="P26" s="1" t="s">
        <v>412</v>
      </c>
    </row>
    <row r="27" spans="1:17" x14ac:dyDescent="0.25">
      <c r="A27" s="15" t="s">
        <v>520</v>
      </c>
      <c r="B27" s="16" t="s">
        <v>502</v>
      </c>
      <c r="C27" s="1" t="s">
        <v>50</v>
      </c>
      <c r="D27" s="1" t="str">
        <f>VLOOKUP($C27,Sheet2!$A$2:$B$10,2,0)</f>
        <v>116040-92240</v>
      </c>
      <c r="E27" s="7" t="s">
        <v>51</v>
      </c>
      <c r="F27" s="12">
        <v>45972</v>
      </c>
      <c r="G27" s="13">
        <v>0.35416666666666669</v>
      </c>
      <c r="H27" s="1" t="s">
        <v>52</v>
      </c>
      <c r="I27" s="1" t="s">
        <v>10</v>
      </c>
      <c r="J27" s="1">
        <v>12</v>
      </c>
      <c r="K27" s="14">
        <f>VLOOKUP($C27,Sheet2!$A$2:$D$10,4,0)</f>
        <v>6</v>
      </c>
      <c r="L27" s="14" t="str">
        <f>VLOOKUP($C27,Sheet2!$A$2:$E$10,5,0)</f>
        <v>Bin</v>
      </c>
      <c r="M27" s="14">
        <f t="shared" si="3"/>
        <v>2</v>
      </c>
      <c r="N27" s="1"/>
      <c r="O27" s="1" t="s">
        <v>171</v>
      </c>
      <c r="P27" s="1" t="s">
        <v>463</v>
      </c>
    </row>
    <row r="28" spans="1:17" x14ac:dyDescent="0.25">
      <c r="A28" s="15" t="s">
        <v>520</v>
      </c>
      <c r="B28" s="16" t="s">
        <v>507</v>
      </c>
      <c r="C28" s="1" t="s">
        <v>59</v>
      </c>
      <c r="D28" s="1" t="str">
        <f>VLOOKUP($C28,Sheet2!$A$2:$B$10,2,0)</f>
        <v>114010-50820</v>
      </c>
      <c r="E28" s="7" t="s">
        <v>60</v>
      </c>
      <c r="F28" s="12">
        <v>45972</v>
      </c>
      <c r="G28" s="13">
        <v>0.35416666666666669</v>
      </c>
      <c r="H28" s="1" t="s">
        <v>52</v>
      </c>
      <c r="I28" s="1" t="s">
        <v>10</v>
      </c>
      <c r="J28" s="1">
        <v>6</v>
      </c>
      <c r="K28" s="14">
        <f>VLOOKUP($C28,Sheet2!$A$2:$D$10,4,0)</f>
        <v>1</v>
      </c>
      <c r="L28" s="14" t="str">
        <f>VLOOKUP($C28,Sheet2!$A$2:$E$10,5,0)</f>
        <v>Bin</v>
      </c>
      <c r="M28" s="14">
        <f t="shared" si="3"/>
        <v>6</v>
      </c>
      <c r="N28" s="1"/>
      <c r="O28" s="1" t="s">
        <v>171</v>
      </c>
      <c r="P28" s="1" t="s">
        <v>582</v>
      </c>
    </row>
    <row r="29" spans="1:17" x14ac:dyDescent="0.25">
      <c r="A29" s="15" t="s">
        <v>520</v>
      </c>
      <c r="B29" s="16" t="s">
        <v>512</v>
      </c>
      <c r="C29" s="1" t="s">
        <v>67</v>
      </c>
      <c r="D29" s="1" t="str">
        <f>VLOOKUP($C29,Sheet2!$A$2:$B$10,2,0)</f>
        <v>114010-50830</v>
      </c>
      <c r="E29" s="7" t="s">
        <v>60</v>
      </c>
      <c r="F29" s="12">
        <v>45972</v>
      </c>
      <c r="G29" s="13">
        <v>0.35416666666666669</v>
      </c>
      <c r="H29" s="1" t="s">
        <v>52</v>
      </c>
      <c r="I29" s="1" t="s">
        <v>10</v>
      </c>
      <c r="J29" s="1">
        <v>3</v>
      </c>
      <c r="K29" s="14">
        <f>VLOOKUP($C29,Sheet2!$A$2:$D$10,4,0)</f>
        <v>1</v>
      </c>
      <c r="L29" s="14" t="str">
        <f>VLOOKUP($C29,Sheet2!$A$2:$E$10,5,0)</f>
        <v>Bin</v>
      </c>
      <c r="M29" s="14">
        <f t="shared" si="3"/>
        <v>3</v>
      </c>
      <c r="N29" s="1"/>
      <c r="O29" s="1" t="s">
        <v>171</v>
      </c>
      <c r="P29" s="1" t="s">
        <v>587</v>
      </c>
    </row>
    <row r="30" spans="1:17" s="20" customForma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>
        <v>64</v>
      </c>
      <c r="N30" s="9">
        <v>4</v>
      </c>
      <c r="O30" s="9"/>
      <c r="P30" s="9"/>
    </row>
    <row r="31" spans="1:17" x14ac:dyDescent="0.25">
      <c r="A31" s="15" t="s">
        <v>521</v>
      </c>
      <c r="B31" s="16" t="s">
        <v>477</v>
      </c>
      <c r="C31" s="1" t="s">
        <v>7</v>
      </c>
      <c r="D31" s="1" t="str">
        <f>VLOOKUP($C31,Sheet2!$A$2:$B$10,2,0)</f>
        <v>141110-14600</v>
      </c>
      <c r="E31" s="7" t="s">
        <v>8</v>
      </c>
      <c r="F31" s="12">
        <v>45972</v>
      </c>
      <c r="G31" s="13">
        <v>0.60416666666666663</v>
      </c>
      <c r="H31" s="1" t="s">
        <v>9</v>
      </c>
      <c r="I31" s="1" t="s">
        <v>10</v>
      </c>
      <c r="J31" s="1">
        <v>18</v>
      </c>
      <c r="K31" s="14">
        <f>VLOOKUP($C31,Sheet2!$A$2:$D$10,4,0)</f>
        <v>18</v>
      </c>
      <c r="L31" s="14" t="str">
        <f>VLOOKUP($C31,Sheet2!$A$2:$E$10,5,0)</f>
        <v>Trolley (H)</v>
      </c>
      <c r="M31" s="14"/>
      <c r="N31" s="63">
        <v>1</v>
      </c>
      <c r="O31" s="1" t="s">
        <v>528</v>
      </c>
      <c r="P31" s="1" t="s">
        <v>585</v>
      </c>
    </row>
    <row r="32" spans="1:17" x14ac:dyDescent="0.25">
      <c r="A32" s="15" t="s">
        <v>521</v>
      </c>
      <c r="B32" s="16" t="s">
        <v>481</v>
      </c>
      <c r="C32" s="1" t="s">
        <v>16</v>
      </c>
      <c r="D32" s="1" t="str">
        <f>VLOOKUP($C32,Sheet2!$A$2:$B$10,2,0)</f>
        <v>141120-14600</v>
      </c>
      <c r="E32" s="7" t="s">
        <v>17</v>
      </c>
      <c r="F32" s="12">
        <v>45972</v>
      </c>
      <c r="G32" s="13">
        <v>0.60416666666666663</v>
      </c>
      <c r="H32" s="1" t="s">
        <v>9</v>
      </c>
      <c r="I32" s="1" t="s">
        <v>10</v>
      </c>
      <c r="J32" s="1">
        <v>18</v>
      </c>
      <c r="K32" s="14">
        <f>VLOOKUP($C32,Sheet2!$A$2:$D$10,4,0)</f>
        <v>18</v>
      </c>
      <c r="L32" s="14" t="str">
        <f>VLOOKUP($C32,Sheet2!$A$2:$E$10,5,0)</f>
        <v>Trolley (H)</v>
      </c>
      <c r="M32" s="14"/>
      <c r="N32" s="64"/>
      <c r="O32" s="1" t="s">
        <v>528</v>
      </c>
      <c r="P32" s="1" t="s">
        <v>585</v>
      </c>
    </row>
    <row r="33" spans="1:16" x14ac:dyDescent="0.25">
      <c r="A33" s="15" t="s">
        <v>521</v>
      </c>
      <c r="B33" s="16" t="s">
        <v>484</v>
      </c>
      <c r="C33" s="1" t="s">
        <v>23</v>
      </c>
      <c r="D33" s="1" t="str">
        <f>VLOOKUP($C33,Sheet2!$A$2:$B$10,2,0)</f>
        <v>141185-74670</v>
      </c>
      <c r="E33" s="7" t="s">
        <v>24</v>
      </c>
      <c r="F33" s="12">
        <v>45972</v>
      </c>
      <c r="G33" s="13">
        <v>0.60416666666666663</v>
      </c>
      <c r="H33" s="1" t="s">
        <v>9</v>
      </c>
      <c r="I33" s="1" t="s">
        <v>10</v>
      </c>
      <c r="J33" s="1">
        <v>40</v>
      </c>
      <c r="K33" s="14">
        <f>VLOOKUP($C33,Sheet2!$A$2:$D$10,4,0)</f>
        <v>40</v>
      </c>
      <c r="L33" s="14" t="str">
        <f>VLOOKUP($C33,Sheet2!$A$2:$E$10,5,0)</f>
        <v>Trolley</v>
      </c>
      <c r="M33" s="14"/>
      <c r="N33" s="1">
        <f>J33/K33</f>
        <v>1</v>
      </c>
      <c r="O33" s="1" t="s">
        <v>528</v>
      </c>
      <c r="P33" s="1">
        <v>910101143</v>
      </c>
    </row>
    <row r="34" spans="1:16" x14ac:dyDescent="0.25">
      <c r="A34" s="15" t="s">
        <v>521</v>
      </c>
      <c r="B34" s="16" t="s">
        <v>489</v>
      </c>
      <c r="C34" s="1" t="s">
        <v>29</v>
      </c>
      <c r="D34" s="1" t="str">
        <f>VLOOKUP($C34,Sheet2!$A$2:$B$10,2,0)</f>
        <v>141140-91211</v>
      </c>
      <c r="E34" s="7" t="s">
        <v>30</v>
      </c>
      <c r="F34" s="12">
        <v>45972</v>
      </c>
      <c r="G34" s="13">
        <v>0.60416666666666663</v>
      </c>
      <c r="H34" s="1" t="s">
        <v>31</v>
      </c>
      <c r="I34" s="1" t="s">
        <v>10</v>
      </c>
      <c r="J34" s="1">
        <v>20</v>
      </c>
      <c r="K34" s="14">
        <f>VLOOKUP($C34,Sheet2!$A$2:$D$10,4,0)</f>
        <v>2</v>
      </c>
      <c r="L34" s="14" t="str">
        <f>VLOOKUP($C34,Sheet2!$A$2:$E$10,5,0)</f>
        <v>Bin</v>
      </c>
      <c r="M34" s="14">
        <f t="shared" ref="M34:M35" si="4">J34/K34</f>
        <v>10</v>
      </c>
      <c r="N34" s="1"/>
      <c r="O34" s="1" t="s">
        <v>528</v>
      </c>
      <c r="P34" s="1" t="s">
        <v>412</v>
      </c>
    </row>
    <row r="35" spans="1:16" x14ac:dyDescent="0.25">
      <c r="A35" s="15" t="s">
        <v>521</v>
      </c>
      <c r="B35" s="16" t="s">
        <v>494</v>
      </c>
      <c r="C35" s="1" t="s">
        <v>37</v>
      </c>
      <c r="D35" s="1" t="str">
        <f>VLOOKUP($C35,Sheet2!$A$2:$B$10,2,0)</f>
        <v>141150-91211</v>
      </c>
      <c r="E35" s="7" t="s">
        <v>38</v>
      </c>
      <c r="F35" s="12">
        <v>45972</v>
      </c>
      <c r="G35" s="13">
        <v>0.60416666666666663</v>
      </c>
      <c r="H35" s="1" t="s">
        <v>31</v>
      </c>
      <c r="I35" s="1" t="s">
        <v>10</v>
      </c>
      <c r="J35" s="1">
        <v>20</v>
      </c>
      <c r="K35" s="14">
        <f>VLOOKUP($C35,Sheet2!$A$2:$D$10,4,0)</f>
        <v>2</v>
      </c>
      <c r="L35" s="14" t="str">
        <f>VLOOKUP($C35,Sheet2!$A$2:$E$10,5,0)</f>
        <v>Bin</v>
      </c>
      <c r="M35" s="14">
        <f t="shared" si="4"/>
        <v>10</v>
      </c>
      <c r="N35" s="1"/>
      <c r="O35" s="1" t="s">
        <v>528</v>
      </c>
      <c r="P35" s="1" t="s">
        <v>412</v>
      </c>
    </row>
    <row r="36" spans="1:16" x14ac:dyDescent="0.25">
      <c r="A36" s="15" t="s">
        <v>521</v>
      </c>
      <c r="B36" s="16" t="s">
        <v>498</v>
      </c>
      <c r="C36" s="1" t="s">
        <v>45</v>
      </c>
      <c r="D36" s="1" t="str">
        <f>VLOOKUP($C36,Sheet2!$A$2:$B$10,2,0)</f>
        <v>141186-74360</v>
      </c>
      <c r="E36" s="7" t="s">
        <v>46</v>
      </c>
      <c r="F36" s="12">
        <v>45972</v>
      </c>
      <c r="G36" s="13">
        <v>0.60416666666666663</v>
      </c>
      <c r="H36" s="1" t="s">
        <v>31</v>
      </c>
      <c r="I36" s="1" t="s">
        <v>10</v>
      </c>
      <c r="J36" s="1">
        <v>40</v>
      </c>
      <c r="K36" s="14">
        <f>VLOOKUP($C36,Sheet2!$A$2:$D$10,4,0)</f>
        <v>40</v>
      </c>
      <c r="L36" s="14" t="str">
        <f>VLOOKUP($C36,Sheet2!$A$2:$E$10,5,0)</f>
        <v>Trolley</v>
      </c>
      <c r="M36" s="14"/>
      <c r="N36" s="1">
        <f>J36/K36</f>
        <v>1</v>
      </c>
      <c r="O36" s="1" t="s">
        <v>528</v>
      </c>
      <c r="P36" s="1">
        <v>910102394</v>
      </c>
    </row>
    <row r="37" spans="1:16" x14ac:dyDescent="0.25">
      <c r="A37" s="15" t="s">
        <v>522</v>
      </c>
      <c r="B37" s="16" t="s">
        <v>503</v>
      </c>
      <c r="C37" s="1" t="s">
        <v>50</v>
      </c>
      <c r="D37" s="1" t="str">
        <f>VLOOKUP($C37,Sheet2!$A$2:$B$10,2,0)</f>
        <v>116040-92240</v>
      </c>
      <c r="E37" s="7" t="s">
        <v>51</v>
      </c>
      <c r="F37" s="12">
        <v>45972</v>
      </c>
      <c r="G37" s="13">
        <v>0.60416666666666663</v>
      </c>
      <c r="H37" s="1" t="s">
        <v>52</v>
      </c>
      <c r="I37" s="1" t="s">
        <v>10</v>
      </c>
      <c r="J37" s="1">
        <v>24</v>
      </c>
      <c r="K37" s="14">
        <f>VLOOKUP($C37,Sheet2!$A$2:$D$10,4,0)</f>
        <v>6</v>
      </c>
      <c r="L37" s="14" t="str">
        <f>VLOOKUP($C37,Sheet2!$A$2:$E$10,5,0)</f>
        <v>Bin</v>
      </c>
      <c r="M37" s="14">
        <f t="shared" ref="M37:M39" si="5">J37/K37</f>
        <v>4</v>
      </c>
      <c r="N37" s="1"/>
      <c r="O37" s="1" t="s">
        <v>528</v>
      </c>
      <c r="P37" s="1" t="s">
        <v>463</v>
      </c>
    </row>
    <row r="38" spans="1:16" x14ac:dyDescent="0.25">
      <c r="A38" s="15" t="s">
        <v>522</v>
      </c>
      <c r="B38" s="16" t="s">
        <v>508</v>
      </c>
      <c r="C38" s="1" t="s">
        <v>59</v>
      </c>
      <c r="D38" s="1" t="str">
        <f>VLOOKUP($C38,Sheet2!$A$2:$B$10,2,0)</f>
        <v>114010-50820</v>
      </c>
      <c r="E38" s="7" t="s">
        <v>60</v>
      </c>
      <c r="F38" s="12">
        <v>45972</v>
      </c>
      <c r="G38" s="13">
        <v>0.60416666666666663</v>
      </c>
      <c r="H38" s="1" t="s">
        <v>52</v>
      </c>
      <c r="I38" s="1" t="s">
        <v>10</v>
      </c>
      <c r="J38" s="1">
        <v>12</v>
      </c>
      <c r="K38" s="14">
        <f>VLOOKUP($C38,Sheet2!$A$2:$D$10,4,0)</f>
        <v>1</v>
      </c>
      <c r="L38" s="14" t="str">
        <f>VLOOKUP($C38,Sheet2!$A$2:$E$10,5,0)</f>
        <v>Bin</v>
      </c>
      <c r="M38" s="14">
        <f t="shared" si="5"/>
        <v>12</v>
      </c>
      <c r="N38" s="1"/>
      <c r="O38" s="1" t="s">
        <v>528</v>
      </c>
      <c r="P38" s="1" t="s">
        <v>582</v>
      </c>
    </row>
    <row r="39" spans="1:16" x14ac:dyDescent="0.25">
      <c r="A39" s="15" t="s">
        <v>522</v>
      </c>
      <c r="B39" s="16" t="s">
        <v>513</v>
      </c>
      <c r="C39" s="1" t="s">
        <v>67</v>
      </c>
      <c r="D39" s="1" t="str">
        <f>VLOOKUP($C39,Sheet2!$A$2:$B$10,2,0)</f>
        <v>114010-50830</v>
      </c>
      <c r="E39" s="7" t="s">
        <v>60</v>
      </c>
      <c r="F39" s="12">
        <v>45972</v>
      </c>
      <c r="G39" s="13">
        <v>0.60416666666666663</v>
      </c>
      <c r="H39" s="1" t="s">
        <v>52</v>
      </c>
      <c r="I39" s="1" t="s">
        <v>10</v>
      </c>
      <c r="J39" s="1">
        <v>8</v>
      </c>
      <c r="K39" s="14">
        <f>VLOOKUP($C39,Sheet2!$A$2:$D$10,4,0)</f>
        <v>1</v>
      </c>
      <c r="L39" s="14" t="str">
        <f>VLOOKUP($C39,Sheet2!$A$2:$E$10,5,0)</f>
        <v>Bin</v>
      </c>
      <c r="M39" s="14">
        <f t="shared" si="5"/>
        <v>8</v>
      </c>
      <c r="N39" s="1"/>
      <c r="O39" s="1" t="s">
        <v>528</v>
      </c>
      <c r="P39" s="1" t="s">
        <v>587</v>
      </c>
    </row>
    <row r="40" spans="1:16" x14ac:dyDescent="0.25">
      <c r="A40" s="15" t="s">
        <v>523</v>
      </c>
      <c r="B40" s="16" t="s">
        <v>485</v>
      </c>
      <c r="C40" s="1" t="s">
        <v>23</v>
      </c>
      <c r="D40" s="1" t="str">
        <f>VLOOKUP($C40,Sheet2!$A$2:$B$10,2,0)</f>
        <v>141185-74670</v>
      </c>
      <c r="E40" s="7" t="s">
        <v>24</v>
      </c>
      <c r="F40" s="12">
        <v>45972</v>
      </c>
      <c r="G40" s="13">
        <v>0.8125</v>
      </c>
      <c r="H40" s="1" t="s">
        <v>9</v>
      </c>
      <c r="I40" s="1" t="s">
        <v>10</v>
      </c>
      <c r="J40" s="1">
        <v>80</v>
      </c>
      <c r="K40" s="14">
        <f>VLOOKUP($C40,Sheet2!$A$2:$D$10,4,0)</f>
        <v>40</v>
      </c>
      <c r="L40" s="14" t="str">
        <f>VLOOKUP($C40,Sheet2!$A$2:$E$10,5,0)</f>
        <v>Trolley</v>
      </c>
      <c r="M40" s="14"/>
      <c r="N40" s="1">
        <f>J40/K40</f>
        <v>2</v>
      </c>
      <c r="O40" s="1" t="s">
        <v>528</v>
      </c>
      <c r="P40" s="1" t="s">
        <v>589</v>
      </c>
    </row>
    <row r="41" spans="1:16" x14ac:dyDescent="0.25">
      <c r="A41" s="15" t="s">
        <v>523</v>
      </c>
      <c r="B41" s="16" t="s">
        <v>490</v>
      </c>
      <c r="C41" s="1" t="s">
        <v>29</v>
      </c>
      <c r="D41" s="1" t="str">
        <f>VLOOKUP($C41,Sheet2!$A$2:$B$10,2,0)</f>
        <v>141140-91211</v>
      </c>
      <c r="E41" s="7" t="s">
        <v>30</v>
      </c>
      <c r="F41" s="12">
        <v>45972</v>
      </c>
      <c r="G41" s="13">
        <v>0.8125</v>
      </c>
      <c r="H41" s="1" t="s">
        <v>31</v>
      </c>
      <c r="I41" s="1" t="s">
        <v>10</v>
      </c>
      <c r="J41" s="1">
        <v>24</v>
      </c>
      <c r="K41" s="14">
        <f>VLOOKUP($C41,Sheet2!$A$2:$D$10,4,0)</f>
        <v>2</v>
      </c>
      <c r="L41" s="14" t="str">
        <f>VLOOKUP($C41,Sheet2!$A$2:$E$10,5,0)</f>
        <v>Bin</v>
      </c>
      <c r="M41" s="14">
        <f t="shared" ref="M41:M42" si="6">J41/K41</f>
        <v>12</v>
      </c>
      <c r="N41" s="1"/>
      <c r="O41" s="1" t="s">
        <v>528</v>
      </c>
      <c r="P41" s="1" t="s">
        <v>412</v>
      </c>
    </row>
    <row r="42" spans="1:16" x14ac:dyDescent="0.25">
      <c r="A42" s="15" t="s">
        <v>523</v>
      </c>
      <c r="B42" s="16" t="s">
        <v>495</v>
      </c>
      <c r="C42" s="1" t="s">
        <v>37</v>
      </c>
      <c r="D42" s="1" t="str">
        <f>VLOOKUP($C42,Sheet2!$A$2:$B$10,2,0)</f>
        <v>141150-91211</v>
      </c>
      <c r="E42" s="7" t="s">
        <v>38</v>
      </c>
      <c r="F42" s="12">
        <v>45972</v>
      </c>
      <c r="G42" s="13">
        <v>0.8125</v>
      </c>
      <c r="H42" s="1" t="s">
        <v>31</v>
      </c>
      <c r="I42" s="1" t="s">
        <v>10</v>
      </c>
      <c r="J42" s="1">
        <v>24</v>
      </c>
      <c r="K42" s="14">
        <f>VLOOKUP($C42,Sheet2!$A$2:$D$10,4,0)</f>
        <v>2</v>
      </c>
      <c r="L42" s="14" t="str">
        <f>VLOOKUP($C42,Sheet2!$A$2:$E$10,5,0)</f>
        <v>Bin</v>
      </c>
      <c r="M42" s="14">
        <f t="shared" si="6"/>
        <v>12</v>
      </c>
      <c r="N42" s="1"/>
      <c r="O42" s="1" t="s">
        <v>528</v>
      </c>
      <c r="P42" s="1" t="s">
        <v>412</v>
      </c>
    </row>
    <row r="43" spans="1:16" x14ac:dyDescent="0.25">
      <c r="A43" s="15" t="s">
        <v>523</v>
      </c>
      <c r="B43" s="16" t="s">
        <v>499</v>
      </c>
      <c r="C43" s="1" t="s">
        <v>45</v>
      </c>
      <c r="D43" s="1" t="str">
        <f>VLOOKUP($C43,Sheet2!$A$2:$B$10,2,0)</f>
        <v>141186-74360</v>
      </c>
      <c r="E43" s="7" t="s">
        <v>46</v>
      </c>
      <c r="F43" s="12">
        <v>45972</v>
      </c>
      <c r="G43" s="13">
        <v>0.8125</v>
      </c>
      <c r="H43" s="1" t="s">
        <v>31</v>
      </c>
      <c r="I43" s="1" t="s">
        <v>10</v>
      </c>
      <c r="J43" s="1">
        <v>40</v>
      </c>
      <c r="K43" s="14">
        <f>VLOOKUP($C43,Sheet2!$A$2:$D$10,4,0)</f>
        <v>40</v>
      </c>
      <c r="L43" s="14" t="str">
        <f>VLOOKUP($C43,Sheet2!$A$2:$E$10,5,0)</f>
        <v>Trolley</v>
      </c>
      <c r="M43" s="14"/>
      <c r="N43" s="1">
        <f>J43/K43</f>
        <v>1</v>
      </c>
      <c r="O43" s="1" t="s">
        <v>528</v>
      </c>
      <c r="P43" s="1">
        <v>910102507</v>
      </c>
    </row>
    <row r="44" spans="1:16" x14ac:dyDescent="0.25">
      <c r="A44" s="15" t="s">
        <v>524</v>
      </c>
      <c r="B44" s="16" t="s">
        <v>504</v>
      </c>
      <c r="C44" s="1" t="s">
        <v>50</v>
      </c>
      <c r="D44" s="1" t="str">
        <f>VLOOKUP($C44,Sheet2!$A$2:$B$10,2,0)</f>
        <v>116040-92240</v>
      </c>
      <c r="E44" s="7" t="s">
        <v>51</v>
      </c>
      <c r="F44" s="12">
        <v>45972</v>
      </c>
      <c r="G44" s="13">
        <v>0.8125</v>
      </c>
      <c r="H44" s="1" t="s">
        <v>52</v>
      </c>
      <c r="I44" s="1" t="s">
        <v>10</v>
      </c>
      <c r="J44" s="1">
        <v>24</v>
      </c>
      <c r="K44" s="14">
        <f>VLOOKUP($C44,Sheet2!$A$2:$D$10,4,0)</f>
        <v>6</v>
      </c>
      <c r="L44" s="14" t="str">
        <f>VLOOKUP($C44,Sheet2!$A$2:$E$10,5,0)</f>
        <v>Bin</v>
      </c>
      <c r="M44" s="14">
        <f t="shared" ref="M44:M46" si="7">J44/K44</f>
        <v>4</v>
      </c>
      <c r="N44" s="1"/>
      <c r="O44" s="1" t="s">
        <v>528</v>
      </c>
      <c r="P44" s="1" t="s">
        <v>463</v>
      </c>
    </row>
    <row r="45" spans="1:16" x14ac:dyDescent="0.25">
      <c r="A45" s="15" t="s">
        <v>524</v>
      </c>
      <c r="B45" s="16" t="s">
        <v>509</v>
      </c>
      <c r="C45" s="1" t="s">
        <v>59</v>
      </c>
      <c r="D45" s="1" t="str">
        <f>VLOOKUP($C45,Sheet2!$A$2:$B$10,2,0)</f>
        <v>114010-50820</v>
      </c>
      <c r="E45" s="7" t="s">
        <v>60</v>
      </c>
      <c r="F45" s="12">
        <v>45972</v>
      </c>
      <c r="G45" s="13">
        <v>0.8125</v>
      </c>
      <c r="H45" s="1" t="s">
        <v>52</v>
      </c>
      <c r="I45" s="1" t="s">
        <v>10</v>
      </c>
      <c r="J45" s="1">
        <v>10</v>
      </c>
      <c r="K45" s="14">
        <f>VLOOKUP($C45,Sheet2!$A$2:$D$10,4,0)</f>
        <v>1</v>
      </c>
      <c r="L45" s="14" t="str">
        <f>VLOOKUP($C45,Sheet2!$A$2:$E$10,5,0)</f>
        <v>Bin</v>
      </c>
      <c r="M45" s="14">
        <f t="shared" si="7"/>
        <v>10</v>
      </c>
      <c r="N45" s="1"/>
      <c r="O45" s="1" t="s">
        <v>528</v>
      </c>
      <c r="P45" s="1" t="s">
        <v>582</v>
      </c>
    </row>
    <row r="46" spans="1:16" x14ac:dyDescent="0.25">
      <c r="A46" s="15" t="s">
        <v>524</v>
      </c>
      <c r="B46" s="16" t="s">
        <v>514</v>
      </c>
      <c r="C46" s="1" t="s">
        <v>67</v>
      </c>
      <c r="D46" s="1" t="str">
        <f>VLOOKUP($C46,Sheet2!$A$2:$B$10,2,0)</f>
        <v>114010-50830</v>
      </c>
      <c r="E46" s="7" t="s">
        <v>60</v>
      </c>
      <c r="F46" s="12">
        <v>45972</v>
      </c>
      <c r="G46" s="13">
        <v>0.8125</v>
      </c>
      <c r="H46" s="1" t="s">
        <v>52</v>
      </c>
      <c r="I46" s="1" t="s">
        <v>10</v>
      </c>
      <c r="J46" s="1">
        <v>15</v>
      </c>
      <c r="K46" s="14">
        <f>VLOOKUP($C46,Sheet2!$A$2:$D$10,4,0)</f>
        <v>1</v>
      </c>
      <c r="L46" s="14" t="str">
        <f>VLOOKUP($C46,Sheet2!$A$2:$E$10,5,0)</f>
        <v>Bin</v>
      </c>
      <c r="M46" s="14">
        <f t="shared" si="7"/>
        <v>15</v>
      </c>
      <c r="N46" s="1"/>
      <c r="O46" s="1" t="s">
        <v>528</v>
      </c>
      <c r="P46" s="1" t="s">
        <v>587</v>
      </c>
    </row>
    <row r="47" spans="1:16" s="20" customForma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>
        <v>53</v>
      </c>
      <c r="N47" s="9">
        <v>3</v>
      </c>
      <c r="O47" s="9"/>
      <c r="P47" s="9"/>
    </row>
  </sheetData>
  <autoFilter ref="A3:S3" xr:uid="{A633A2BD-6E74-473E-99FD-22D93544FD09}"/>
  <mergeCells count="6">
    <mergeCell ref="N31:N32"/>
    <mergeCell ref="A1:F1"/>
    <mergeCell ref="J1:N1"/>
    <mergeCell ref="N4:N5"/>
    <mergeCell ref="N14:N15"/>
    <mergeCell ref="N23:N24"/>
  </mergeCells>
  <conditionalFormatting sqref="B2">
    <cfRule type="duplicateValues" dxfId="705" priority="53"/>
    <cfRule type="duplicateValues" dxfId="704" priority="52"/>
  </conditionalFormatting>
  <conditionalFormatting sqref="B4:B12 B14:B29 B31:B46">
    <cfRule type="duplicateValues" dxfId="703" priority="44"/>
  </conditionalFormatting>
  <conditionalFormatting sqref="C2:D2">
    <cfRule type="duplicateValues" dxfId="702" priority="55"/>
    <cfRule type="duplicateValues" dxfId="701" priority="54"/>
  </conditionalFormatting>
  <conditionalFormatting sqref="D3">
    <cfRule type="duplicateValues" dxfId="699" priority="51"/>
    <cfRule type="duplicateValues" dxfId="697" priority="50"/>
  </conditionalFormatting>
  <conditionalFormatting sqref="D13">
    <cfRule type="duplicateValues" dxfId="692" priority="34"/>
    <cfRule type="duplicateValues" dxfId="691" priority="33"/>
  </conditionalFormatting>
  <conditionalFormatting sqref="D30">
    <cfRule type="duplicateValues" dxfId="690" priority="19"/>
    <cfRule type="duplicateValues" dxfId="689" priority="20"/>
  </conditionalFormatting>
  <conditionalFormatting sqref="D47">
    <cfRule type="duplicateValues" dxfId="687" priority="5"/>
    <cfRule type="duplicateValues" dxfId="686" priority="6"/>
  </conditionalFormatting>
  <pageMargins left="0.17" right="0.17" top="0.17" bottom="0.17" header="0.17" footer="0.3"/>
  <pageSetup paperSize="9" scale="5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6" operator="containsText" text="17521M68PA0" id="{65A97D42-01E4-4E44-B5C3-0C3341E1D571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C4:D12 C14:D29 C31:D46</xm:sqref>
        </x14:conditionalFormatting>
        <x14:conditionalFormatting xmlns:xm="http://schemas.microsoft.com/office/excel/2006/main">
          <x14:cfRule type="containsText" priority="60" operator="containsText" text="17521M68PA0" id="{07F4CDEA-938C-44F3-9CDE-AE8A8C3DD38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9" operator="containsText" text="17521M74T00" id="{7FE740B0-14F1-455F-9DFE-4BAF6D95B149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7" operator="containsText" text="17521M74T00" id="{B8241C3A-A37D-4DE7-A31C-458FA09F9A15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8" operator="containsText" text="17521M68PA0" id="{9F0E2849-3418-4104-8625-52B14DBB59DE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D4:D12 D14:D29 D31:D46</xm:sqref>
        </x14:conditionalFormatting>
        <x14:conditionalFormatting xmlns:xm="http://schemas.microsoft.com/office/excel/2006/main">
          <x14:cfRule type="containsText" priority="35" operator="containsText" text="17521M68PA0" id="{C4BB637F-5AB1-4FDA-BEDC-773FD21AFBDD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containsText" priority="21" operator="containsText" text="17521M68PA0" id="{4DE9BA7C-5292-40AB-BE71-65239781154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ontainsText" priority="7" operator="containsText" text="17521M68PA0" id="{C828A163-253D-4653-82A4-1AD2DE41C96F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D47</xm:sqref>
        </x14:conditionalFormatting>
        <x14:conditionalFormatting xmlns:xm="http://schemas.microsoft.com/office/excel/2006/main">
          <x14:cfRule type="containsText" priority="56" operator="containsText" text="17521M68PA0" id="{4F1FF9F5-703F-402D-87F3-9EB2D61A2D56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7" operator="containsText" text="17521M74T00" id="{EF0C66B5-97E7-4B55-BB50-5244763B37DE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7" operator="containsText" text="BELT,WATER PUMP - 7PK 975" id="{631E425E-DD72-4237-B051-E54C099F57DE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E6BCC168-D015-4E96-9BBD-09BBC93465E1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E3:E47</xm:sqref>
        </x14:conditionalFormatting>
        <x14:conditionalFormatting xmlns:xm="http://schemas.microsoft.com/office/excel/2006/main">
          <x14:cfRule type="containsText" priority="30" operator="containsText" text="BELT,WATER PUMP - 7PK 975" id="{98C816EE-9E56-47EE-B079-A9E6C84814FA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containsText" priority="16" operator="containsText" text="BELT,WATER PUMP - 7PK 975" id="{2C105593-CEA0-484A-BD3A-50C8CD7C5E55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containsText" priority="2" operator="containsText" text="BELT,WATER PUMP - 7PK 975" id="{6F4D329A-481A-4BAF-9E84-210640274D12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E47</xm:sqref>
        </x14:conditionalFormatting>
        <x14:conditionalFormatting xmlns:xm="http://schemas.microsoft.com/office/excel/2006/main">
          <x14:cfRule type="containsText" priority="58" operator="containsText" text="BELT,WATER PUMP - 5PK 913" id="{20F6AA8E-5823-4817-AA98-B942210F51AA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9" operator="containsText" text="BELT,WATER PUMP - 7PK 975" id="{786A6B94-2072-45B2-8E88-FFDBD300D0E7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8" operator="containsText" text="5PK 913" id="{8CC00EB7-57E0-489D-8561-EF8DE54B6BA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9" operator="containsText" text="7PK 975" id="{327A53D0-E990-47E0-9E02-5AA81DDC611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32" operator="containsText" text="7PK 975" id="{CFC4C8F8-A9CF-4B3C-9A54-6E838DB3BC74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31" operator="containsText" text="5PK 913" id="{96D91615-5B58-4B5D-8066-8A25876F4682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P13</xm:sqref>
        </x14:conditionalFormatting>
        <x14:conditionalFormatting xmlns:xm="http://schemas.microsoft.com/office/excel/2006/main">
          <x14:cfRule type="containsText" priority="17" operator="containsText" text="5PK 913" id="{F1F31FF7-27FB-4982-A97A-2F84259A07BE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8" operator="containsText" text="7PK 975" id="{D868A3A1-8191-4A8D-A2E0-7B2DCB84F824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P30</xm:sqref>
        </x14:conditionalFormatting>
        <x14:conditionalFormatting xmlns:xm="http://schemas.microsoft.com/office/excel/2006/main">
          <x14:cfRule type="containsText" priority="3" operator="containsText" text="5PK 913" id="{2CD9E88A-5F20-4EC7-BE36-71D5227D103D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7PK 975" id="{5BC9569C-BE21-4184-8DA3-64B2211ED477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078B-012C-4E2A-AABB-F03CC0AA867E}">
  <sheetPr>
    <pageSetUpPr fitToPage="1"/>
  </sheetPr>
  <dimension ref="A1:S48"/>
  <sheetViews>
    <sheetView workbookViewId="0">
      <selection activeCell="P3" sqref="P3"/>
    </sheetView>
  </sheetViews>
  <sheetFormatPr defaultColWidth="40.140625" defaultRowHeight="15" x14ac:dyDescent="0.25"/>
  <cols>
    <col min="1" max="1" width="15.140625" bestFit="1" customWidth="1"/>
    <col min="2" max="2" width="16.7109375" bestFit="1" customWidth="1"/>
    <col min="3" max="3" width="14.140625" bestFit="1" customWidth="1"/>
    <col min="4" max="4" width="14.140625" customWidth="1"/>
    <col min="5" max="5" width="32.5703125" bestFit="1" customWidth="1"/>
    <col min="6" max="6" width="12.7109375" bestFit="1" customWidth="1"/>
    <col min="7" max="7" width="7.85546875" customWidth="1"/>
    <col min="8" max="8" width="11.42578125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5.28515625" customWidth="1"/>
    <col min="16" max="16" width="36" bestFit="1" customWidth="1"/>
    <col min="17" max="17" width="5.42578125" customWidth="1"/>
    <col min="18" max="18" width="7.5703125" customWidth="1"/>
    <col min="19" max="19" width="24" bestFit="1" customWidth="1"/>
  </cols>
  <sheetData>
    <row r="1" spans="1:19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9" ht="15.75" x14ac:dyDescent="0.25">
      <c r="A2" s="4" t="s">
        <v>74</v>
      </c>
      <c r="B2" s="5">
        <v>45973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30"/>
      <c r="P2" s="8"/>
    </row>
    <row r="3" spans="1:19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9" x14ac:dyDescent="0.25">
      <c r="A4" s="15" t="s">
        <v>572</v>
      </c>
      <c r="B4" s="16" t="s">
        <v>529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45973</v>
      </c>
      <c r="G4" s="13">
        <v>0.27083333333333331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171</v>
      </c>
      <c r="P4" s="1" t="s">
        <v>585</v>
      </c>
      <c r="R4" s="23"/>
      <c r="S4" s="24" t="s">
        <v>525</v>
      </c>
    </row>
    <row r="5" spans="1:19" x14ac:dyDescent="0.25">
      <c r="A5" s="15" t="s">
        <v>572</v>
      </c>
      <c r="B5" s="16" t="s">
        <v>534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45973</v>
      </c>
      <c r="G5" s="13">
        <v>0.27083333333333331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171</v>
      </c>
      <c r="P5" s="1" t="s">
        <v>585</v>
      </c>
      <c r="R5" s="25"/>
      <c r="S5" s="24" t="s">
        <v>526</v>
      </c>
    </row>
    <row r="6" spans="1:19" x14ac:dyDescent="0.25">
      <c r="A6" s="15" t="s">
        <v>572</v>
      </c>
      <c r="B6" s="16" t="s">
        <v>539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45973</v>
      </c>
      <c r="G6" s="13">
        <v>0.27083333333333331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171</v>
      </c>
      <c r="P6" s="1">
        <v>910101603</v>
      </c>
      <c r="R6" s="26"/>
      <c r="S6" s="24" t="s">
        <v>527</v>
      </c>
    </row>
    <row r="7" spans="1:19" x14ac:dyDescent="0.25">
      <c r="A7" s="15" t="s">
        <v>572</v>
      </c>
      <c r="B7" s="16" t="s">
        <v>543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45973</v>
      </c>
      <c r="G7" s="13">
        <v>0.27083333333333331</v>
      </c>
      <c r="H7" s="1" t="s">
        <v>31</v>
      </c>
      <c r="I7" s="1" t="s">
        <v>10</v>
      </c>
      <c r="J7" s="1">
        <v>20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10</v>
      </c>
      <c r="N7" s="1"/>
      <c r="O7" s="1" t="s">
        <v>171</v>
      </c>
      <c r="P7" s="1" t="s">
        <v>412</v>
      </c>
    </row>
    <row r="8" spans="1:19" x14ac:dyDescent="0.25">
      <c r="A8" s="15" t="s">
        <v>572</v>
      </c>
      <c r="B8" s="16" t="s">
        <v>548</v>
      </c>
      <c r="C8" s="1" t="s">
        <v>37</v>
      </c>
      <c r="D8" s="1" t="str">
        <f>VLOOKUP($C8,Sheet2!$A$2:$B$10,2,0)</f>
        <v>141150-91211</v>
      </c>
      <c r="E8" s="7" t="s">
        <v>38</v>
      </c>
      <c r="F8" s="12">
        <v>45973</v>
      </c>
      <c r="G8" s="13">
        <v>0.27083333333333331</v>
      </c>
      <c r="H8" s="1" t="s">
        <v>31</v>
      </c>
      <c r="I8" s="1" t="s">
        <v>10</v>
      </c>
      <c r="J8" s="1">
        <v>20</v>
      </c>
      <c r="K8" s="14">
        <f>VLOOKUP($C8,Sheet2!$A$2:$D$10,4,0)</f>
        <v>2</v>
      </c>
      <c r="L8" s="14" t="str">
        <f>VLOOKUP($C8,Sheet2!$A$2:$E$10,5,0)</f>
        <v>Bin</v>
      </c>
      <c r="M8" s="14">
        <f>J8/K8</f>
        <v>10</v>
      </c>
      <c r="N8" s="1"/>
      <c r="O8" s="1" t="s">
        <v>171</v>
      </c>
      <c r="P8" s="1" t="s">
        <v>412</v>
      </c>
    </row>
    <row r="9" spans="1:19" x14ac:dyDescent="0.25">
      <c r="A9" s="15" t="s">
        <v>572</v>
      </c>
      <c r="B9" s="16" t="s">
        <v>553</v>
      </c>
      <c r="C9" s="1" t="s">
        <v>45</v>
      </c>
      <c r="D9" s="1" t="str">
        <f>VLOOKUP($C9,Sheet2!$A$2:$B$10,2,0)</f>
        <v>141186-74360</v>
      </c>
      <c r="E9" s="7" t="s">
        <v>46</v>
      </c>
      <c r="F9" s="12">
        <v>45973</v>
      </c>
      <c r="G9" s="13">
        <v>0.27083333333333331</v>
      </c>
      <c r="H9" s="1" t="s">
        <v>31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171</v>
      </c>
      <c r="P9" s="1">
        <v>910102507</v>
      </c>
    </row>
    <row r="10" spans="1:19" x14ac:dyDescent="0.25">
      <c r="A10" s="15" t="s">
        <v>573</v>
      </c>
      <c r="B10" s="16" t="s">
        <v>557</v>
      </c>
      <c r="C10" s="1" t="s">
        <v>50</v>
      </c>
      <c r="D10" s="1" t="str">
        <f>VLOOKUP($C10,Sheet2!$A$2:$B$10,2,0)</f>
        <v>116040-92240</v>
      </c>
      <c r="E10" s="7" t="s">
        <v>51</v>
      </c>
      <c r="F10" s="12">
        <v>45973</v>
      </c>
      <c r="G10" s="13">
        <v>0.27083333333333331</v>
      </c>
      <c r="H10" s="1" t="s">
        <v>52</v>
      </c>
      <c r="I10" s="1" t="s">
        <v>10</v>
      </c>
      <c r="J10" s="1">
        <v>18</v>
      </c>
      <c r="K10" s="14">
        <f>VLOOKUP($C10,Sheet2!$A$2:$D$10,4,0)</f>
        <v>6</v>
      </c>
      <c r="L10" s="14" t="str">
        <f>VLOOKUP($C10,Sheet2!$A$2:$E$10,5,0)</f>
        <v>Bin</v>
      </c>
      <c r="M10" s="14">
        <f t="shared" ref="M10:M12" si="0">J10/K10</f>
        <v>3</v>
      </c>
      <c r="N10" s="1"/>
      <c r="O10" s="1" t="s">
        <v>171</v>
      </c>
      <c r="P10" s="1" t="s">
        <v>463</v>
      </c>
    </row>
    <row r="11" spans="1:19" x14ac:dyDescent="0.25">
      <c r="A11" s="15" t="s">
        <v>573</v>
      </c>
      <c r="B11" s="16" t="s">
        <v>562</v>
      </c>
      <c r="C11" s="1" t="s">
        <v>59</v>
      </c>
      <c r="D11" s="1" t="str">
        <f>VLOOKUP($C11,Sheet2!$A$2:$B$10,2,0)</f>
        <v>114010-50820</v>
      </c>
      <c r="E11" s="7" t="s">
        <v>60</v>
      </c>
      <c r="F11" s="12">
        <v>45973</v>
      </c>
      <c r="G11" s="13">
        <v>0.27083333333333331</v>
      </c>
      <c r="H11" s="1" t="s">
        <v>52</v>
      </c>
      <c r="I11" s="1" t="s">
        <v>10</v>
      </c>
      <c r="J11" s="1">
        <v>6</v>
      </c>
      <c r="K11" s="14">
        <f>VLOOKUP($C11,Sheet2!$A$2:$D$10,4,0)</f>
        <v>1</v>
      </c>
      <c r="L11" s="14" t="str">
        <f>VLOOKUP($C11,Sheet2!$A$2:$E$10,5,0)</f>
        <v>Bin</v>
      </c>
      <c r="M11" s="14">
        <f t="shared" si="0"/>
        <v>6</v>
      </c>
      <c r="N11" s="1"/>
      <c r="O11" s="1" t="s">
        <v>171</v>
      </c>
      <c r="P11" s="1" t="s">
        <v>582</v>
      </c>
    </row>
    <row r="12" spans="1:19" ht="15.75" thickBot="1" x14ac:dyDescent="0.3">
      <c r="A12" s="15" t="s">
        <v>573</v>
      </c>
      <c r="B12" s="16" t="s">
        <v>567</v>
      </c>
      <c r="C12" s="1" t="s">
        <v>67</v>
      </c>
      <c r="D12" s="1" t="str">
        <f>VLOOKUP($C12,Sheet2!$A$2:$B$10,2,0)</f>
        <v>114010-50830</v>
      </c>
      <c r="E12" s="7" t="s">
        <v>60</v>
      </c>
      <c r="F12" s="12">
        <v>45973</v>
      </c>
      <c r="G12" s="27">
        <v>0.27083333333333331</v>
      </c>
      <c r="H12" s="1" t="s">
        <v>52</v>
      </c>
      <c r="I12" s="1" t="s">
        <v>10</v>
      </c>
      <c r="J12" s="1">
        <v>14</v>
      </c>
      <c r="K12" s="14">
        <f>VLOOKUP($C12,Sheet2!$A$2:$D$10,4,0)</f>
        <v>1</v>
      </c>
      <c r="L12" s="14" t="str">
        <f>VLOOKUP($C12,Sheet2!$A$2:$E$10,5,0)</f>
        <v>Bin</v>
      </c>
      <c r="M12" s="14">
        <f t="shared" si="0"/>
        <v>14</v>
      </c>
      <c r="N12" s="1"/>
      <c r="O12" s="1" t="s">
        <v>171</v>
      </c>
      <c r="P12" s="1" t="s">
        <v>587</v>
      </c>
    </row>
    <row r="13" spans="1:19" ht="15.75" thickTop="1" x14ac:dyDescent="0.25">
      <c r="A13" s="15" t="s">
        <v>574</v>
      </c>
      <c r="B13" s="16" t="s">
        <v>530</v>
      </c>
      <c r="C13" s="1" t="s">
        <v>7</v>
      </c>
      <c r="D13" s="1" t="str">
        <f>VLOOKUP($C13,Sheet2!$A$2:$B$10,2,0)</f>
        <v>141110-14600</v>
      </c>
      <c r="E13" s="7" t="s">
        <v>8</v>
      </c>
      <c r="F13" s="12">
        <v>45973</v>
      </c>
      <c r="G13" s="28">
        <v>0.3125</v>
      </c>
      <c r="H13" s="1" t="s">
        <v>9</v>
      </c>
      <c r="I13" s="1" t="s">
        <v>10</v>
      </c>
      <c r="J13" s="1">
        <v>18</v>
      </c>
      <c r="K13" s="14">
        <f>VLOOKUP($C13,Sheet2!$A$2:$D$10,4,0)</f>
        <v>18</v>
      </c>
      <c r="L13" s="14" t="str">
        <f>VLOOKUP($C13,Sheet2!$A$2:$E$10,5,0)</f>
        <v>Trolley (H)</v>
      </c>
      <c r="M13" s="14"/>
      <c r="N13" s="63">
        <v>1</v>
      </c>
      <c r="O13" s="1" t="s">
        <v>171</v>
      </c>
      <c r="P13" s="1" t="s">
        <v>585</v>
      </c>
    </row>
    <row r="14" spans="1:19" x14ac:dyDescent="0.25">
      <c r="A14" s="15" t="s">
        <v>574</v>
      </c>
      <c r="B14" s="16" t="s">
        <v>535</v>
      </c>
      <c r="C14" s="1" t="s">
        <v>16</v>
      </c>
      <c r="D14" s="1" t="str">
        <f>VLOOKUP($C14,Sheet2!$A$2:$B$10,2,0)</f>
        <v>141120-14600</v>
      </c>
      <c r="E14" s="7" t="s">
        <v>17</v>
      </c>
      <c r="F14" s="12">
        <v>45973</v>
      </c>
      <c r="G14" s="13">
        <v>0.3125</v>
      </c>
      <c r="H14" s="1" t="s">
        <v>9</v>
      </c>
      <c r="I14" s="1" t="s">
        <v>10</v>
      </c>
      <c r="J14" s="1">
        <v>18</v>
      </c>
      <c r="K14" s="14">
        <f>VLOOKUP($C14,Sheet2!$A$2:$D$10,4,0)</f>
        <v>18</v>
      </c>
      <c r="L14" s="14" t="str">
        <f>VLOOKUP($C14,Sheet2!$A$2:$E$10,5,0)</f>
        <v>Trolley (H)</v>
      </c>
      <c r="M14" s="14"/>
      <c r="N14" s="64"/>
      <c r="O14" s="1" t="s">
        <v>171</v>
      </c>
      <c r="P14" s="1" t="s">
        <v>585</v>
      </c>
    </row>
    <row r="15" spans="1:19" x14ac:dyDescent="0.25">
      <c r="A15" s="15" t="s">
        <v>574</v>
      </c>
      <c r="B15" s="16" t="s">
        <v>540</v>
      </c>
      <c r="C15" s="1" t="s">
        <v>23</v>
      </c>
      <c r="D15" s="1" t="str">
        <f>VLOOKUP($C15,Sheet2!$A$2:$B$10,2,0)</f>
        <v>141185-74670</v>
      </c>
      <c r="E15" s="7" t="s">
        <v>24</v>
      </c>
      <c r="F15" s="12">
        <v>45973</v>
      </c>
      <c r="G15" s="13">
        <v>0.3125</v>
      </c>
      <c r="H15" s="1" t="s">
        <v>9</v>
      </c>
      <c r="I15" s="1" t="s">
        <v>10</v>
      </c>
      <c r="J15" s="1">
        <v>40</v>
      </c>
      <c r="K15" s="14">
        <f>VLOOKUP($C15,Sheet2!$A$2:$D$10,4,0)</f>
        <v>40</v>
      </c>
      <c r="L15" s="14" t="str">
        <f>VLOOKUP($C15,Sheet2!$A$2:$E$10,5,0)</f>
        <v>Trolley</v>
      </c>
      <c r="M15" s="14"/>
      <c r="N15" s="1">
        <f>J15/K15</f>
        <v>1</v>
      </c>
      <c r="O15" s="1" t="s">
        <v>171</v>
      </c>
      <c r="P15" s="1">
        <v>910101603</v>
      </c>
    </row>
    <row r="16" spans="1:19" x14ac:dyDescent="0.25">
      <c r="A16" s="15" t="s">
        <v>574</v>
      </c>
      <c r="B16" s="16" t="s">
        <v>544</v>
      </c>
      <c r="C16" s="1" t="s">
        <v>29</v>
      </c>
      <c r="D16" s="1" t="str">
        <f>VLOOKUP($C16,Sheet2!$A$2:$B$10,2,0)</f>
        <v>141140-91211</v>
      </c>
      <c r="E16" s="7" t="s">
        <v>30</v>
      </c>
      <c r="F16" s="12">
        <v>45973</v>
      </c>
      <c r="G16" s="13">
        <v>0.3125</v>
      </c>
      <c r="H16" s="1" t="s">
        <v>31</v>
      </c>
      <c r="I16" s="1" t="s">
        <v>10</v>
      </c>
      <c r="J16" s="1">
        <v>20</v>
      </c>
      <c r="K16" s="14">
        <f>VLOOKUP($C16,Sheet2!$A$2:$D$10,4,0)</f>
        <v>2</v>
      </c>
      <c r="L16" s="14" t="str">
        <f>VLOOKUP($C16,Sheet2!$A$2:$E$10,5,0)</f>
        <v>Bin</v>
      </c>
      <c r="M16" s="14">
        <f t="shared" ref="M16:M17" si="1">J16/K16</f>
        <v>10</v>
      </c>
      <c r="N16" s="1"/>
      <c r="O16" s="1" t="s">
        <v>171</v>
      </c>
      <c r="P16" s="1" t="s">
        <v>412</v>
      </c>
    </row>
    <row r="17" spans="1:16" x14ac:dyDescent="0.25">
      <c r="A17" s="15" t="s">
        <v>574</v>
      </c>
      <c r="B17" s="16" t="s">
        <v>549</v>
      </c>
      <c r="C17" s="1" t="s">
        <v>37</v>
      </c>
      <c r="D17" s="1" t="str">
        <f>VLOOKUP($C17,Sheet2!$A$2:$B$10,2,0)</f>
        <v>141150-91211</v>
      </c>
      <c r="E17" s="7" t="s">
        <v>38</v>
      </c>
      <c r="F17" s="12">
        <v>45973</v>
      </c>
      <c r="G17" s="13">
        <v>0.3125</v>
      </c>
      <c r="H17" s="1" t="s">
        <v>31</v>
      </c>
      <c r="I17" s="1" t="s">
        <v>10</v>
      </c>
      <c r="J17" s="1">
        <v>20</v>
      </c>
      <c r="K17" s="14">
        <f>VLOOKUP($C17,Sheet2!$A$2:$D$10,4,0)</f>
        <v>2</v>
      </c>
      <c r="L17" s="14" t="str">
        <f>VLOOKUP($C17,Sheet2!$A$2:$E$10,5,0)</f>
        <v>Bin</v>
      </c>
      <c r="M17" s="14">
        <f t="shared" si="1"/>
        <v>10</v>
      </c>
      <c r="N17" s="1"/>
      <c r="O17" s="1" t="s">
        <v>171</v>
      </c>
      <c r="P17" s="1" t="s">
        <v>412</v>
      </c>
    </row>
    <row r="18" spans="1:16" x14ac:dyDescent="0.25">
      <c r="A18" s="15" t="s">
        <v>574</v>
      </c>
      <c r="B18" s="16" t="s">
        <v>554</v>
      </c>
      <c r="C18" s="1" t="s">
        <v>45</v>
      </c>
      <c r="D18" s="1" t="str">
        <f>VLOOKUP($C18,Sheet2!$A$2:$B$10,2,0)</f>
        <v>141186-74360</v>
      </c>
      <c r="E18" s="7" t="s">
        <v>46</v>
      </c>
      <c r="F18" s="12">
        <v>45973</v>
      </c>
      <c r="G18" s="13">
        <v>0.3125</v>
      </c>
      <c r="H18" s="1" t="s">
        <v>31</v>
      </c>
      <c r="I18" s="1" t="s">
        <v>10</v>
      </c>
      <c r="J18" s="1">
        <v>40</v>
      </c>
      <c r="K18" s="14">
        <f>VLOOKUP($C18,Sheet2!$A$2:$D$10,4,0)</f>
        <v>40</v>
      </c>
      <c r="L18" s="14" t="str">
        <f>VLOOKUP($C18,Sheet2!$A$2:$E$10,5,0)</f>
        <v>Trolley</v>
      </c>
      <c r="M18" s="14"/>
      <c r="N18" s="1">
        <f>J18/K18</f>
        <v>1</v>
      </c>
      <c r="O18" s="1" t="s">
        <v>171</v>
      </c>
      <c r="P18" s="1" t="s">
        <v>590</v>
      </c>
    </row>
    <row r="19" spans="1:16" x14ac:dyDescent="0.25">
      <c r="A19" s="15" t="s">
        <v>575</v>
      </c>
      <c r="B19" s="16" t="s">
        <v>558</v>
      </c>
      <c r="C19" s="1" t="s">
        <v>50</v>
      </c>
      <c r="D19" s="1" t="str">
        <f>VLOOKUP($C19,Sheet2!$A$2:$B$10,2,0)</f>
        <v>116040-92240</v>
      </c>
      <c r="E19" s="7" t="s">
        <v>51</v>
      </c>
      <c r="F19" s="12">
        <v>45973</v>
      </c>
      <c r="G19" s="13">
        <v>0.3125</v>
      </c>
      <c r="H19" s="1" t="s">
        <v>52</v>
      </c>
      <c r="I19" s="1" t="s">
        <v>10</v>
      </c>
      <c r="J19" s="1">
        <v>24</v>
      </c>
      <c r="K19" s="14">
        <f>VLOOKUP($C19,Sheet2!$A$2:$D$10,4,0)</f>
        <v>6</v>
      </c>
      <c r="L19" s="14" t="str">
        <f>VLOOKUP($C19,Sheet2!$A$2:$E$10,5,0)</f>
        <v>Bin</v>
      </c>
      <c r="M19" s="14">
        <f t="shared" ref="M19:M21" si="2">J19/K19</f>
        <v>4</v>
      </c>
      <c r="N19" s="1"/>
      <c r="O19" s="1" t="s">
        <v>171</v>
      </c>
      <c r="P19" s="1" t="s">
        <v>463</v>
      </c>
    </row>
    <row r="20" spans="1:16" x14ac:dyDescent="0.25">
      <c r="A20" s="15" t="s">
        <v>575</v>
      </c>
      <c r="B20" s="16" t="s">
        <v>563</v>
      </c>
      <c r="C20" s="1" t="s">
        <v>59</v>
      </c>
      <c r="D20" s="1" t="str">
        <f>VLOOKUP($C20,Sheet2!$A$2:$B$10,2,0)</f>
        <v>114010-50820</v>
      </c>
      <c r="E20" s="7" t="s">
        <v>60</v>
      </c>
      <c r="F20" s="12">
        <v>45973</v>
      </c>
      <c r="G20" s="13">
        <v>0.3125</v>
      </c>
      <c r="H20" s="1" t="s">
        <v>52</v>
      </c>
      <c r="I20" s="1" t="s">
        <v>10</v>
      </c>
      <c r="J20" s="1">
        <v>10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2"/>
        <v>10</v>
      </c>
      <c r="N20" s="1"/>
      <c r="O20" s="1" t="s">
        <v>171</v>
      </c>
      <c r="P20" s="1" t="s">
        <v>582</v>
      </c>
    </row>
    <row r="21" spans="1:16" ht="15.75" thickBot="1" x14ac:dyDescent="0.3">
      <c r="A21" s="15" t="s">
        <v>575</v>
      </c>
      <c r="B21" s="16" t="s">
        <v>568</v>
      </c>
      <c r="C21" s="1" t="s">
        <v>67</v>
      </c>
      <c r="D21" s="1" t="str">
        <f>VLOOKUP($C21,Sheet2!$A$2:$B$10,2,0)</f>
        <v>114010-50830</v>
      </c>
      <c r="E21" s="7" t="s">
        <v>60</v>
      </c>
      <c r="F21" s="12">
        <v>45973</v>
      </c>
      <c r="G21" s="27">
        <v>0.3125</v>
      </c>
      <c r="H21" s="1" t="s">
        <v>52</v>
      </c>
      <c r="I21" s="1" t="s">
        <v>10</v>
      </c>
      <c r="J21" s="1">
        <v>10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10</v>
      </c>
      <c r="N21" s="1"/>
      <c r="O21" s="1" t="s">
        <v>171</v>
      </c>
      <c r="P21" s="1" t="s">
        <v>587</v>
      </c>
    </row>
    <row r="22" spans="1:16" ht="15.75" thickTop="1" x14ac:dyDescent="0.25">
      <c r="A22" s="15" t="s">
        <v>576</v>
      </c>
      <c r="B22" s="16" t="s">
        <v>531</v>
      </c>
      <c r="C22" s="1" t="s">
        <v>7</v>
      </c>
      <c r="D22" s="1" t="str">
        <f>VLOOKUP($C22,Sheet2!$A$2:$B$10,2,0)</f>
        <v>141110-14600</v>
      </c>
      <c r="E22" s="7" t="s">
        <v>8</v>
      </c>
      <c r="F22" s="12">
        <v>45973</v>
      </c>
      <c r="G22" s="28">
        <v>0.35416666666666669</v>
      </c>
      <c r="H22" s="1" t="s">
        <v>9</v>
      </c>
      <c r="I22" s="1" t="s">
        <v>10</v>
      </c>
      <c r="J22" s="1">
        <v>18</v>
      </c>
      <c r="K22" s="14">
        <f>VLOOKUP($C22,Sheet2!$A$2:$D$10,4,0)</f>
        <v>18</v>
      </c>
      <c r="L22" s="14" t="str">
        <f>VLOOKUP($C22,Sheet2!$A$2:$E$10,5,0)</f>
        <v>Trolley (H)</v>
      </c>
      <c r="M22" s="14"/>
      <c r="N22" s="63">
        <v>1</v>
      </c>
      <c r="O22" s="1" t="s">
        <v>171</v>
      </c>
      <c r="P22" s="1" t="s">
        <v>585</v>
      </c>
    </row>
    <row r="23" spans="1:16" x14ac:dyDescent="0.25">
      <c r="A23" s="15" t="s">
        <v>576</v>
      </c>
      <c r="B23" s="16" t="s">
        <v>536</v>
      </c>
      <c r="C23" s="1" t="s">
        <v>16</v>
      </c>
      <c r="D23" s="1" t="str">
        <f>VLOOKUP($C23,Sheet2!$A$2:$B$10,2,0)</f>
        <v>141120-14600</v>
      </c>
      <c r="E23" s="7" t="s">
        <v>17</v>
      </c>
      <c r="F23" s="12">
        <v>45973</v>
      </c>
      <c r="G23" s="13">
        <v>0.35416666666666669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4"/>
      <c r="O23" s="1" t="s">
        <v>171</v>
      </c>
      <c r="P23" s="1" t="s">
        <v>585</v>
      </c>
    </row>
    <row r="24" spans="1:16" x14ac:dyDescent="0.25">
      <c r="A24" s="15" t="s">
        <v>576</v>
      </c>
      <c r="B24" s="16" t="s">
        <v>545</v>
      </c>
      <c r="C24" s="1" t="s">
        <v>29</v>
      </c>
      <c r="D24" s="1" t="str">
        <f>VLOOKUP($C24,Sheet2!$A$2:$B$10,2,0)</f>
        <v>141140-91211</v>
      </c>
      <c r="E24" s="7" t="s">
        <v>30</v>
      </c>
      <c r="F24" s="12">
        <v>45973</v>
      </c>
      <c r="G24" s="13">
        <v>0.35416666666666669</v>
      </c>
      <c r="H24" s="1" t="s">
        <v>31</v>
      </c>
      <c r="I24" s="1" t="s">
        <v>10</v>
      </c>
      <c r="J24" s="1">
        <v>4</v>
      </c>
      <c r="K24" s="14">
        <f>VLOOKUP($C24,Sheet2!$A$2:$D$10,4,0)</f>
        <v>2</v>
      </c>
      <c r="L24" s="14" t="str">
        <f>VLOOKUP($C24,Sheet2!$A$2:$E$10,5,0)</f>
        <v>Bin</v>
      </c>
      <c r="M24" s="14">
        <f t="shared" ref="M24:M28" si="3">J24/K24</f>
        <v>2</v>
      </c>
      <c r="N24" s="1"/>
      <c r="O24" s="1" t="s">
        <v>171</v>
      </c>
      <c r="P24" s="1" t="s">
        <v>412</v>
      </c>
    </row>
    <row r="25" spans="1:16" x14ac:dyDescent="0.25">
      <c r="A25" s="15" t="s">
        <v>576</v>
      </c>
      <c r="B25" s="16" t="s">
        <v>550</v>
      </c>
      <c r="C25" s="1" t="s">
        <v>37</v>
      </c>
      <c r="D25" s="1" t="str">
        <f>VLOOKUP($C25,Sheet2!$A$2:$B$10,2,0)</f>
        <v>141150-91211</v>
      </c>
      <c r="E25" s="7" t="s">
        <v>38</v>
      </c>
      <c r="F25" s="12">
        <v>45973</v>
      </c>
      <c r="G25" s="13">
        <v>0.35416666666666669</v>
      </c>
      <c r="H25" s="1" t="s">
        <v>31</v>
      </c>
      <c r="I25" s="1" t="s">
        <v>10</v>
      </c>
      <c r="J25" s="1">
        <v>4</v>
      </c>
      <c r="K25" s="14">
        <f>VLOOKUP($C25,Sheet2!$A$2:$D$10,4,0)</f>
        <v>2</v>
      </c>
      <c r="L25" s="14" t="str">
        <f>VLOOKUP($C25,Sheet2!$A$2:$E$10,5,0)</f>
        <v>Bin</v>
      </c>
      <c r="M25" s="14">
        <f t="shared" si="3"/>
        <v>2</v>
      </c>
      <c r="N25" s="1"/>
      <c r="O25" s="1" t="s">
        <v>171</v>
      </c>
      <c r="P25" s="1" t="s">
        <v>412</v>
      </c>
    </row>
    <row r="26" spans="1:16" x14ac:dyDescent="0.25">
      <c r="A26" s="15" t="s">
        <v>577</v>
      </c>
      <c r="B26" s="16" t="s">
        <v>559</v>
      </c>
      <c r="C26" s="1" t="s">
        <v>50</v>
      </c>
      <c r="D26" s="1" t="str">
        <f>VLOOKUP($C26,Sheet2!$A$2:$B$10,2,0)</f>
        <v>116040-92240</v>
      </c>
      <c r="E26" s="7" t="s">
        <v>51</v>
      </c>
      <c r="F26" s="12">
        <v>45973</v>
      </c>
      <c r="G26" s="13">
        <v>0.35416666666666669</v>
      </c>
      <c r="H26" s="1" t="s">
        <v>52</v>
      </c>
      <c r="I26" s="1" t="s">
        <v>10</v>
      </c>
      <c r="J26" s="1">
        <v>6</v>
      </c>
      <c r="K26" s="14">
        <f>VLOOKUP($C26,Sheet2!$A$2:$D$10,4,0)</f>
        <v>6</v>
      </c>
      <c r="L26" s="14" t="str">
        <f>VLOOKUP($C26,Sheet2!$A$2:$E$10,5,0)</f>
        <v>Bin</v>
      </c>
      <c r="M26" s="14">
        <f t="shared" si="3"/>
        <v>1</v>
      </c>
      <c r="N26" s="1"/>
      <c r="O26" s="1" t="s">
        <v>171</v>
      </c>
      <c r="P26" s="1" t="s">
        <v>591</v>
      </c>
    </row>
    <row r="27" spans="1:16" x14ac:dyDescent="0.25">
      <c r="A27" s="15" t="s">
        <v>577</v>
      </c>
      <c r="B27" s="16" t="s">
        <v>564</v>
      </c>
      <c r="C27" s="1" t="s">
        <v>59</v>
      </c>
      <c r="D27" s="1" t="str">
        <f>VLOOKUP($C27,Sheet2!$A$2:$B$10,2,0)</f>
        <v>114010-50820</v>
      </c>
      <c r="E27" s="7" t="s">
        <v>60</v>
      </c>
      <c r="F27" s="12">
        <v>45973</v>
      </c>
      <c r="G27" s="13">
        <v>0.35416666666666669</v>
      </c>
      <c r="H27" s="1" t="s">
        <v>52</v>
      </c>
      <c r="I27" s="1" t="s">
        <v>10</v>
      </c>
      <c r="J27" s="1">
        <v>3</v>
      </c>
      <c r="K27" s="14">
        <f>VLOOKUP($C27,Sheet2!$A$2:$D$10,4,0)</f>
        <v>1</v>
      </c>
      <c r="L27" s="14" t="str">
        <f>VLOOKUP($C27,Sheet2!$A$2:$E$10,5,0)</f>
        <v>Bin</v>
      </c>
      <c r="M27" s="14">
        <f t="shared" si="3"/>
        <v>3</v>
      </c>
      <c r="N27" s="1"/>
      <c r="O27" s="1" t="s">
        <v>171</v>
      </c>
      <c r="P27" s="1" t="s">
        <v>582</v>
      </c>
    </row>
    <row r="28" spans="1:16" x14ac:dyDescent="0.25">
      <c r="A28" s="15" t="s">
        <v>577</v>
      </c>
      <c r="B28" s="16" t="s">
        <v>569</v>
      </c>
      <c r="C28" s="1" t="s">
        <v>67</v>
      </c>
      <c r="D28" s="1" t="str">
        <f>VLOOKUP($C28,Sheet2!$A$2:$B$10,2,0)</f>
        <v>114010-50830</v>
      </c>
      <c r="E28" s="7" t="s">
        <v>60</v>
      </c>
      <c r="F28" s="12">
        <v>45973</v>
      </c>
      <c r="G28" s="13">
        <v>0.35416666666666669</v>
      </c>
      <c r="H28" s="1" t="s">
        <v>52</v>
      </c>
      <c r="I28" s="1" t="s">
        <v>10</v>
      </c>
      <c r="J28" s="1">
        <v>1</v>
      </c>
      <c r="K28" s="14">
        <f>VLOOKUP($C28,Sheet2!$A$2:$D$10,4,0)</f>
        <v>1</v>
      </c>
      <c r="L28" s="14" t="str">
        <f>VLOOKUP($C28,Sheet2!$A$2:$E$10,5,0)</f>
        <v>Bin</v>
      </c>
      <c r="M28" s="14">
        <f t="shared" si="3"/>
        <v>1</v>
      </c>
      <c r="N28" s="1"/>
      <c r="O28" s="1" t="s">
        <v>171</v>
      </c>
      <c r="P28" s="1" t="s">
        <v>587</v>
      </c>
    </row>
    <row r="29" spans="1:16" s="20" customForma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>
        <v>96</v>
      </c>
      <c r="N29" s="9">
        <v>7</v>
      </c>
      <c r="O29" s="9"/>
      <c r="P29" s="9"/>
    </row>
    <row r="30" spans="1:16" x14ac:dyDescent="0.25">
      <c r="A30" s="15" t="s">
        <v>578</v>
      </c>
      <c r="B30" s="16" t="s">
        <v>532</v>
      </c>
      <c r="C30" s="1" t="s">
        <v>7</v>
      </c>
      <c r="D30" s="1" t="str">
        <f>VLOOKUP($C30,Sheet2!$A$2:$B$10,2,0)</f>
        <v>141110-14600</v>
      </c>
      <c r="E30" s="7" t="s">
        <v>8</v>
      </c>
      <c r="F30" s="12">
        <v>45973</v>
      </c>
      <c r="G30" s="13">
        <v>0.60416666666666663</v>
      </c>
      <c r="H30" s="1" t="s">
        <v>9</v>
      </c>
      <c r="I30" s="1" t="s">
        <v>10</v>
      </c>
      <c r="J30" s="1">
        <v>18</v>
      </c>
      <c r="K30" s="14">
        <f>VLOOKUP($C30,Sheet2!$A$2:$D$10,4,0)</f>
        <v>18</v>
      </c>
      <c r="L30" s="14" t="str">
        <f>VLOOKUP($C30,Sheet2!$A$2:$E$10,5,0)</f>
        <v>Trolley (H)</v>
      </c>
      <c r="M30" s="14"/>
      <c r="N30" s="63">
        <v>1</v>
      </c>
      <c r="O30" s="1" t="s">
        <v>166</v>
      </c>
      <c r="P30" s="1" t="s">
        <v>585</v>
      </c>
    </row>
    <row r="31" spans="1:16" x14ac:dyDescent="0.25">
      <c r="A31" s="15" t="s">
        <v>578</v>
      </c>
      <c r="B31" s="16" t="s">
        <v>537</v>
      </c>
      <c r="C31" s="1" t="s">
        <v>16</v>
      </c>
      <c r="D31" s="1" t="str">
        <f>VLOOKUP($C31,Sheet2!$A$2:$B$10,2,0)</f>
        <v>141120-14600</v>
      </c>
      <c r="E31" s="7" t="s">
        <v>17</v>
      </c>
      <c r="F31" s="12">
        <v>45973</v>
      </c>
      <c r="G31" s="13">
        <v>0.60416666666666663</v>
      </c>
      <c r="H31" s="1" t="s">
        <v>9</v>
      </c>
      <c r="I31" s="1" t="s">
        <v>10</v>
      </c>
      <c r="J31" s="1">
        <v>18</v>
      </c>
      <c r="K31" s="14">
        <f>VLOOKUP($C31,Sheet2!$A$2:$D$10,4,0)</f>
        <v>18</v>
      </c>
      <c r="L31" s="14" t="str">
        <f>VLOOKUP($C31,Sheet2!$A$2:$E$10,5,0)</f>
        <v>Trolley (H)</v>
      </c>
      <c r="M31" s="14"/>
      <c r="N31" s="64"/>
      <c r="O31" s="1" t="s">
        <v>166</v>
      </c>
      <c r="P31" s="1" t="s">
        <v>585</v>
      </c>
    </row>
    <row r="32" spans="1:16" x14ac:dyDescent="0.25">
      <c r="A32" s="15" t="s">
        <v>578</v>
      </c>
      <c r="B32" s="16" t="s">
        <v>541</v>
      </c>
      <c r="C32" s="1" t="s">
        <v>23</v>
      </c>
      <c r="D32" s="1" t="str">
        <f>VLOOKUP($C32,Sheet2!$A$2:$B$10,2,0)</f>
        <v>141185-74670</v>
      </c>
      <c r="E32" s="7" t="s">
        <v>24</v>
      </c>
      <c r="F32" s="12">
        <v>45973</v>
      </c>
      <c r="G32" s="13">
        <v>0.60416666666666663</v>
      </c>
      <c r="H32" s="1" t="s">
        <v>9</v>
      </c>
      <c r="I32" s="1" t="s">
        <v>10</v>
      </c>
      <c r="J32" s="1">
        <v>40</v>
      </c>
      <c r="K32" s="14">
        <f>VLOOKUP($C32,Sheet2!$A$2:$D$10,4,0)</f>
        <v>40</v>
      </c>
      <c r="L32" s="14" t="str">
        <f>VLOOKUP($C32,Sheet2!$A$2:$E$10,5,0)</f>
        <v>Trolley</v>
      </c>
      <c r="M32" s="14"/>
      <c r="N32" s="1">
        <f>J32/K32</f>
        <v>1</v>
      </c>
      <c r="O32" s="1" t="s">
        <v>166</v>
      </c>
      <c r="P32" s="1">
        <v>910101603</v>
      </c>
    </row>
    <row r="33" spans="1:16" x14ac:dyDescent="0.25">
      <c r="A33" s="15" t="s">
        <v>578</v>
      </c>
      <c r="B33" s="16" t="s">
        <v>546</v>
      </c>
      <c r="C33" s="1" t="s">
        <v>29</v>
      </c>
      <c r="D33" s="1" t="str">
        <f>VLOOKUP($C33,Sheet2!$A$2:$B$10,2,0)</f>
        <v>141140-91211</v>
      </c>
      <c r="E33" s="7" t="s">
        <v>30</v>
      </c>
      <c r="F33" s="12">
        <v>45973</v>
      </c>
      <c r="G33" s="13">
        <v>0.60416666666666663</v>
      </c>
      <c r="H33" s="1" t="s">
        <v>31</v>
      </c>
      <c r="I33" s="1" t="s">
        <v>10</v>
      </c>
      <c r="J33" s="1">
        <v>20</v>
      </c>
      <c r="K33" s="14">
        <f>VLOOKUP($C33,Sheet2!$A$2:$D$10,4,0)</f>
        <v>2</v>
      </c>
      <c r="L33" s="14" t="str">
        <f>VLOOKUP($C33,Sheet2!$A$2:$E$10,5,0)</f>
        <v>Bin</v>
      </c>
      <c r="M33" s="14">
        <f t="shared" ref="M33:M34" si="4">J33/K33</f>
        <v>10</v>
      </c>
      <c r="N33" s="1"/>
      <c r="O33" s="1" t="s">
        <v>166</v>
      </c>
      <c r="P33" s="1" t="s">
        <v>412</v>
      </c>
    </row>
    <row r="34" spans="1:16" x14ac:dyDescent="0.25">
      <c r="A34" s="15" t="s">
        <v>578</v>
      </c>
      <c r="B34" s="16" t="s">
        <v>551</v>
      </c>
      <c r="C34" s="1" t="s">
        <v>37</v>
      </c>
      <c r="D34" s="1" t="str">
        <f>VLOOKUP($C34,Sheet2!$A$2:$B$10,2,0)</f>
        <v>141150-91211</v>
      </c>
      <c r="E34" s="7" t="s">
        <v>38</v>
      </c>
      <c r="F34" s="12">
        <v>45973</v>
      </c>
      <c r="G34" s="13">
        <v>0.60416666666666663</v>
      </c>
      <c r="H34" s="1" t="s">
        <v>31</v>
      </c>
      <c r="I34" s="1" t="s">
        <v>10</v>
      </c>
      <c r="J34" s="1">
        <v>20</v>
      </c>
      <c r="K34" s="14">
        <f>VLOOKUP($C34,Sheet2!$A$2:$D$10,4,0)</f>
        <v>2</v>
      </c>
      <c r="L34" s="14" t="str">
        <f>VLOOKUP($C34,Sheet2!$A$2:$E$10,5,0)</f>
        <v>Bin</v>
      </c>
      <c r="M34" s="14">
        <f t="shared" si="4"/>
        <v>10</v>
      </c>
      <c r="N34" s="1"/>
      <c r="O34" s="1" t="s">
        <v>166</v>
      </c>
      <c r="P34" s="1" t="s">
        <v>412</v>
      </c>
    </row>
    <row r="35" spans="1:16" x14ac:dyDescent="0.25">
      <c r="A35" s="15" t="s">
        <v>578</v>
      </c>
      <c r="B35" s="16" t="s">
        <v>555</v>
      </c>
      <c r="C35" s="1" t="s">
        <v>45</v>
      </c>
      <c r="D35" s="1" t="str">
        <f>VLOOKUP($C35,Sheet2!$A$2:$B$10,2,0)</f>
        <v>141186-74360</v>
      </c>
      <c r="E35" s="7" t="s">
        <v>46</v>
      </c>
      <c r="F35" s="12">
        <v>45973</v>
      </c>
      <c r="G35" s="13">
        <v>0.60416666666666663</v>
      </c>
      <c r="H35" s="1" t="s">
        <v>31</v>
      </c>
      <c r="I35" s="1" t="s">
        <v>10</v>
      </c>
      <c r="J35" s="1">
        <v>40</v>
      </c>
      <c r="K35" s="14">
        <f>VLOOKUP($C35,Sheet2!$A$2:$D$10,4,0)</f>
        <v>40</v>
      </c>
      <c r="L35" s="14" t="str">
        <f>VLOOKUP($C35,Sheet2!$A$2:$E$10,5,0)</f>
        <v>Trolley</v>
      </c>
      <c r="M35" s="14"/>
      <c r="N35" s="1">
        <f>J35/K35</f>
        <v>1</v>
      </c>
      <c r="O35" s="1" t="s">
        <v>166</v>
      </c>
      <c r="P35" s="1">
        <v>910102507</v>
      </c>
    </row>
    <row r="36" spans="1:16" x14ac:dyDescent="0.25">
      <c r="A36" s="15" t="s">
        <v>579</v>
      </c>
      <c r="B36" s="16" t="s">
        <v>560</v>
      </c>
      <c r="C36" s="1" t="s">
        <v>50</v>
      </c>
      <c r="D36" s="1" t="str">
        <f>VLOOKUP($C36,Sheet2!$A$2:$B$10,2,0)</f>
        <v>116040-92240</v>
      </c>
      <c r="E36" s="7" t="s">
        <v>51</v>
      </c>
      <c r="F36" s="12">
        <v>45973</v>
      </c>
      <c r="G36" s="13">
        <v>0.60416666666666663</v>
      </c>
      <c r="H36" s="1" t="s">
        <v>52</v>
      </c>
      <c r="I36" s="1" t="s">
        <v>10</v>
      </c>
      <c r="J36" s="1">
        <v>18</v>
      </c>
      <c r="K36" s="14">
        <f>VLOOKUP($C36,Sheet2!$A$2:$D$10,4,0)</f>
        <v>6</v>
      </c>
      <c r="L36" s="14" t="str">
        <f>VLOOKUP($C36,Sheet2!$A$2:$E$10,5,0)</f>
        <v>Bin</v>
      </c>
      <c r="M36" s="14">
        <f t="shared" ref="M36:M38" si="5">J36/K36</f>
        <v>3</v>
      </c>
      <c r="N36" s="1"/>
      <c r="O36" s="1" t="s">
        <v>166</v>
      </c>
      <c r="P36" s="1" t="s">
        <v>591</v>
      </c>
    </row>
    <row r="37" spans="1:16" x14ac:dyDescent="0.25">
      <c r="A37" s="15" t="s">
        <v>579</v>
      </c>
      <c r="B37" s="16" t="s">
        <v>565</v>
      </c>
      <c r="C37" s="1" t="s">
        <v>59</v>
      </c>
      <c r="D37" s="1" t="str">
        <f>VLOOKUP($C37,Sheet2!$A$2:$B$10,2,0)</f>
        <v>114010-50820</v>
      </c>
      <c r="E37" s="7" t="s">
        <v>60</v>
      </c>
      <c r="F37" s="12">
        <v>45973</v>
      </c>
      <c r="G37" s="13">
        <v>0.60416666666666663</v>
      </c>
      <c r="H37" s="1" t="s">
        <v>52</v>
      </c>
      <c r="I37" s="1" t="s">
        <v>10</v>
      </c>
      <c r="J37" s="1">
        <v>11</v>
      </c>
      <c r="K37" s="14">
        <f>VLOOKUP($C37,Sheet2!$A$2:$D$10,4,0)</f>
        <v>1</v>
      </c>
      <c r="L37" s="14" t="str">
        <f>VLOOKUP($C37,Sheet2!$A$2:$E$10,5,0)</f>
        <v>Bin</v>
      </c>
      <c r="M37" s="14">
        <f t="shared" si="5"/>
        <v>11</v>
      </c>
      <c r="N37" s="1"/>
      <c r="O37" s="1" t="s">
        <v>166</v>
      </c>
      <c r="P37" s="1" t="s">
        <v>582</v>
      </c>
    </row>
    <row r="38" spans="1:16" ht="15.75" thickBot="1" x14ac:dyDescent="0.3">
      <c r="A38" s="15" t="s">
        <v>579</v>
      </c>
      <c r="B38" s="16" t="s">
        <v>570</v>
      </c>
      <c r="C38" s="1" t="s">
        <v>67</v>
      </c>
      <c r="D38" s="1" t="str">
        <f>VLOOKUP($C38,Sheet2!$A$2:$B$10,2,0)</f>
        <v>114010-50830</v>
      </c>
      <c r="E38" s="7" t="s">
        <v>60</v>
      </c>
      <c r="F38" s="12">
        <v>45973</v>
      </c>
      <c r="G38" s="19">
        <v>0.60416666666666663</v>
      </c>
      <c r="H38" s="1" t="s">
        <v>52</v>
      </c>
      <c r="I38" s="1" t="s">
        <v>10</v>
      </c>
      <c r="J38" s="1">
        <v>9</v>
      </c>
      <c r="K38" s="14">
        <f>VLOOKUP($C38,Sheet2!$A$2:$D$10,4,0)</f>
        <v>1</v>
      </c>
      <c r="L38" s="14" t="str">
        <f>VLOOKUP($C38,Sheet2!$A$2:$E$10,5,0)</f>
        <v>Bin</v>
      </c>
      <c r="M38" s="14">
        <f t="shared" si="5"/>
        <v>9</v>
      </c>
      <c r="N38" s="1"/>
      <c r="O38" s="1" t="s">
        <v>166</v>
      </c>
      <c r="P38" s="1" t="s">
        <v>587</v>
      </c>
    </row>
    <row r="39" spans="1:16" ht="15.75" thickTop="1" x14ac:dyDescent="0.25">
      <c r="A39" s="15" t="s">
        <v>580</v>
      </c>
      <c r="B39" s="16" t="s">
        <v>533</v>
      </c>
      <c r="C39" s="1" t="s">
        <v>7</v>
      </c>
      <c r="D39" s="1" t="str">
        <f>VLOOKUP($C39,Sheet2!$A$2:$B$10,2,0)</f>
        <v>141110-14600</v>
      </c>
      <c r="E39" s="7" t="s">
        <v>8</v>
      </c>
      <c r="F39" s="12">
        <v>45973</v>
      </c>
      <c r="G39" s="13">
        <v>0.8125</v>
      </c>
      <c r="H39" s="1" t="s">
        <v>9</v>
      </c>
      <c r="I39" s="1" t="s">
        <v>10</v>
      </c>
      <c r="J39" s="1">
        <v>18</v>
      </c>
      <c r="K39" s="14">
        <f>VLOOKUP($C39,Sheet2!$A$2:$D$10,4,0)</f>
        <v>18</v>
      </c>
      <c r="L39" s="14" t="str">
        <f>VLOOKUP($C39,Sheet2!$A$2:$E$10,5,0)</f>
        <v>Trolley (H)</v>
      </c>
      <c r="M39" s="14"/>
      <c r="N39" s="63">
        <v>1</v>
      </c>
      <c r="O39" s="1" t="s">
        <v>166</v>
      </c>
      <c r="P39" s="1" t="s">
        <v>585</v>
      </c>
    </row>
    <row r="40" spans="1:16" x14ac:dyDescent="0.25">
      <c r="A40" s="15" t="s">
        <v>580</v>
      </c>
      <c r="B40" s="16" t="s">
        <v>538</v>
      </c>
      <c r="C40" s="1" t="s">
        <v>16</v>
      </c>
      <c r="D40" s="1" t="str">
        <f>VLOOKUP($C40,Sheet2!$A$2:$B$10,2,0)</f>
        <v>141120-14600</v>
      </c>
      <c r="E40" s="7" t="s">
        <v>17</v>
      </c>
      <c r="F40" s="12">
        <v>45973</v>
      </c>
      <c r="G40" s="13">
        <v>0.8125</v>
      </c>
      <c r="H40" s="1" t="s">
        <v>9</v>
      </c>
      <c r="I40" s="1" t="s">
        <v>10</v>
      </c>
      <c r="J40" s="1">
        <v>18</v>
      </c>
      <c r="K40" s="14">
        <f>VLOOKUP($C40,Sheet2!$A$2:$D$10,4,0)</f>
        <v>18</v>
      </c>
      <c r="L40" s="14" t="str">
        <f>VLOOKUP($C40,Sheet2!$A$2:$E$10,5,0)</f>
        <v>Trolley (H)</v>
      </c>
      <c r="M40" s="14"/>
      <c r="N40" s="64"/>
      <c r="O40" s="1" t="s">
        <v>166</v>
      </c>
      <c r="P40" s="1" t="s">
        <v>585</v>
      </c>
    </row>
    <row r="41" spans="1:16" x14ac:dyDescent="0.25">
      <c r="A41" s="15" t="s">
        <v>580</v>
      </c>
      <c r="B41" s="16" t="s">
        <v>542</v>
      </c>
      <c r="C41" s="1" t="s">
        <v>23</v>
      </c>
      <c r="D41" s="1" t="str">
        <f>VLOOKUP($C41,Sheet2!$A$2:$B$10,2,0)</f>
        <v>141185-74670</v>
      </c>
      <c r="E41" s="7" t="s">
        <v>24</v>
      </c>
      <c r="F41" s="12">
        <v>45973</v>
      </c>
      <c r="G41" s="13">
        <v>0.8125</v>
      </c>
      <c r="H41" s="1" t="s">
        <v>9</v>
      </c>
      <c r="I41" s="1" t="s">
        <v>10</v>
      </c>
      <c r="J41" s="1">
        <v>40</v>
      </c>
      <c r="K41" s="14">
        <f>VLOOKUP($C41,Sheet2!$A$2:$D$10,4,0)</f>
        <v>40</v>
      </c>
      <c r="L41" s="14" t="str">
        <f>VLOOKUP($C41,Sheet2!$A$2:$E$10,5,0)</f>
        <v>Trolley</v>
      </c>
      <c r="M41" s="14"/>
      <c r="N41" s="1">
        <f>J41/K41</f>
        <v>1</v>
      </c>
      <c r="O41" s="1" t="s">
        <v>166</v>
      </c>
      <c r="P41" s="1">
        <v>910101603</v>
      </c>
    </row>
    <row r="42" spans="1:16" x14ac:dyDescent="0.25">
      <c r="A42" s="15" t="s">
        <v>580</v>
      </c>
      <c r="B42" s="16" t="s">
        <v>547</v>
      </c>
      <c r="C42" s="1" t="s">
        <v>29</v>
      </c>
      <c r="D42" s="1" t="str">
        <f>VLOOKUP($C42,Sheet2!$A$2:$B$10,2,0)</f>
        <v>141140-91211</v>
      </c>
      <c r="E42" s="7" t="s">
        <v>30</v>
      </c>
      <c r="F42" s="12">
        <v>45973</v>
      </c>
      <c r="G42" s="13">
        <v>0.8125</v>
      </c>
      <c r="H42" s="1" t="s">
        <v>31</v>
      </c>
      <c r="I42" s="1" t="s">
        <v>10</v>
      </c>
      <c r="J42" s="1">
        <v>22</v>
      </c>
      <c r="K42" s="14">
        <f>VLOOKUP($C42,Sheet2!$A$2:$D$10,4,0)</f>
        <v>2</v>
      </c>
      <c r="L42" s="14" t="str">
        <f>VLOOKUP($C42,Sheet2!$A$2:$E$10,5,0)</f>
        <v>Bin</v>
      </c>
      <c r="M42" s="14">
        <f t="shared" ref="M42:M43" si="6">J42/K42</f>
        <v>11</v>
      </c>
      <c r="N42" s="1"/>
      <c r="O42" s="1" t="s">
        <v>166</v>
      </c>
      <c r="P42" s="1" t="s">
        <v>412</v>
      </c>
    </row>
    <row r="43" spans="1:16" x14ac:dyDescent="0.25">
      <c r="A43" s="15" t="s">
        <v>580</v>
      </c>
      <c r="B43" s="16" t="s">
        <v>552</v>
      </c>
      <c r="C43" s="1" t="s">
        <v>37</v>
      </c>
      <c r="D43" s="1" t="str">
        <f>VLOOKUP($C43,Sheet2!$A$2:$B$10,2,0)</f>
        <v>141150-91211</v>
      </c>
      <c r="E43" s="7" t="s">
        <v>38</v>
      </c>
      <c r="F43" s="12">
        <v>45973</v>
      </c>
      <c r="G43" s="13">
        <v>0.8125</v>
      </c>
      <c r="H43" s="1" t="s">
        <v>31</v>
      </c>
      <c r="I43" s="1" t="s">
        <v>10</v>
      </c>
      <c r="J43" s="1">
        <v>22</v>
      </c>
      <c r="K43" s="14">
        <f>VLOOKUP($C43,Sheet2!$A$2:$D$10,4,0)</f>
        <v>2</v>
      </c>
      <c r="L43" s="14" t="str">
        <f>VLOOKUP($C43,Sheet2!$A$2:$E$10,5,0)</f>
        <v>Bin</v>
      </c>
      <c r="M43" s="14">
        <f t="shared" si="6"/>
        <v>11</v>
      </c>
      <c r="N43" s="1"/>
      <c r="O43" s="1" t="s">
        <v>166</v>
      </c>
      <c r="P43" s="1" t="s">
        <v>412</v>
      </c>
    </row>
    <row r="44" spans="1:16" x14ac:dyDescent="0.25">
      <c r="A44" s="15" t="s">
        <v>580</v>
      </c>
      <c r="B44" s="16" t="s">
        <v>556</v>
      </c>
      <c r="C44" s="1" t="s">
        <v>45</v>
      </c>
      <c r="D44" s="1" t="str">
        <f>VLOOKUP($C44,Sheet2!$A$2:$B$10,2,0)</f>
        <v>141186-74360</v>
      </c>
      <c r="E44" s="7" t="s">
        <v>46</v>
      </c>
      <c r="F44" s="12">
        <v>45973</v>
      </c>
      <c r="G44" s="13">
        <v>0.8125</v>
      </c>
      <c r="H44" s="1" t="s">
        <v>31</v>
      </c>
      <c r="I44" s="1" t="s">
        <v>10</v>
      </c>
      <c r="J44" s="1">
        <v>80</v>
      </c>
      <c r="K44" s="14">
        <f>VLOOKUP($C44,Sheet2!$A$2:$D$10,4,0)</f>
        <v>40</v>
      </c>
      <c r="L44" s="14" t="str">
        <f>VLOOKUP($C44,Sheet2!$A$2:$E$10,5,0)</f>
        <v>Trolley</v>
      </c>
      <c r="M44" s="14"/>
      <c r="N44" s="1">
        <f>J44/K44</f>
        <v>2</v>
      </c>
      <c r="O44" s="1" t="s">
        <v>166</v>
      </c>
      <c r="P44" s="1">
        <v>910102507</v>
      </c>
    </row>
    <row r="45" spans="1:16" x14ac:dyDescent="0.25">
      <c r="A45" s="15" t="s">
        <v>581</v>
      </c>
      <c r="B45" s="16" t="s">
        <v>561</v>
      </c>
      <c r="C45" s="1" t="s">
        <v>50</v>
      </c>
      <c r="D45" s="1" t="str">
        <f>VLOOKUP($C45,Sheet2!$A$2:$B$10,2,0)</f>
        <v>116040-92240</v>
      </c>
      <c r="E45" s="7" t="s">
        <v>51</v>
      </c>
      <c r="F45" s="12">
        <v>45973</v>
      </c>
      <c r="G45" s="13">
        <v>0.8125</v>
      </c>
      <c r="H45" s="1" t="s">
        <v>52</v>
      </c>
      <c r="I45" s="1" t="s">
        <v>10</v>
      </c>
      <c r="J45" s="1">
        <v>18</v>
      </c>
      <c r="K45" s="14">
        <f>VLOOKUP($C45,Sheet2!$A$2:$D$10,4,0)</f>
        <v>6</v>
      </c>
      <c r="L45" s="14" t="str">
        <f>VLOOKUP($C45,Sheet2!$A$2:$E$10,5,0)</f>
        <v>Bin</v>
      </c>
      <c r="M45" s="14">
        <f t="shared" ref="M45:M47" si="7">J45/K45</f>
        <v>3</v>
      </c>
      <c r="N45" s="1"/>
      <c r="O45" s="1" t="s">
        <v>166</v>
      </c>
      <c r="P45" s="1" t="s">
        <v>591</v>
      </c>
    </row>
    <row r="46" spans="1:16" x14ac:dyDescent="0.25">
      <c r="A46" s="15" t="s">
        <v>581</v>
      </c>
      <c r="B46" s="16" t="s">
        <v>566</v>
      </c>
      <c r="C46" s="1" t="s">
        <v>59</v>
      </c>
      <c r="D46" s="1" t="str">
        <f>VLOOKUP($C46,Sheet2!$A$2:$B$10,2,0)</f>
        <v>114010-50820</v>
      </c>
      <c r="E46" s="7" t="s">
        <v>60</v>
      </c>
      <c r="F46" s="12">
        <v>45973</v>
      </c>
      <c r="G46" s="13">
        <v>0.8125</v>
      </c>
      <c r="H46" s="1" t="s">
        <v>52</v>
      </c>
      <c r="I46" s="1" t="s">
        <v>10</v>
      </c>
      <c r="J46" s="1">
        <v>13</v>
      </c>
      <c r="K46" s="14">
        <f>VLOOKUP($C46,Sheet2!$A$2:$D$10,4,0)</f>
        <v>1</v>
      </c>
      <c r="L46" s="14" t="str">
        <f>VLOOKUP($C46,Sheet2!$A$2:$E$10,5,0)</f>
        <v>Bin</v>
      </c>
      <c r="M46" s="14">
        <f t="shared" si="7"/>
        <v>13</v>
      </c>
      <c r="N46" s="1"/>
      <c r="O46" s="1" t="s">
        <v>166</v>
      </c>
      <c r="P46" s="1" t="s">
        <v>582</v>
      </c>
    </row>
    <row r="47" spans="1:16" x14ac:dyDescent="0.25">
      <c r="A47" s="15" t="s">
        <v>581</v>
      </c>
      <c r="B47" s="16" t="s">
        <v>571</v>
      </c>
      <c r="C47" s="1" t="s">
        <v>67</v>
      </c>
      <c r="D47" s="1" t="str">
        <f>VLOOKUP($C47,Sheet2!$A$2:$B$10,2,0)</f>
        <v>114010-50830</v>
      </c>
      <c r="E47" s="7" t="s">
        <v>60</v>
      </c>
      <c r="F47" s="12">
        <v>45973</v>
      </c>
      <c r="G47" s="13">
        <v>0.8125</v>
      </c>
      <c r="H47" s="1" t="s">
        <v>52</v>
      </c>
      <c r="I47" s="1" t="s">
        <v>10</v>
      </c>
      <c r="J47" s="1">
        <v>8</v>
      </c>
      <c r="K47" s="14">
        <f>VLOOKUP($C47,Sheet2!$A$2:$D$10,4,0)</f>
        <v>1</v>
      </c>
      <c r="L47" s="14" t="str">
        <f>VLOOKUP($C47,Sheet2!$A$2:$E$10,5,0)</f>
        <v>Bin</v>
      </c>
      <c r="M47" s="14">
        <f t="shared" si="7"/>
        <v>8</v>
      </c>
      <c r="N47" s="1"/>
      <c r="O47" s="1" t="s">
        <v>166</v>
      </c>
      <c r="P47" s="1" t="s">
        <v>587</v>
      </c>
    </row>
    <row r="48" spans="1:16" s="20" customForma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>
        <v>89</v>
      </c>
      <c r="N48" s="9">
        <v>7</v>
      </c>
      <c r="O48" s="9"/>
      <c r="P48" s="9"/>
    </row>
  </sheetData>
  <autoFilter ref="A3:S3" xr:uid="{F272078B-012C-4E2A-AABB-F03CC0AA867E}"/>
  <mergeCells count="8">
    <mergeCell ref="N39:N40"/>
    <mergeCell ref="A1:F1"/>
    <mergeCell ref="J1:N1"/>
    <mergeCell ref="N4:N5"/>
    <mergeCell ref="N13:N14"/>
    <mergeCell ref="N22:N23"/>
    <mergeCell ref="N30:N31"/>
    <mergeCell ref="L2:N2"/>
  </mergeCells>
  <conditionalFormatting sqref="B2">
    <cfRule type="duplicateValues" dxfId="667" priority="37"/>
    <cfRule type="duplicateValues" dxfId="666" priority="38"/>
  </conditionalFormatting>
  <conditionalFormatting sqref="B4:B28 B30:B47">
    <cfRule type="duplicateValues" dxfId="665" priority="30"/>
  </conditionalFormatting>
  <conditionalFormatting sqref="C2:D2">
    <cfRule type="duplicateValues" dxfId="664" priority="39"/>
    <cfRule type="duplicateValues" dxfId="663" priority="40"/>
  </conditionalFormatting>
  <conditionalFormatting sqref="D3">
    <cfRule type="duplicateValues" dxfId="661" priority="35"/>
    <cfRule type="duplicateValues" dxfId="660" priority="36"/>
  </conditionalFormatting>
  <conditionalFormatting sqref="D29">
    <cfRule type="duplicateValues" dxfId="655" priority="18"/>
    <cfRule type="duplicateValues" dxfId="654" priority="19"/>
  </conditionalFormatting>
  <conditionalFormatting sqref="D48">
    <cfRule type="duplicateValues" dxfId="652" priority="4"/>
    <cfRule type="duplicateValues" dxfId="651" priority="5"/>
  </conditionalFormatting>
  <pageMargins left="0.17" right="0.17" top="0.17" bottom="0.17" header="0.17" footer="0.17"/>
  <pageSetup paperSize="9" scale="5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operator="containsText" text="17521M68PA0" id="{73CC77B2-08B0-40A8-93EB-FB7974B9854E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C4:D28 C30:D47</xm:sqref>
        </x14:conditionalFormatting>
        <x14:conditionalFormatting xmlns:xm="http://schemas.microsoft.com/office/excel/2006/main">
          <x14:cfRule type="containsText" priority="45" operator="containsText" text="17521M68PA0" id="{C68D2716-7384-4145-B12E-72611524C18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22" operator="containsText" text="17521M74T00" id="{3733DE7E-B513-416C-88FB-8F65621D09C1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23" operator="containsText" text="17521M68PA0" id="{15EA680C-AE0B-4B6A-BE30-B7F2ACC9377F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4" operator="containsText" text="17521M74T00" id="{FC92D11F-E187-4E4D-9067-7355766A279F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D4:D28 D30:D47</xm:sqref>
        </x14:conditionalFormatting>
        <x14:conditionalFormatting xmlns:xm="http://schemas.microsoft.com/office/excel/2006/main">
          <x14:cfRule type="containsText" priority="20" operator="containsText" text="17521M68PA0" id="{2E56B1F4-6709-4AFA-B5F5-5F8190260922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containsText" priority="6" operator="containsText" text="17521M68PA0" id="{14314B7F-0BBC-4F0F-839B-77607874A28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D48</xm:sqref>
        </x14:conditionalFormatting>
        <x14:conditionalFormatting xmlns:xm="http://schemas.microsoft.com/office/excel/2006/main">
          <x14:cfRule type="containsText" priority="41" operator="containsText" text="17521M68PA0" id="{48E9B501-FF45-416F-912B-A7BCCFFAD803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2" operator="containsText" text="17521M74T00" id="{B0A45ACC-33C5-4017-B44B-3B2D8CF4A8D5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32" operator="containsText" text="BELT,WATER PUMP - 7PK 975" id="{FDA1564F-E7E3-4D07-AAAF-BF23FC4DC555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7" operator="containsText" text="BELT,WATER PUMP - 5PK 913" id="{956A28D0-2C70-4C36-A398-E2AD6597BF7A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E3:E48</xm:sqref>
        </x14:conditionalFormatting>
        <x14:conditionalFormatting xmlns:xm="http://schemas.microsoft.com/office/excel/2006/main">
          <x14:cfRule type="containsText" priority="15" operator="containsText" text="BELT,WATER PUMP - 7PK 975" id="{614B209B-79DF-4591-A1F5-187C9716A028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containsText" priority="1" operator="containsText" text="BELT,WATER PUMP - 7PK 975" id="{28329AA1-E287-4828-B8BA-6F3C36339ED4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E48</xm:sqref>
        </x14:conditionalFormatting>
        <x14:conditionalFormatting xmlns:xm="http://schemas.microsoft.com/office/excel/2006/main">
          <x14:cfRule type="containsText" priority="43" operator="containsText" text="BELT,WATER PUMP - 5PK 913" id="{937DC9D8-6B43-490B-A974-F53D404025D6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4" operator="containsText" text="BELT,WATER PUMP - 7PK 975" id="{1A908137-932C-4013-8BB9-52FC5CC9635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33" operator="containsText" text="5PK 913" id="{DC9868F6-7691-4685-935C-F8683580E0F6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4" operator="containsText" text="7PK 975" id="{001A7E60-3577-4BDA-8CC9-32EFB497F88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16" operator="containsText" text="5PK 913" id="{462D8FDC-3C8D-4B00-910C-927374D1E511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7" operator="containsText" text="7PK 975" id="{040AC1E4-1154-406C-AA51-5B2D25E3A707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P29</xm:sqref>
        </x14:conditionalFormatting>
        <x14:conditionalFormatting xmlns:xm="http://schemas.microsoft.com/office/excel/2006/main">
          <x14:cfRule type="containsText" priority="2" operator="containsText" text="5PK 913" id="{7AB920C6-043E-4F9D-A018-404AAF1BB967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7PK 975" id="{E5EC9A52-A7C3-44E6-A4DB-F4D3EBE7290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7EBF-AF31-4F5F-90DE-977CE60011C8}">
  <sheetPr>
    <pageSetUpPr fitToPage="1"/>
  </sheetPr>
  <dimension ref="A1:S60"/>
  <sheetViews>
    <sheetView workbookViewId="0">
      <selection activeCell="P3" sqref="P3"/>
    </sheetView>
  </sheetViews>
  <sheetFormatPr defaultColWidth="53.5703125" defaultRowHeight="15" x14ac:dyDescent="0.25"/>
  <cols>
    <col min="1" max="1" width="15.140625" bestFit="1" customWidth="1"/>
    <col min="2" max="2" width="16.7109375" bestFit="1" customWidth="1"/>
    <col min="3" max="3" width="14.140625" bestFit="1" customWidth="1"/>
    <col min="4" max="4" width="14.140625" hidden="1" customWidth="1"/>
    <col min="5" max="5" width="32.5703125" bestFit="1" customWidth="1"/>
    <col min="6" max="6" width="14.28515625" customWidth="1"/>
    <col min="7" max="7" width="9.140625" customWidth="1"/>
    <col min="8" max="8" width="12.42578125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5.28515625" customWidth="1"/>
    <col min="16" max="16" width="47.28515625" customWidth="1"/>
    <col min="17" max="17" width="4.85546875" customWidth="1"/>
    <col min="18" max="18" width="5.28515625" customWidth="1"/>
    <col min="19" max="19" width="24" bestFit="1" customWidth="1"/>
  </cols>
  <sheetData>
    <row r="1" spans="1:19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9" ht="15.75" x14ac:dyDescent="0.25">
      <c r="A2" s="4" t="s">
        <v>74</v>
      </c>
      <c r="B2" s="5">
        <v>45974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30"/>
      <c r="P2" s="8"/>
    </row>
    <row r="3" spans="1:19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9" x14ac:dyDescent="0.25">
      <c r="A4" s="15" t="s">
        <v>634</v>
      </c>
      <c r="B4" s="16" t="s">
        <v>592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45974</v>
      </c>
      <c r="G4" s="13">
        <v>0.27083333333333331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119</v>
      </c>
      <c r="P4" s="1" t="s">
        <v>585</v>
      </c>
      <c r="R4" s="23"/>
      <c r="S4" s="24" t="s">
        <v>525</v>
      </c>
    </row>
    <row r="5" spans="1:19" x14ac:dyDescent="0.25">
      <c r="A5" s="15" t="s">
        <v>634</v>
      </c>
      <c r="B5" s="16" t="s">
        <v>596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45974</v>
      </c>
      <c r="G5" s="13">
        <v>0.27083333333333331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119</v>
      </c>
      <c r="P5" s="1" t="s">
        <v>585</v>
      </c>
      <c r="R5" s="25"/>
      <c r="S5" s="24" t="s">
        <v>526</v>
      </c>
    </row>
    <row r="6" spans="1:19" x14ac:dyDescent="0.25">
      <c r="A6" s="15" t="s">
        <v>634</v>
      </c>
      <c r="B6" s="16" t="s">
        <v>600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45974</v>
      </c>
      <c r="G6" s="13">
        <v>0.27083333333333331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119</v>
      </c>
      <c r="P6" s="1">
        <v>910101603</v>
      </c>
      <c r="R6" s="26"/>
      <c r="S6" s="24" t="s">
        <v>527</v>
      </c>
    </row>
    <row r="7" spans="1:19" x14ac:dyDescent="0.25">
      <c r="A7" s="15" t="s">
        <v>634</v>
      </c>
      <c r="B7" s="16" t="s">
        <v>605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45974</v>
      </c>
      <c r="G7" s="13">
        <v>0.27083333333333331</v>
      </c>
      <c r="H7" s="1" t="s">
        <v>31</v>
      </c>
      <c r="I7" s="1" t="s">
        <v>10</v>
      </c>
      <c r="J7" s="1">
        <v>22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11</v>
      </c>
      <c r="N7" s="1"/>
      <c r="O7" s="1" t="s">
        <v>119</v>
      </c>
      <c r="P7" s="1" t="s">
        <v>412</v>
      </c>
    </row>
    <row r="8" spans="1:19" x14ac:dyDescent="0.25">
      <c r="A8" s="15" t="s">
        <v>634</v>
      </c>
      <c r="B8" s="16" t="s">
        <v>610</v>
      </c>
      <c r="C8" s="1" t="s">
        <v>37</v>
      </c>
      <c r="D8" s="1" t="str">
        <f>VLOOKUP($C8,Sheet2!$A$2:$B$10,2,0)</f>
        <v>141150-91211</v>
      </c>
      <c r="E8" s="7" t="s">
        <v>38</v>
      </c>
      <c r="F8" s="12">
        <v>45974</v>
      </c>
      <c r="G8" s="13">
        <v>0.27083333333333331</v>
      </c>
      <c r="H8" s="1" t="s">
        <v>31</v>
      </c>
      <c r="I8" s="1" t="s">
        <v>10</v>
      </c>
      <c r="J8" s="1">
        <v>22</v>
      </c>
      <c r="K8" s="14">
        <f>VLOOKUP($C8,Sheet2!$A$2:$D$10,4,0)</f>
        <v>2</v>
      </c>
      <c r="L8" s="14" t="str">
        <f>VLOOKUP($C8,Sheet2!$A$2:$E$10,5,0)</f>
        <v>Bin</v>
      </c>
      <c r="M8" s="14">
        <f>J8/K8</f>
        <v>11</v>
      </c>
      <c r="N8" s="1"/>
      <c r="O8" s="1" t="s">
        <v>119</v>
      </c>
      <c r="P8" s="1" t="s">
        <v>412</v>
      </c>
    </row>
    <row r="9" spans="1:19" x14ac:dyDescent="0.25">
      <c r="A9" s="15" t="s">
        <v>634</v>
      </c>
      <c r="B9" s="16" t="s">
        <v>615</v>
      </c>
      <c r="C9" s="1" t="s">
        <v>45</v>
      </c>
      <c r="D9" s="1" t="str">
        <f>VLOOKUP($C9,Sheet2!$A$2:$B$10,2,0)</f>
        <v>141186-74360</v>
      </c>
      <c r="E9" s="7" t="s">
        <v>46</v>
      </c>
      <c r="F9" s="12">
        <v>45974</v>
      </c>
      <c r="G9" s="13">
        <v>0.27083333333333331</v>
      </c>
      <c r="H9" s="1" t="s">
        <v>31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119</v>
      </c>
      <c r="P9" s="1">
        <v>910102507</v>
      </c>
    </row>
    <row r="10" spans="1:19" x14ac:dyDescent="0.25">
      <c r="A10" s="15" t="s">
        <v>635</v>
      </c>
      <c r="B10" s="16" t="s">
        <v>619</v>
      </c>
      <c r="C10" s="1" t="s">
        <v>50</v>
      </c>
      <c r="D10" s="1" t="str">
        <f>VLOOKUP($C10,Sheet2!$A$2:$B$10,2,0)</f>
        <v>116040-92240</v>
      </c>
      <c r="E10" s="7" t="s">
        <v>51</v>
      </c>
      <c r="F10" s="12">
        <v>45974</v>
      </c>
      <c r="G10" s="13">
        <v>0.27083333333333331</v>
      </c>
      <c r="H10" s="1" t="s">
        <v>52</v>
      </c>
      <c r="I10" s="1" t="s">
        <v>10</v>
      </c>
      <c r="J10" s="1">
        <v>24</v>
      </c>
      <c r="K10" s="14">
        <f>VLOOKUP($C10,Sheet2!$A$2:$D$10,4,0)</f>
        <v>6</v>
      </c>
      <c r="L10" s="14" t="str">
        <f>VLOOKUP($C10,Sheet2!$A$2:$E$10,5,0)</f>
        <v>Bin</v>
      </c>
      <c r="M10" s="14">
        <f t="shared" ref="M10:M12" si="0">J10/K10</f>
        <v>4</v>
      </c>
      <c r="N10" s="1"/>
      <c r="O10" s="1" t="s">
        <v>119</v>
      </c>
      <c r="P10" s="1" t="s">
        <v>591</v>
      </c>
    </row>
    <row r="11" spans="1:19" x14ac:dyDescent="0.25">
      <c r="A11" s="15" t="s">
        <v>635</v>
      </c>
      <c r="B11" s="16" t="s">
        <v>624</v>
      </c>
      <c r="C11" s="1" t="s">
        <v>59</v>
      </c>
      <c r="D11" s="1" t="str">
        <f>VLOOKUP($C11,Sheet2!$A$2:$B$10,2,0)</f>
        <v>114010-50820</v>
      </c>
      <c r="E11" s="7" t="s">
        <v>60</v>
      </c>
      <c r="F11" s="12">
        <v>45974</v>
      </c>
      <c r="G11" s="13">
        <v>0.27083333333333331</v>
      </c>
      <c r="H11" s="1" t="s">
        <v>52</v>
      </c>
      <c r="I11" s="1" t="s">
        <v>10</v>
      </c>
      <c r="J11" s="1">
        <v>10</v>
      </c>
      <c r="K11" s="14">
        <f>VLOOKUP($C11,Sheet2!$A$2:$D$10,4,0)</f>
        <v>1</v>
      </c>
      <c r="L11" s="14" t="str">
        <f>VLOOKUP($C11,Sheet2!$A$2:$E$10,5,0)</f>
        <v>Bin</v>
      </c>
      <c r="M11" s="14">
        <f t="shared" si="0"/>
        <v>10</v>
      </c>
      <c r="N11" s="1"/>
      <c r="O11" s="1" t="s">
        <v>119</v>
      </c>
      <c r="P11" s="1" t="s">
        <v>582</v>
      </c>
    </row>
    <row r="12" spans="1:19" ht="15.75" thickBot="1" x14ac:dyDescent="0.3">
      <c r="A12" s="15" t="s">
        <v>635</v>
      </c>
      <c r="B12" s="16" t="s">
        <v>629</v>
      </c>
      <c r="C12" s="1" t="s">
        <v>67</v>
      </c>
      <c r="D12" s="1" t="str">
        <f>VLOOKUP($C12,Sheet2!$A$2:$B$10,2,0)</f>
        <v>114010-50830</v>
      </c>
      <c r="E12" s="7" t="s">
        <v>60</v>
      </c>
      <c r="F12" s="12">
        <v>45974</v>
      </c>
      <c r="G12" s="27">
        <v>0.27083333333333331</v>
      </c>
      <c r="H12" s="1" t="s">
        <v>52</v>
      </c>
      <c r="I12" s="1" t="s">
        <v>10</v>
      </c>
      <c r="J12" s="1">
        <v>11</v>
      </c>
      <c r="K12" s="14">
        <f>VLOOKUP($C12,Sheet2!$A$2:$D$10,4,0)</f>
        <v>1</v>
      </c>
      <c r="L12" s="14" t="str">
        <f>VLOOKUP($C12,Sheet2!$A$2:$E$10,5,0)</f>
        <v>Bin</v>
      </c>
      <c r="M12" s="14">
        <f t="shared" si="0"/>
        <v>11</v>
      </c>
      <c r="N12" s="1"/>
      <c r="O12" s="1" t="s">
        <v>119</v>
      </c>
      <c r="P12" s="1" t="s">
        <v>587</v>
      </c>
    </row>
    <row r="13" spans="1:19" ht="15.75" thickTop="1" x14ac:dyDescent="0.25">
      <c r="A13" s="15" t="s">
        <v>636</v>
      </c>
      <c r="B13" s="16" t="s">
        <v>593</v>
      </c>
      <c r="C13" s="1" t="s">
        <v>7</v>
      </c>
      <c r="D13" s="1" t="str">
        <f>VLOOKUP($C13,Sheet2!$A$2:$B$10,2,0)</f>
        <v>141110-14600</v>
      </c>
      <c r="E13" s="7" t="s">
        <v>8</v>
      </c>
      <c r="F13" s="12">
        <v>45974</v>
      </c>
      <c r="G13" s="28">
        <v>0.3125</v>
      </c>
      <c r="H13" s="1" t="s">
        <v>9</v>
      </c>
      <c r="I13" s="1" t="s">
        <v>10</v>
      </c>
      <c r="J13" s="1">
        <v>18</v>
      </c>
      <c r="K13" s="14">
        <f>VLOOKUP($C13,Sheet2!$A$2:$D$10,4,0)</f>
        <v>18</v>
      </c>
      <c r="L13" s="14" t="str">
        <f>VLOOKUP($C13,Sheet2!$A$2:$E$10,5,0)</f>
        <v>Trolley (H)</v>
      </c>
      <c r="M13" s="14"/>
      <c r="N13" s="63">
        <v>1</v>
      </c>
      <c r="O13" s="1" t="s">
        <v>119</v>
      </c>
      <c r="P13" s="1" t="s">
        <v>585</v>
      </c>
    </row>
    <row r="14" spans="1:19" x14ac:dyDescent="0.25">
      <c r="A14" s="15" t="s">
        <v>636</v>
      </c>
      <c r="B14" s="16" t="s">
        <v>597</v>
      </c>
      <c r="C14" s="1" t="s">
        <v>16</v>
      </c>
      <c r="D14" s="1" t="str">
        <f>VLOOKUP($C14,Sheet2!$A$2:$B$10,2,0)</f>
        <v>141120-14600</v>
      </c>
      <c r="E14" s="7" t="s">
        <v>17</v>
      </c>
      <c r="F14" s="12">
        <v>45974</v>
      </c>
      <c r="G14" s="13">
        <v>0.3125</v>
      </c>
      <c r="H14" s="1" t="s">
        <v>9</v>
      </c>
      <c r="I14" s="1" t="s">
        <v>10</v>
      </c>
      <c r="J14" s="1">
        <v>18</v>
      </c>
      <c r="K14" s="14">
        <f>VLOOKUP($C14,Sheet2!$A$2:$D$10,4,0)</f>
        <v>18</v>
      </c>
      <c r="L14" s="14" t="str">
        <f>VLOOKUP($C14,Sheet2!$A$2:$E$10,5,0)</f>
        <v>Trolley (H)</v>
      </c>
      <c r="M14" s="14"/>
      <c r="N14" s="64"/>
      <c r="O14" s="1" t="s">
        <v>119</v>
      </c>
      <c r="P14" s="1" t="s">
        <v>585</v>
      </c>
    </row>
    <row r="15" spans="1:19" x14ac:dyDescent="0.25">
      <c r="A15" s="15" t="s">
        <v>636</v>
      </c>
      <c r="B15" s="16" t="s">
        <v>601</v>
      </c>
      <c r="C15" s="1" t="s">
        <v>23</v>
      </c>
      <c r="D15" s="1" t="str">
        <f>VLOOKUP($C15,Sheet2!$A$2:$B$10,2,0)</f>
        <v>141185-74670</v>
      </c>
      <c r="E15" s="7" t="s">
        <v>24</v>
      </c>
      <c r="F15" s="12">
        <v>45974</v>
      </c>
      <c r="G15" s="13">
        <v>0.3125</v>
      </c>
      <c r="H15" s="1" t="s">
        <v>9</v>
      </c>
      <c r="I15" s="1" t="s">
        <v>10</v>
      </c>
      <c r="J15" s="1">
        <v>40</v>
      </c>
      <c r="K15" s="14">
        <f>VLOOKUP($C15,Sheet2!$A$2:$D$10,4,0)</f>
        <v>40</v>
      </c>
      <c r="L15" s="14" t="str">
        <f>VLOOKUP($C15,Sheet2!$A$2:$E$10,5,0)</f>
        <v>Trolley</v>
      </c>
      <c r="M15" s="14"/>
      <c r="N15" s="1">
        <f>J15/K15</f>
        <v>1</v>
      </c>
      <c r="O15" s="1" t="s">
        <v>119</v>
      </c>
      <c r="P15" s="1">
        <v>910101603</v>
      </c>
    </row>
    <row r="16" spans="1:19" x14ac:dyDescent="0.25">
      <c r="A16" s="15" t="s">
        <v>636</v>
      </c>
      <c r="B16" s="16" t="s">
        <v>606</v>
      </c>
      <c r="C16" s="1" t="s">
        <v>29</v>
      </c>
      <c r="D16" s="1" t="str">
        <f>VLOOKUP($C16,Sheet2!$A$2:$B$10,2,0)</f>
        <v>141140-91211</v>
      </c>
      <c r="E16" s="7" t="s">
        <v>30</v>
      </c>
      <c r="F16" s="12">
        <v>45974</v>
      </c>
      <c r="G16" s="13">
        <v>0.3125</v>
      </c>
      <c r="H16" s="1" t="s">
        <v>31</v>
      </c>
      <c r="I16" s="1" t="s">
        <v>10</v>
      </c>
      <c r="J16" s="1">
        <v>20</v>
      </c>
      <c r="K16" s="14">
        <f>VLOOKUP($C16,Sheet2!$A$2:$D$10,4,0)</f>
        <v>2</v>
      </c>
      <c r="L16" s="14" t="str">
        <f>VLOOKUP($C16,Sheet2!$A$2:$E$10,5,0)</f>
        <v>Bin</v>
      </c>
      <c r="M16" s="14">
        <f t="shared" ref="M16:M17" si="1">J16/K16</f>
        <v>10</v>
      </c>
      <c r="N16" s="1"/>
      <c r="O16" s="1" t="s">
        <v>119</v>
      </c>
      <c r="P16" s="1" t="s">
        <v>412</v>
      </c>
    </row>
    <row r="17" spans="1:16" x14ac:dyDescent="0.25">
      <c r="A17" s="15" t="s">
        <v>636</v>
      </c>
      <c r="B17" s="16" t="s">
        <v>611</v>
      </c>
      <c r="C17" s="1" t="s">
        <v>37</v>
      </c>
      <c r="D17" s="1" t="str">
        <f>VLOOKUP($C17,Sheet2!$A$2:$B$10,2,0)</f>
        <v>141150-91211</v>
      </c>
      <c r="E17" s="7" t="s">
        <v>38</v>
      </c>
      <c r="F17" s="12">
        <v>45974</v>
      </c>
      <c r="G17" s="13">
        <v>0.3125</v>
      </c>
      <c r="H17" s="1" t="s">
        <v>31</v>
      </c>
      <c r="I17" s="1" t="s">
        <v>10</v>
      </c>
      <c r="J17" s="1">
        <v>20</v>
      </c>
      <c r="K17" s="14">
        <f>VLOOKUP($C17,Sheet2!$A$2:$D$10,4,0)</f>
        <v>2</v>
      </c>
      <c r="L17" s="14" t="str">
        <f>VLOOKUP($C17,Sheet2!$A$2:$E$10,5,0)</f>
        <v>Bin</v>
      </c>
      <c r="M17" s="14">
        <f t="shared" si="1"/>
        <v>10</v>
      </c>
      <c r="N17" s="1"/>
      <c r="O17" s="1" t="s">
        <v>119</v>
      </c>
      <c r="P17" s="1" t="s">
        <v>412</v>
      </c>
    </row>
    <row r="18" spans="1:16" x14ac:dyDescent="0.25">
      <c r="A18" s="15" t="s">
        <v>636</v>
      </c>
      <c r="B18" s="16" t="s">
        <v>616</v>
      </c>
      <c r="C18" s="1" t="s">
        <v>45</v>
      </c>
      <c r="D18" s="1" t="str">
        <f>VLOOKUP($C18,Sheet2!$A$2:$B$10,2,0)</f>
        <v>141186-74360</v>
      </c>
      <c r="E18" s="7" t="s">
        <v>46</v>
      </c>
      <c r="F18" s="12">
        <v>45974</v>
      </c>
      <c r="G18" s="13">
        <v>0.3125</v>
      </c>
      <c r="H18" s="1" t="s">
        <v>31</v>
      </c>
      <c r="I18" s="1" t="s">
        <v>10</v>
      </c>
      <c r="J18" s="1">
        <v>40</v>
      </c>
      <c r="K18" s="14">
        <f>VLOOKUP($C18,Sheet2!$A$2:$D$10,4,0)</f>
        <v>40</v>
      </c>
      <c r="L18" s="14" t="str">
        <f>VLOOKUP($C18,Sheet2!$A$2:$E$10,5,0)</f>
        <v>Trolley</v>
      </c>
      <c r="M18" s="14"/>
      <c r="N18" s="1">
        <f>J18/K18</f>
        <v>1</v>
      </c>
      <c r="O18" s="1" t="s">
        <v>119</v>
      </c>
      <c r="P18" s="1">
        <v>910102507</v>
      </c>
    </row>
    <row r="19" spans="1:16" x14ac:dyDescent="0.25">
      <c r="A19" s="15" t="s">
        <v>637</v>
      </c>
      <c r="B19" s="16" t="s">
        <v>620</v>
      </c>
      <c r="C19" s="1" t="s">
        <v>50</v>
      </c>
      <c r="D19" s="1" t="str">
        <f>VLOOKUP($C19,Sheet2!$A$2:$B$10,2,0)</f>
        <v>116040-92240</v>
      </c>
      <c r="E19" s="7" t="s">
        <v>51</v>
      </c>
      <c r="F19" s="12">
        <v>45974</v>
      </c>
      <c r="G19" s="13">
        <v>0.3125</v>
      </c>
      <c r="H19" s="1" t="s">
        <v>52</v>
      </c>
      <c r="I19" s="1" t="s">
        <v>10</v>
      </c>
      <c r="J19" s="1">
        <v>18</v>
      </c>
      <c r="K19" s="14">
        <f>VLOOKUP($C19,Sheet2!$A$2:$D$10,4,0)</f>
        <v>6</v>
      </c>
      <c r="L19" s="14" t="str">
        <f>VLOOKUP($C19,Sheet2!$A$2:$E$10,5,0)</f>
        <v>Bin</v>
      </c>
      <c r="M19" s="14">
        <f t="shared" ref="M19:M21" si="2">J19/K19</f>
        <v>3</v>
      </c>
      <c r="N19" s="1"/>
      <c r="O19" s="1" t="s">
        <v>119</v>
      </c>
      <c r="P19" s="1" t="s">
        <v>591</v>
      </c>
    </row>
    <row r="20" spans="1:16" x14ac:dyDescent="0.25">
      <c r="A20" s="15" t="s">
        <v>637</v>
      </c>
      <c r="B20" s="16" t="s">
        <v>625</v>
      </c>
      <c r="C20" s="1" t="s">
        <v>59</v>
      </c>
      <c r="D20" s="1" t="str">
        <f>VLOOKUP($C20,Sheet2!$A$2:$B$10,2,0)</f>
        <v>114010-50820</v>
      </c>
      <c r="E20" s="7" t="s">
        <v>60</v>
      </c>
      <c r="F20" s="12">
        <v>45974</v>
      </c>
      <c r="G20" s="13">
        <v>0.3125</v>
      </c>
      <c r="H20" s="1" t="s">
        <v>52</v>
      </c>
      <c r="I20" s="1" t="s">
        <v>10</v>
      </c>
      <c r="J20" s="1">
        <v>11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2"/>
        <v>11</v>
      </c>
      <c r="N20" s="1"/>
      <c r="O20" s="1" t="s">
        <v>119</v>
      </c>
      <c r="P20" s="1" t="s">
        <v>582</v>
      </c>
    </row>
    <row r="21" spans="1:16" ht="15.75" thickBot="1" x14ac:dyDescent="0.3">
      <c r="A21" s="15" t="s">
        <v>637</v>
      </c>
      <c r="B21" s="16" t="s">
        <v>630</v>
      </c>
      <c r="C21" s="1" t="s">
        <v>67</v>
      </c>
      <c r="D21" s="1" t="str">
        <f>VLOOKUP($C21,Sheet2!$A$2:$B$10,2,0)</f>
        <v>114010-50830</v>
      </c>
      <c r="E21" s="7" t="s">
        <v>60</v>
      </c>
      <c r="F21" s="12">
        <v>45974</v>
      </c>
      <c r="G21" s="19">
        <v>0.3125</v>
      </c>
      <c r="H21" s="1" t="s">
        <v>52</v>
      </c>
      <c r="I21" s="1" t="s">
        <v>10</v>
      </c>
      <c r="J21" s="1">
        <v>9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9</v>
      </c>
      <c r="N21" s="1"/>
      <c r="O21" s="1" t="s">
        <v>119</v>
      </c>
      <c r="P21" s="1" t="s">
        <v>587</v>
      </c>
    </row>
    <row r="22" spans="1:16" s="20" customFormat="1" ht="15.75" thickTop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>
        <v>90</v>
      </c>
      <c r="N22" s="9">
        <v>6</v>
      </c>
      <c r="O22" s="9"/>
      <c r="P22" s="9"/>
    </row>
    <row r="23" spans="1:16" x14ac:dyDescent="0.25">
      <c r="A23" s="15" t="s">
        <v>638</v>
      </c>
      <c r="B23" s="16" t="s">
        <v>602</v>
      </c>
      <c r="C23" s="1" t="s">
        <v>23</v>
      </c>
      <c r="D23" s="1" t="str">
        <f>VLOOKUP($C23,Sheet2!$A$2:$B$10,2,0)</f>
        <v>141185-74670</v>
      </c>
      <c r="E23" s="7" t="s">
        <v>24</v>
      </c>
      <c r="F23" s="12">
        <v>45974</v>
      </c>
      <c r="G23" s="18">
        <v>0.35416666666666669</v>
      </c>
      <c r="H23" s="1" t="s">
        <v>9</v>
      </c>
      <c r="I23" s="1" t="s">
        <v>10</v>
      </c>
      <c r="J23" s="1">
        <v>40</v>
      </c>
      <c r="K23" s="14">
        <f>VLOOKUP($C23,Sheet2!$A$2:$D$10,4,0)</f>
        <v>40</v>
      </c>
      <c r="L23" s="14" t="str">
        <f>VLOOKUP($C23,Sheet2!$A$2:$E$10,5,0)</f>
        <v>Trolley</v>
      </c>
      <c r="M23" s="14"/>
      <c r="N23" s="1">
        <f>J23/K23</f>
        <v>1</v>
      </c>
      <c r="O23" s="1" t="s">
        <v>171</v>
      </c>
      <c r="P23" s="1">
        <v>910101603</v>
      </c>
    </row>
    <row r="24" spans="1:16" x14ac:dyDescent="0.25">
      <c r="A24" s="15" t="s">
        <v>638</v>
      </c>
      <c r="B24" s="16" t="s">
        <v>607</v>
      </c>
      <c r="C24" s="1" t="s">
        <v>29</v>
      </c>
      <c r="D24" s="1" t="str">
        <f>VLOOKUP($C24,Sheet2!$A$2:$B$10,2,0)</f>
        <v>141140-91211</v>
      </c>
      <c r="E24" s="7" t="s">
        <v>30</v>
      </c>
      <c r="F24" s="12">
        <v>45974</v>
      </c>
      <c r="G24" s="13">
        <v>0.35416666666666669</v>
      </c>
      <c r="H24" s="1" t="s">
        <v>31</v>
      </c>
      <c r="I24" s="1" t="s">
        <v>10</v>
      </c>
      <c r="J24" s="1">
        <v>8</v>
      </c>
      <c r="K24" s="14">
        <f>VLOOKUP($C24,Sheet2!$A$2:$D$10,4,0)</f>
        <v>2</v>
      </c>
      <c r="L24" s="14" t="str">
        <f>VLOOKUP($C24,Sheet2!$A$2:$E$10,5,0)</f>
        <v>Bin</v>
      </c>
      <c r="M24" s="14">
        <f t="shared" ref="M24:M28" si="3">J24/K24</f>
        <v>4</v>
      </c>
      <c r="N24" s="1"/>
      <c r="O24" s="1" t="s">
        <v>171</v>
      </c>
      <c r="P24" s="1" t="s">
        <v>412</v>
      </c>
    </row>
    <row r="25" spans="1:16" x14ac:dyDescent="0.25">
      <c r="A25" s="15" t="s">
        <v>638</v>
      </c>
      <c r="B25" s="16" t="s">
        <v>612</v>
      </c>
      <c r="C25" s="1" t="s">
        <v>37</v>
      </c>
      <c r="D25" s="1" t="str">
        <f>VLOOKUP($C25,Sheet2!$A$2:$B$10,2,0)</f>
        <v>141150-91211</v>
      </c>
      <c r="E25" s="7" t="s">
        <v>38</v>
      </c>
      <c r="F25" s="12">
        <v>45974</v>
      </c>
      <c r="G25" s="13">
        <v>0.35416666666666669</v>
      </c>
      <c r="H25" s="1" t="s">
        <v>31</v>
      </c>
      <c r="I25" s="1" t="s">
        <v>10</v>
      </c>
      <c r="J25" s="1">
        <v>8</v>
      </c>
      <c r="K25" s="14">
        <f>VLOOKUP($C25,Sheet2!$A$2:$D$10,4,0)</f>
        <v>2</v>
      </c>
      <c r="L25" s="14" t="str">
        <f>VLOOKUP($C25,Sheet2!$A$2:$E$10,5,0)</f>
        <v>Bin</v>
      </c>
      <c r="M25" s="14">
        <f t="shared" si="3"/>
        <v>4</v>
      </c>
      <c r="N25" s="1"/>
      <c r="O25" s="1" t="s">
        <v>171</v>
      </c>
      <c r="P25" s="1" t="s">
        <v>412</v>
      </c>
    </row>
    <row r="26" spans="1:16" x14ac:dyDescent="0.25">
      <c r="A26" s="15" t="s">
        <v>639</v>
      </c>
      <c r="B26" s="16" t="s">
        <v>621</v>
      </c>
      <c r="C26" s="1" t="s">
        <v>50</v>
      </c>
      <c r="D26" s="1" t="str">
        <f>VLOOKUP($C26,Sheet2!$A$2:$B$10,2,0)</f>
        <v>116040-92240</v>
      </c>
      <c r="E26" s="7" t="s">
        <v>51</v>
      </c>
      <c r="F26" s="12">
        <v>45974</v>
      </c>
      <c r="G26" s="13">
        <v>0.35416666666666669</v>
      </c>
      <c r="H26" s="1" t="s">
        <v>52</v>
      </c>
      <c r="I26" s="1" t="s">
        <v>10</v>
      </c>
      <c r="J26" s="1">
        <v>6</v>
      </c>
      <c r="K26" s="14">
        <f>VLOOKUP($C26,Sheet2!$A$2:$D$10,4,0)</f>
        <v>6</v>
      </c>
      <c r="L26" s="14" t="str">
        <f>VLOOKUP($C26,Sheet2!$A$2:$E$10,5,0)</f>
        <v>Bin</v>
      </c>
      <c r="M26" s="14">
        <f t="shared" si="3"/>
        <v>1</v>
      </c>
      <c r="N26" s="1"/>
      <c r="O26" s="1" t="s">
        <v>171</v>
      </c>
      <c r="P26" s="1" t="s">
        <v>591</v>
      </c>
    </row>
    <row r="27" spans="1:16" x14ac:dyDescent="0.25">
      <c r="A27" s="15" t="s">
        <v>639</v>
      </c>
      <c r="B27" s="16" t="s">
        <v>626</v>
      </c>
      <c r="C27" s="1" t="s">
        <v>59</v>
      </c>
      <c r="D27" s="1" t="str">
        <f>VLOOKUP($C27,Sheet2!$A$2:$B$10,2,0)</f>
        <v>114010-50820</v>
      </c>
      <c r="E27" s="7" t="s">
        <v>60</v>
      </c>
      <c r="F27" s="12">
        <v>45974</v>
      </c>
      <c r="G27" s="13">
        <v>0.35416666666666669</v>
      </c>
      <c r="H27" s="1" t="s">
        <v>52</v>
      </c>
      <c r="I27" s="1" t="s">
        <v>10</v>
      </c>
      <c r="J27" s="1">
        <v>4</v>
      </c>
      <c r="K27" s="14">
        <f>VLOOKUP($C27,Sheet2!$A$2:$D$10,4,0)</f>
        <v>1</v>
      </c>
      <c r="L27" s="14" t="str">
        <f>VLOOKUP($C27,Sheet2!$A$2:$E$10,5,0)</f>
        <v>Bin</v>
      </c>
      <c r="M27" s="14">
        <f t="shared" si="3"/>
        <v>4</v>
      </c>
      <c r="N27" s="1"/>
      <c r="O27" s="1" t="s">
        <v>171</v>
      </c>
      <c r="P27" s="1" t="s">
        <v>582</v>
      </c>
    </row>
    <row r="28" spans="1:16" x14ac:dyDescent="0.25">
      <c r="A28" s="15" t="s">
        <v>639</v>
      </c>
      <c r="B28" s="16" t="s">
        <v>631</v>
      </c>
      <c r="C28" s="1" t="s">
        <v>67</v>
      </c>
      <c r="D28" s="1" t="str">
        <f>VLOOKUP($C28,Sheet2!$A$2:$B$10,2,0)</f>
        <v>114010-50830</v>
      </c>
      <c r="E28" s="7" t="s">
        <v>60</v>
      </c>
      <c r="F28" s="12">
        <v>45974</v>
      </c>
      <c r="G28" s="13">
        <v>0.35416666666666669</v>
      </c>
      <c r="H28" s="1" t="s">
        <v>52</v>
      </c>
      <c r="I28" s="1" t="s">
        <v>10</v>
      </c>
      <c r="J28" s="1">
        <v>4</v>
      </c>
      <c r="K28" s="14">
        <f>VLOOKUP($C28,Sheet2!$A$2:$D$10,4,0)</f>
        <v>1</v>
      </c>
      <c r="L28" s="14" t="str">
        <f>VLOOKUP($C28,Sheet2!$A$2:$E$10,5,0)</f>
        <v>Bin</v>
      </c>
      <c r="M28" s="14">
        <f t="shared" si="3"/>
        <v>4</v>
      </c>
      <c r="N28" s="1"/>
      <c r="O28" s="1" t="s">
        <v>171</v>
      </c>
      <c r="P28" s="1" t="s">
        <v>587</v>
      </c>
    </row>
    <row r="29" spans="1:16" x14ac:dyDescent="0.25">
      <c r="A29" s="15" t="s">
        <v>652</v>
      </c>
      <c r="B29" s="16" t="s">
        <v>644</v>
      </c>
      <c r="C29" s="1" t="s">
        <v>7</v>
      </c>
      <c r="D29" s="1" t="str">
        <f>VLOOKUP($C29,Sheet2!$A$2:$B$10,2,0)</f>
        <v>141110-14600</v>
      </c>
      <c r="E29" s="7" t="s">
        <v>8</v>
      </c>
      <c r="F29" s="12">
        <v>45974</v>
      </c>
      <c r="G29" s="13">
        <v>0.35416666666666669</v>
      </c>
      <c r="H29" s="1" t="s">
        <v>9</v>
      </c>
      <c r="I29" s="1" t="s">
        <v>10</v>
      </c>
      <c r="J29" s="1">
        <v>18</v>
      </c>
      <c r="K29" s="14">
        <f>VLOOKUP($C29,Sheet2!$A$2:$D$10,4,0)</f>
        <v>18</v>
      </c>
      <c r="L29" s="14" t="str">
        <f>VLOOKUP($C29,Sheet2!$A$2:$E$10,5,0)</f>
        <v>Trolley (H)</v>
      </c>
      <c r="M29" s="14"/>
      <c r="N29" s="63">
        <v>1</v>
      </c>
      <c r="O29" s="1" t="s">
        <v>171</v>
      </c>
      <c r="P29" s="1" t="s">
        <v>585</v>
      </c>
    </row>
    <row r="30" spans="1:16" x14ac:dyDescent="0.25">
      <c r="A30" s="15" t="s">
        <v>652</v>
      </c>
      <c r="B30" s="16" t="s">
        <v>645</v>
      </c>
      <c r="C30" s="1" t="s">
        <v>16</v>
      </c>
      <c r="D30" s="1" t="str">
        <f>VLOOKUP($C30,Sheet2!$A$2:$B$10,2,0)</f>
        <v>141120-14600</v>
      </c>
      <c r="E30" s="7" t="s">
        <v>17</v>
      </c>
      <c r="F30" s="12">
        <v>45974</v>
      </c>
      <c r="G30" s="13">
        <v>0.35416666666666669</v>
      </c>
      <c r="H30" s="1" t="s">
        <v>9</v>
      </c>
      <c r="I30" s="1" t="s">
        <v>10</v>
      </c>
      <c r="J30" s="1">
        <v>18</v>
      </c>
      <c r="K30" s="14">
        <f>VLOOKUP($C30,Sheet2!$A$2:$D$10,4,0)</f>
        <v>18</v>
      </c>
      <c r="L30" s="14" t="str">
        <f>VLOOKUP($C30,Sheet2!$A$2:$E$10,5,0)</f>
        <v>Trolley (H)</v>
      </c>
      <c r="M30" s="14"/>
      <c r="N30" s="64"/>
      <c r="O30" s="1" t="s">
        <v>171</v>
      </c>
      <c r="P30" s="1" t="s">
        <v>585</v>
      </c>
    </row>
    <row r="31" spans="1:16" x14ac:dyDescent="0.25">
      <c r="A31" s="15" t="s">
        <v>652</v>
      </c>
      <c r="B31" s="16" t="s">
        <v>646</v>
      </c>
      <c r="C31" s="1" t="s">
        <v>29</v>
      </c>
      <c r="D31" s="1" t="str">
        <f>VLOOKUP($C31,Sheet2!$A$2:$B$10,2,0)</f>
        <v>141140-91211</v>
      </c>
      <c r="E31" s="7" t="s">
        <v>30</v>
      </c>
      <c r="F31" s="12">
        <v>45974</v>
      </c>
      <c r="G31" s="13">
        <v>0.35416666666666669</v>
      </c>
      <c r="H31" s="1" t="s">
        <v>31</v>
      </c>
      <c r="I31" s="1" t="s">
        <v>10</v>
      </c>
      <c r="J31" s="1">
        <v>14</v>
      </c>
      <c r="K31" s="14">
        <f>VLOOKUP($C31,Sheet2!$A$2:$D$10,4,0)</f>
        <v>2</v>
      </c>
      <c r="L31" s="14" t="str">
        <f>VLOOKUP($C31,Sheet2!$A$2:$E$10,5,0)</f>
        <v>Bin</v>
      </c>
      <c r="M31" s="14">
        <f>J31/K31</f>
        <v>7</v>
      </c>
      <c r="N31" s="1"/>
      <c r="O31" s="1" t="s">
        <v>171</v>
      </c>
      <c r="P31" s="1" t="s">
        <v>412</v>
      </c>
    </row>
    <row r="32" spans="1:16" x14ac:dyDescent="0.25">
      <c r="A32" s="15" t="s">
        <v>652</v>
      </c>
      <c r="B32" s="16" t="s">
        <v>647</v>
      </c>
      <c r="C32" s="1" t="s">
        <v>37</v>
      </c>
      <c r="D32" s="1" t="str">
        <f>VLOOKUP($C32,Sheet2!$A$2:$B$10,2,0)</f>
        <v>141150-91211</v>
      </c>
      <c r="E32" s="7" t="s">
        <v>38</v>
      </c>
      <c r="F32" s="12">
        <v>45974</v>
      </c>
      <c r="G32" s="13">
        <v>0.35416666666666669</v>
      </c>
      <c r="H32" s="1" t="s">
        <v>31</v>
      </c>
      <c r="I32" s="1" t="s">
        <v>10</v>
      </c>
      <c r="J32" s="1">
        <v>14</v>
      </c>
      <c r="K32" s="14">
        <f>VLOOKUP($C32,Sheet2!$A$2:$D$10,4,0)</f>
        <v>2</v>
      </c>
      <c r="L32" s="14" t="str">
        <f>VLOOKUP($C32,Sheet2!$A$2:$E$10,5,0)</f>
        <v>Bin</v>
      </c>
      <c r="M32" s="14">
        <f>J32/K32</f>
        <v>7</v>
      </c>
      <c r="N32" s="1"/>
      <c r="O32" s="1" t="s">
        <v>171</v>
      </c>
      <c r="P32" s="1" t="s">
        <v>412</v>
      </c>
    </row>
    <row r="33" spans="1:16" x14ac:dyDescent="0.25">
      <c r="A33" s="15" t="s">
        <v>652</v>
      </c>
      <c r="B33" s="16" t="s">
        <v>648</v>
      </c>
      <c r="C33" s="1" t="s">
        <v>45</v>
      </c>
      <c r="D33" s="1" t="str">
        <f>VLOOKUP($C33,Sheet2!$A$2:$B$10,2,0)</f>
        <v>141186-74360</v>
      </c>
      <c r="E33" s="7" t="s">
        <v>46</v>
      </c>
      <c r="F33" s="12">
        <v>45974</v>
      </c>
      <c r="G33" s="13">
        <v>0.35416666666666669</v>
      </c>
      <c r="H33" s="1" t="s">
        <v>31</v>
      </c>
      <c r="I33" s="1" t="s">
        <v>10</v>
      </c>
      <c r="J33" s="1">
        <v>40</v>
      </c>
      <c r="K33" s="14">
        <f>VLOOKUP($C33,Sheet2!$A$2:$D$10,4,0)</f>
        <v>40</v>
      </c>
      <c r="L33" s="14" t="str">
        <f>VLOOKUP($C33,Sheet2!$A$2:$E$10,5,0)</f>
        <v>Trolley</v>
      </c>
      <c r="M33" s="14"/>
      <c r="N33" s="1">
        <v>1</v>
      </c>
      <c r="O33" s="1" t="s">
        <v>171</v>
      </c>
      <c r="P33" s="1">
        <v>910102649</v>
      </c>
    </row>
    <row r="34" spans="1:16" x14ac:dyDescent="0.25">
      <c r="A34" s="15" t="s">
        <v>653</v>
      </c>
      <c r="B34" s="16" t="s">
        <v>649</v>
      </c>
      <c r="C34" s="1" t="s">
        <v>50</v>
      </c>
      <c r="D34" s="1" t="str">
        <f>VLOOKUP($C34,Sheet2!$A$2:$B$10,2,0)</f>
        <v>116040-92240</v>
      </c>
      <c r="E34" s="7" t="s">
        <v>51</v>
      </c>
      <c r="F34" s="12">
        <v>45974</v>
      </c>
      <c r="G34" s="13">
        <v>0.35416666666666669</v>
      </c>
      <c r="H34" s="1" t="s">
        <v>52</v>
      </c>
      <c r="I34" s="1" t="s">
        <v>10</v>
      </c>
      <c r="J34" s="1">
        <v>18</v>
      </c>
      <c r="K34" s="14">
        <f>VLOOKUP($C34,Sheet2!$A$2:$D$10,4,0)</f>
        <v>6</v>
      </c>
      <c r="L34" s="14" t="str">
        <f>VLOOKUP($C34,Sheet2!$A$2:$E$10,5,0)</f>
        <v>Bin</v>
      </c>
      <c r="M34" s="14">
        <f>J34/K34</f>
        <v>3</v>
      </c>
      <c r="N34" s="1"/>
      <c r="O34" s="1" t="s">
        <v>171</v>
      </c>
      <c r="P34" s="1" t="s">
        <v>591</v>
      </c>
    </row>
    <row r="35" spans="1:16" x14ac:dyDescent="0.25">
      <c r="A35" s="15" t="s">
        <v>653</v>
      </c>
      <c r="B35" s="16" t="s">
        <v>650</v>
      </c>
      <c r="C35" s="1" t="s">
        <v>59</v>
      </c>
      <c r="D35" s="1" t="str">
        <f>VLOOKUP($C35,Sheet2!$A$2:$B$10,2,0)</f>
        <v>114010-50820</v>
      </c>
      <c r="E35" s="7" t="s">
        <v>60</v>
      </c>
      <c r="F35" s="12">
        <v>45974</v>
      </c>
      <c r="G35" s="13">
        <v>0.35416666666666669</v>
      </c>
      <c r="H35" s="1" t="s">
        <v>52</v>
      </c>
      <c r="I35" s="1" t="s">
        <v>10</v>
      </c>
      <c r="J35" s="1">
        <v>5</v>
      </c>
      <c r="K35" s="14">
        <f>VLOOKUP($C35,Sheet2!$A$2:$D$10,4,0)</f>
        <v>1</v>
      </c>
      <c r="L35" s="14" t="str">
        <f>VLOOKUP($C35,Sheet2!$A$2:$E$10,5,0)</f>
        <v>Bin</v>
      </c>
      <c r="M35" s="14">
        <f t="shared" ref="M35:M36" si="4">J35/K35</f>
        <v>5</v>
      </c>
      <c r="N35" s="1"/>
      <c r="O35" s="1" t="s">
        <v>171</v>
      </c>
      <c r="P35" s="1" t="s">
        <v>582</v>
      </c>
    </row>
    <row r="36" spans="1:16" x14ac:dyDescent="0.25">
      <c r="A36" s="15" t="s">
        <v>653</v>
      </c>
      <c r="B36" s="16" t="s">
        <v>651</v>
      </c>
      <c r="C36" s="1" t="s">
        <v>67</v>
      </c>
      <c r="D36" s="1" t="str">
        <f>VLOOKUP($C36,Sheet2!$A$2:$B$10,2,0)</f>
        <v>114010-50830</v>
      </c>
      <c r="E36" s="7" t="s">
        <v>60</v>
      </c>
      <c r="F36" s="12">
        <v>45974</v>
      </c>
      <c r="G36" s="13">
        <v>0.35416666666666669</v>
      </c>
      <c r="H36" s="1" t="s">
        <v>52</v>
      </c>
      <c r="I36" s="1" t="s">
        <v>10</v>
      </c>
      <c r="J36" s="1">
        <v>10</v>
      </c>
      <c r="K36" s="14">
        <f>VLOOKUP($C36,Sheet2!$A$2:$D$10,4,0)</f>
        <v>1</v>
      </c>
      <c r="L36" s="14" t="str">
        <f>VLOOKUP($C36,Sheet2!$A$2:$E$10,5,0)</f>
        <v>Bin</v>
      </c>
      <c r="M36" s="14">
        <f t="shared" si="4"/>
        <v>10</v>
      </c>
      <c r="N36" s="1"/>
      <c r="O36" s="1" t="s">
        <v>171</v>
      </c>
      <c r="P36" s="1" t="s">
        <v>587</v>
      </c>
    </row>
    <row r="37" spans="1:16" x14ac:dyDescent="0.25">
      <c r="A37" s="15" t="s">
        <v>640</v>
      </c>
      <c r="B37" s="16" t="s">
        <v>594</v>
      </c>
      <c r="C37" s="1" t="s">
        <v>7</v>
      </c>
      <c r="D37" s="1" t="str">
        <f>VLOOKUP($C37,Sheet2!$A$2:$B$10,2,0)</f>
        <v>141110-14600</v>
      </c>
      <c r="E37" s="7" t="s">
        <v>8</v>
      </c>
      <c r="F37" s="12">
        <v>45974</v>
      </c>
      <c r="G37" s="13">
        <v>0.60416666666666663</v>
      </c>
      <c r="H37" s="1" t="s">
        <v>9</v>
      </c>
      <c r="I37" s="1" t="s">
        <v>10</v>
      </c>
      <c r="J37" s="1">
        <v>18</v>
      </c>
      <c r="K37" s="14">
        <f>VLOOKUP($C37,Sheet2!$A$2:$D$10,4,0)</f>
        <v>18</v>
      </c>
      <c r="L37" s="14" t="str">
        <f>VLOOKUP($C37,Sheet2!$A$2:$E$10,5,0)</f>
        <v>Trolley (H)</v>
      </c>
      <c r="M37" s="14"/>
      <c r="N37" s="63">
        <v>1</v>
      </c>
      <c r="O37" s="1" t="s">
        <v>171</v>
      </c>
      <c r="P37" s="1" t="s">
        <v>585</v>
      </c>
    </row>
    <row r="38" spans="1:16" x14ac:dyDescent="0.25">
      <c r="A38" s="15" t="s">
        <v>640</v>
      </c>
      <c r="B38" s="16" t="s">
        <v>598</v>
      </c>
      <c r="C38" s="1" t="s">
        <v>16</v>
      </c>
      <c r="D38" s="1" t="str">
        <f>VLOOKUP($C38,Sheet2!$A$2:$B$10,2,0)</f>
        <v>141120-14600</v>
      </c>
      <c r="E38" s="7" t="s">
        <v>17</v>
      </c>
      <c r="F38" s="12">
        <v>45974</v>
      </c>
      <c r="G38" s="13">
        <v>0.60416666666666663</v>
      </c>
      <c r="H38" s="1" t="s">
        <v>9</v>
      </c>
      <c r="I38" s="1" t="s">
        <v>10</v>
      </c>
      <c r="J38" s="1">
        <v>18</v>
      </c>
      <c r="K38" s="14">
        <f>VLOOKUP($C38,Sheet2!$A$2:$D$10,4,0)</f>
        <v>18</v>
      </c>
      <c r="L38" s="14" t="str">
        <f>VLOOKUP($C38,Sheet2!$A$2:$E$10,5,0)</f>
        <v>Trolley (H)</v>
      </c>
      <c r="M38" s="14"/>
      <c r="N38" s="64"/>
      <c r="O38" s="1" t="s">
        <v>171</v>
      </c>
      <c r="P38" s="1" t="s">
        <v>585</v>
      </c>
    </row>
    <row r="39" spans="1:16" x14ac:dyDescent="0.25">
      <c r="A39" s="15" t="s">
        <v>640</v>
      </c>
      <c r="B39" s="16" t="s">
        <v>603</v>
      </c>
      <c r="C39" s="1" t="s">
        <v>23</v>
      </c>
      <c r="D39" s="1" t="str">
        <f>VLOOKUP($C39,Sheet2!$A$2:$B$10,2,0)</f>
        <v>141185-74670</v>
      </c>
      <c r="E39" s="7" t="s">
        <v>24</v>
      </c>
      <c r="F39" s="12">
        <v>45974</v>
      </c>
      <c r="G39" s="13">
        <v>0.60416666666666663</v>
      </c>
      <c r="H39" s="1" t="s">
        <v>9</v>
      </c>
      <c r="I39" s="1" t="s">
        <v>10</v>
      </c>
      <c r="J39" s="1">
        <v>40</v>
      </c>
      <c r="K39" s="14">
        <f>VLOOKUP($C39,Sheet2!$A$2:$D$10,4,0)</f>
        <v>40</v>
      </c>
      <c r="L39" s="14" t="str">
        <f>VLOOKUP($C39,Sheet2!$A$2:$E$10,5,0)</f>
        <v>Trolley</v>
      </c>
      <c r="M39" s="14"/>
      <c r="N39" s="1">
        <f>J39/K39</f>
        <v>1</v>
      </c>
      <c r="O39" s="1" t="s">
        <v>171</v>
      </c>
      <c r="P39" s="1">
        <v>910101603</v>
      </c>
    </row>
    <row r="40" spans="1:16" x14ac:dyDescent="0.25">
      <c r="A40" s="15" t="s">
        <v>640</v>
      </c>
      <c r="B40" s="16" t="s">
        <v>608</v>
      </c>
      <c r="C40" s="1" t="s">
        <v>29</v>
      </c>
      <c r="D40" s="1" t="str">
        <f>VLOOKUP($C40,Sheet2!$A$2:$B$10,2,0)</f>
        <v>141140-91211</v>
      </c>
      <c r="E40" s="7" t="s">
        <v>30</v>
      </c>
      <c r="F40" s="12">
        <v>45974</v>
      </c>
      <c r="G40" s="13">
        <v>0.60416666666666663</v>
      </c>
      <c r="H40" s="1" t="s">
        <v>31</v>
      </c>
      <c r="I40" s="1" t="s">
        <v>10</v>
      </c>
      <c r="J40" s="1">
        <v>20</v>
      </c>
      <c r="K40" s="14">
        <f>VLOOKUP($C40,Sheet2!$A$2:$D$10,4,0)</f>
        <v>2</v>
      </c>
      <c r="L40" s="14" t="str">
        <f>VLOOKUP($C40,Sheet2!$A$2:$E$10,5,0)</f>
        <v>Bin</v>
      </c>
      <c r="M40" s="14">
        <f t="shared" ref="M40:M41" si="5">J40/K40</f>
        <v>10</v>
      </c>
      <c r="N40" s="1"/>
      <c r="O40" s="1" t="s">
        <v>171</v>
      </c>
      <c r="P40" s="1" t="s">
        <v>412</v>
      </c>
    </row>
    <row r="41" spans="1:16" x14ac:dyDescent="0.25">
      <c r="A41" s="15" t="s">
        <v>640</v>
      </c>
      <c r="B41" s="16" t="s">
        <v>613</v>
      </c>
      <c r="C41" s="1" t="s">
        <v>37</v>
      </c>
      <c r="D41" s="1" t="str">
        <f>VLOOKUP($C41,Sheet2!$A$2:$B$10,2,0)</f>
        <v>141150-91211</v>
      </c>
      <c r="E41" s="7" t="s">
        <v>38</v>
      </c>
      <c r="F41" s="12">
        <v>45974</v>
      </c>
      <c r="G41" s="13">
        <v>0.60416666666666663</v>
      </c>
      <c r="H41" s="1" t="s">
        <v>31</v>
      </c>
      <c r="I41" s="1" t="s">
        <v>10</v>
      </c>
      <c r="J41" s="1">
        <v>20</v>
      </c>
      <c r="K41" s="14">
        <f>VLOOKUP($C41,Sheet2!$A$2:$D$10,4,0)</f>
        <v>2</v>
      </c>
      <c r="L41" s="14" t="str">
        <f>VLOOKUP($C41,Sheet2!$A$2:$E$10,5,0)</f>
        <v>Bin</v>
      </c>
      <c r="M41" s="14">
        <f t="shared" si="5"/>
        <v>10</v>
      </c>
      <c r="N41" s="1"/>
      <c r="O41" s="1" t="s">
        <v>171</v>
      </c>
      <c r="P41" s="1" t="s">
        <v>412</v>
      </c>
    </row>
    <row r="42" spans="1:16" x14ac:dyDescent="0.25">
      <c r="A42" s="15" t="s">
        <v>640</v>
      </c>
      <c r="B42" s="16" t="s">
        <v>617</v>
      </c>
      <c r="C42" s="1" t="s">
        <v>45</v>
      </c>
      <c r="D42" s="1" t="str">
        <f>VLOOKUP($C42,Sheet2!$A$2:$B$10,2,0)</f>
        <v>141186-74360</v>
      </c>
      <c r="E42" s="7" t="s">
        <v>46</v>
      </c>
      <c r="F42" s="12">
        <v>45974</v>
      </c>
      <c r="G42" s="13">
        <v>0.60416666666666663</v>
      </c>
      <c r="H42" s="1" t="s">
        <v>31</v>
      </c>
      <c r="I42" s="1" t="s">
        <v>10</v>
      </c>
      <c r="J42" s="1">
        <v>40</v>
      </c>
      <c r="K42" s="14">
        <f>VLOOKUP($C42,Sheet2!$A$2:$D$10,4,0)</f>
        <v>40</v>
      </c>
      <c r="L42" s="14" t="str">
        <f>VLOOKUP($C42,Sheet2!$A$2:$E$10,5,0)</f>
        <v>Trolley</v>
      </c>
      <c r="M42" s="14"/>
      <c r="N42" s="1">
        <f>J42/K42</f>
        <v>1</v>
      </c>
      <c r="O42" s="1" t="s">
        <v>171</v>
      </c>
      <c r="P42" s="1" t="s">
        <v>724</v>
      </c>
    </row>
    <row r="43" spans="1:16" x14ac:dyDescent="0.25">
      <c r="A43" s="15" t="s">
        <v>641</v>
      </c>
      <c r="B43" s="16" t="s">
        <v>622</v>
      </c>
      <c r="C43" s="1" t="s">
        <v>50</v>
      </c>
      <c r="D43" s="1" t="str">
        <f>VLOOKUP($C43,Sheet2!$A$2:$B$10,2,0)</f>
        <v>116040-92240</v>
      </c>
      <c r="E43" s="7" t="s">
        <v>51</v>
      </c>
      <c r="F43" s="12">
        <v>45974</v>
      </c>
      <c r="G43" s="13">
        <v>0.60416666666666663</v>
      </c>
      <c r="H43" s="1" t="s">
        <v>52</v>
      </c>
      <c r="I43" s="1" t="s">
        <v>10</v>
      </c>
      <c r="J43" s="1">
        <v>18</v>
      </c>
      <c r="K43" s="14">
        <f>VLOOKUP($C43,Sheet2!$A$2:$D$10,4,0)</f>
        <v>6</v>
      </c>
      <c r="L43" s="14" t="str">
        <f>VLOOKUP($C43,Sheet2!$A$2:$E$10,5,0)</f>
        <v>Bin</v>
      </c>
      <c r="M43" s="14">
        <f t="shared" ref="M43:M45" si="6">J43/K43</f>
        <v>3</v>
      </c>
      <c r="N43" s="1"/>
      <c r="O43" s="1" t="s">
        <v>171</v>
      </c>
      <c r="P43" s="1" t="s">
        <v>591</v>
      </c>
    </row>
    <row r="44" spans="1:16" x14ac:dyDescent="0.25">
      <c r="A44" s="15" t="s">
        <v>641</v>
      </c>
      <c r="B44" s="16" t="s">
        <v>627</v>
      </c>
      <c r="C44" s="1" t="s">
        <v>59</v>
      </c>
      <c r="D44" s="1" t="str">
        <f>VLOOKUP($C44,Sheet2!$A$2:$B$10,2,0)</f>
        <v>114010-50820</v>
      </c>
      <c r="E44" s="7" t="s">
        <v>60</v>
      </c>
      <c r="F44" s="12">
        <v>45974</v>
      </c>
      <c r="G44" s="13">
        <v>0.60416666666666663</v>
      </c>
      <c r="H44" s="1" t="s">
        <v>52</v>
      </c>
      <c r="I44" s="1" t="s">
        <v>10</v>
      </c>
      <c r="J44" s="1">
        <v>10</v>
      </c>
      <c r="K44" s="14">
        <f>VLOOKUP($C44,Sheet2!$A$2:$D$10,4,0)</f>
        <v>1</v>
      </c>
      <c r="L44" s="14" t="str">
        <f>VLOOKUP($C44,Sheet2!$A$2:$E$10,5,0)</f>
        <v>Bin</v>
      </c>
      <c r="M44" s="14">
        <f t="shared" si="6"/>
        <v>10</v>
      </c>
      <c r="N44" s="1"/>
      <c r="O44" s="1" t="s">
        <v>171</v>
      </c>
      <c r="P44" s="1" t="s">
        <v>582</v>
      </c>
    </row>
    <row r="45" spans="1:16" ht="15.75" thickBot="1" x14ac:dyDescent="0.3">
      <c r="A45" s="15" t="s">
        <v>641</v>
      </c>
      <c r="B45" s="16" t="s">
        <v>632</v>
      </c>
      <c r="C45" s="1" t="s">
        <v>67</v>
      </c>
      <c r="D45" s="1" t="str">
        <f>VLOOKUP($C45,Sheet2!$A$2:$B$10,2,0)</f>
        <v>114010-50830</v>
      </c>
      <c r="E45" s="7" t="s">
        <v>60</v>
      </c>
      <c r="F45" s="12">
        <v>45974</v>
      </c>
      <c r="G45" s="19">
        <v>0.60416666666666663</v>
      </c>
      <c r="H45" s="1" t="s">
        <v>52</v>
      </c>
      <c r="I45" s="1" t="s">
        <v>10</v>
      </c>
      <c r="J45" s="1">
        <v>10</v>
      </c>
      <c r="K45" s="14">
        <f>VLOOKUP($C45,Sheet2!$A$2:$D$10,4,0)</f>
        <v>1</v>
      </c>
      <c r="L45" s="14" t="str">
        <f>VLOOKUP($C45,Sheet2!$A$2:$E$10,5,0)</f>
        <v>Bin</v>
      </c>
      <c r="M45" s="14">
        <f t="shared" si="6"/>
        <v>10</v>
      </c>
      <c r="N45" s="1"/>
      <c r="O45" s="1" t="s">
        <v>171</v>
      </c>
      <c r="P45" s="1" t="s">
        <v>587</v>
      </c>
    </row>
    <row r="46" spans="1:16" s="20" customFormat="1" ht="15.75" thickTop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>
        <v>92</v>
      </c>
      <c r="N46" s="9">
        <v>6</v>
      </c>
      <c r="O46" s="9"/>
      <c r="P46" s="9"/>
    </row>
    <row r="47" spans="1:16" x14ac:dyDescent="0.25">
      <c r="A47" s="15" t="s">
        <v>642</v>
      </c>
      <c r="B47" s="16" t="s">
        <v>595</v>
      </c>
      <c r="C47" s="1" t="s">
        <v>7</v>
      </c>
      <c r="D47" s="1" t="str">
        <f>VLOOKUP($C47,Sheet2!$A$2:$B$10,2,0)</f>
        <v>141110-14600</v>
      </c>
      <c r="E47" s="7" t="s">
        <v>8</v>
      </c>
      <c r="F47" s="12">
        <v>45974</v>
      </c>
      <c r="G47" s="18">
        <v>0.8125</v>
      </c>
      <c r="H47" s="1" t="s">
        <v>9</v>
      </c>
      <c r="I47" s="1" t="s">
        <v>10</v>
      </c>
      <c r="J47" s="1">
        <v>36</v>
      </c>
      <c r="K47" s="14">
        <f>VLOOKUP($C47,Sheet2!$A$2:$D$10,4,0)</f>
        <v>18</v>
      </c>
      <c r="L47" s="14" t="str">
        <f>VLOOKUP($C47,Sheet2!$A$2:$E$10,5,0)</f>
        <v>Trolley (H)</v>
      </c>
      <c r="M47" s="14"/>
      <c r="N47" s="63">
        <v>2</v>
      </c>
      <c r="O47" s="1" t="s">
        <v>528</v>
      </c>
      <c r="P47" s="1" t="s">
        <v>585</v>
      </c>
    </row>
    <row r="48" spans="1:16" x14ac:dyDescent="0.25">
      <c r="A48" s="15" t="s">
        <v>642</v>
      </c>
      <c r="B48" s="16" t="s">
        <v>599</v>
      </c>
      <c r="C48" s="1" t="s">
        <v>16</v>
      </c>
      <c r="D48" s="1" t="str">
        <f>VLOOKUP($C48,Sheet2!$A$2:$B$10,2,0)</f>
        <v>141120-14600</v>
      </c>
      <c r="E48" s="7" t="s">
        <v>17</v>
      </c>
      <c r="F48" s="12">
        <v>45974</v>
      </c>
      <c r="G48" s="13">
        <v>0.8125</v>
      </c>
      <c r="H48" s="1" t="s">
        <v>9</v>
      </c>
      <c r="I48" s="1" t="s">
        <v>10</v>
      </c>
      <c r="J48" s="1">
        <v>36</v>
      </c>
      <c r="K48" s="14">
        <f>VLOOKUP($C48,Sheet2!$A$2:$D$10,4,0)</f>
        <v>18</v>
      </c>
      <c r="L48" s="14" t="str">
        <f>VLOOKUP($C48,Sheet2!$A$2:$E$10,5,0)</f>
        <v>Trolley (H)</v>
      </c>
      <c r="M48" s="14"/>
      <c r="N48" s="64"/>
      <c r="O48" s="1" t="s">
        <v>528</v>
      </c>
      <c r="P48" s="1" t="s">
        <v>585</v>
      </c>
    </row>
    <row r="49" spans="1:16" x14ac:dyDescent="0.25">
      <c r="A49" s="15" t="s">
        <v>642</v>
      </c>
      <c r="B49" s="16" t="s">
        <v>604</v>
      </c>
      <c r="C49" s="1" t="s">
        <v>23</v>
      </c>
      <c r="D49" s="1" t="str">
        <f>VLOOKUP($C49,Sheet2!$A$2:$B$10,2,0)</f>
        <v>141185-74670</v>
      </c>
      <c r="E49" s="7" t="s">
        <v>24</v>
      </c>
      <c r="F49" s="12">
        <v>45974</v>
      </c>
      <c r="G49" s="13">
        <v>0.8125</v>
      </c>
      <c r="H49" s="1" t="s">
        <v>9</v>
      </c>
      <c r="I49" s="1" t="s">
        <v>10</v>
      </c>
      <c r="J49" s="1">
        <v>80</v>
      </c>
      <c r="K49" s="14">
        <f>VLOOKUP($C49,Sheet2!$A$2:$D$10,4,0)</f>
        <v>40</v>
      </c>
      <c r="L49" s="14" t="str">
        <f>VLOOKUP($C49,Sheet2!$A$2:$E$10,5,0)</f>
        <v>Trolley</v>
      </c>
      <c r="M49" s="14"/>
      <c r="N49" s="1">
        <f>J49/K49</f>
        <v>2</v>
      </c>
      <c r="O49" s="1" t="s">
        <v>528</v>
      </c>
      <c r="P49" s="1">
        <v>910101603</v>
      </c>
    </row>
    <row r="50" spans="1:16" x14ac:dyDescent="0.25">
      <c r="A50" s="15" t="s">
        <v>642</v>
      </c>
      <c r="B50" s="16" t="s">
        <v>609</v>
      </c>
      <c r="C50" s="1" t="s">
        <v>29</v>
      </c>
      <c r="D50" s="1" t="str">
        <f>VLOOKUP($C50,Sheet2!$A$2:$B$10,2,0)</f>
        <v>141140-91211</v>
      </c>
      <c r="E50" s="7" t="s">
        <v>30</v>
      </c>
      <c r="F50" s="12">
        <v>45974</v>
      </c>
      <c r="G50" s="13">
        <v>0.8125</v>
      </c>
      <c r="H50" s="1" t="s">
        <v>31</v>
      </c>
      <c r="I50" s="1" t="s">
        <v>10</v>
      </c>
      <c r="J50" s="1">
        <v>34</v>
      </c>
      <c r="K50" s="14">
        <f>VLOOKUP($C50,Sheet2!$A$2:$D$10,4,0)</f>
        <v>2</v>
      </c>
      <c r="L50" s="14" t="str">
        <f>VLOOKUP($C50,Sheet2!$A$2:$E$10,5,0)</f>
        <v>Bin</v>
      </c>
      <c r="M50" s="14">
        <f t="shared" ref="M50:M51" si="7">J50/K50</f>
        <v>17</v>
      </c>
      <c r="N50" s="1"/>
      <c r="O50" s="1" t="s">
        <v>528</v>
      </c>
      <c r="P50" s="1" t="s">
        <v>412</v>
      </c>
    </row>
    <row r="51" spans="1:16" x14ac:dyDescent="0.25">
      <c r="A51" s="15" t="s">
        <v>642</v>
      </c>
      <c r="B51" s="16" t="s">
        <v>614</v>
      </c>
      <c r="C51" s="1" t="s">
        <v>37</v>
      </c>
      <c r="D51" s="1" t="str">
        <f>VLOOKUP($C51,Sheet2!$A$2:$B$10,2,0)</f>
        <v>141150-91211</v>
      </c>
      <c r="E51" s="7" t="s">
        <v>38</v>
      </c>
      <c r="F51" s="12">
        <v>45974</v>
      </c>
      <c r="G51" s="13">
        <v>0.8125</v>
      </c>
      <c r="H51" s="1" t="s">
        <v>31</v>
      </c>
      <c r="I51" s="1" t="s">
        <v>10</v>
      </c>
      <c r="J51" s="1">
        <v>34</v>
      </c>
      <c r="K51" s="14">
        <f>VLOOKUP($C51,Sheet2!$A$2:$D$10,4,0)</f>
        <v>2</v>
      </c>
      <c r="L51" s="14" t="str">
        <f>VLOOKUP($C51,Sheet2!$A$2:$E$10,5,0)</f>
        <v>Bin</v>
      </c>
      <c r="M51" s="14">
        <f t="shared" si="7"/>
        <v>17</v>
      </c>
      <c r="N51" s="1"/>
      <c r="O51" s="1" t="s">
        <v>528</v>
      </c>
      <c r="P51" s="1" t="s">
        <v>412</v>
      </c>
    </row>
    <row r="52" spans="1:16" x14ac:dyDescent="0.25">
      <c r="A52" s="15" t="s">
        <v>642</v>
      </c>
      <c r="B52" s="16" t="s">
        <v>618</v>
      </c>
      <c r="C52" s="1" t="s">
        <v>45</v>
      </c>
      <c r="D52" s="1" t="str">
        <f>VLOOKUP($C52,Sheet2!$A$2:$B$10,2,0)</f>
        <v>141186-74360</v>
      </c>
      <c r="E52" s="7" t="s">
        <v>46</v>
      </c>
      <c r="F52" s="12">
        <v>45974</v>
      </c>
      <c r="G52" s="13">
        <v>0.8125</v>
      </c>
      <c r="H52" s="1" t="s">
        <v>31</v>
      </c>
      <c r="I52" s="1" t="s">
        <v>10</v>
      </c>
      <c r="J52" s="1">
        <v>80</v>
      </c>
      <c r="K52" s="14">
        <f>VLOOKUP($C52,Sheet2!$A$2:$D$10,4,0)</f>
        <v>40</v>
      </c>
      <c r="L52" s="14" t="str">
        <f>VLOOKUP($C52,Sheet2!$A$2:$E$10,5,0)</f>
        <v>Trolley</v>
      </c>
      <c r="M52" s="14"/>
      <c r="N52" s="1">
        <f>J52/K52</f>
        <v>2</v>
      </c>
      <c r="O52" s="1" t="s">
        <v>528</v>
      </c>
      <c r="P52" s="1">
        <v>910102507</v>
      </c>
    </row>
    <row r="53" spans="1:16" x14ac:dyDescent="0.25">
      <c r="A53" s="15" t="s">
        <v>643</v>
      </c>
      <c r="B53" s="16" t="s">
        <v>623</v>
      </c>
      <c r="C53" s="1" t="s">
        <v>50</v>
      </c>
      <c r="D53" s="1" t="str">
        <f>VLOOKUP($C53,Sheet2!$A$2:$B$10,2,0)</f>
        <v>116040-92240</v>
      </c>
      <c r="E53" s="7" t="s">
        <v>51</v>
      </c>
      <c r="F53" s="12">
        <v>45974</v>
      </c>
      <c r="G53" s="13">
        <v>0.8125</v>
      </c>
      <c r="H53" s="1" t="s">
        <v>52</v>
      </c>
      <c r="I53" s="1" t="s">
        <v>10</v>
      </c>
      <c r="J53" s="1">
        <v>36</v>
      </c>
      <c r="K53" s="14">
        <f>VLOOKUP($C53,Sheet2!$A$2:$D$10,4,0)</f>
        <v>6</v>
      </c>
      <c r="L53" s="14" t="str">
        <f>VLOOKUP($C53,Sheet2!$A$2:$E$10,5,0)</f>
        <v>Bin</v>
      </c>
      <c r="M53" s="14">
        <f t="shared" ref="M53:M55" si="8">J53/K53</f>
        <v>6</v>
      </c>
      <c r="N53" s="1"/>
      <c r="O53" s="1" t="s">
        <v>528</v>
      </c>
      <c r="P53" s="1" t="s">
        <v>591</v>
      </c>
    </row>
    <row r="54" spans="1:16" x14ac:dyDescent="0.25">
      <c r="A54" s="15" t="s">
        <v>643</v>
      </c>
      <c r="B54" s="16" t="s">
        <v>628</v>
      </c>
      <c r="C54" s="1" t="s">
        <v>59</v>
      </c>
      <c r="D54" s="1" t="str">
        <f>VLOOKUP($C54,Sheet2!$A$2:$B$10,2,0)</f>
        <v>114010-50820</v>
      </c>
      <c r="E54" s="7" t="s">
        <v>60</v>
      </c>
      <c r="F54" s="12">
        <v>45974</v>
      </c>
      <c r="G54" s="13">
        <v>0.8125</v>
      </c>
      <c r="H54" s="1" t="s">
        <v>52</v>
      </c>
      <c r="I54" s="1" t="s">
        <v>10</v>
      </c>
      <c r="J54" s="1">
        <v>13</v>
      </c>
      <c r="K54" s="14">
        <f>VLOOKUP($C54,Sheet2!$A$2:$D$10,4,0)</f>
        <v>1</v>
      </c>
      <c r="L54" s="14" t="str">
        <f>VLOOKUP($C54,Sheet2!$A$2:$E$10,5,0)</f>
        <v>Bin</v>
      </c>
      <c r="M54" s="14">
        <f t="shared" si="8"/>
        <v>13</v>
      </c>
      <c r="N54" s="1"/>
      <c r="O54" s="1" t="s">
        <v>528</v>
      </c>
      <c r="P54" s="1" t="s">
        <v>582</v>
      </c>
    </row>
    <row r="55" spans="1:16" x14ac:dyDescent="0.25">
      <c r="A55" s="15" t="s">
        <v>643</v>
      </c>
      <c r="B55" s="16" t="s">
        <v>633</v>
      </c>
      <c r="C55" s="1" t="s">
        <v>67</v>
      </c>
      <c r="D55" s="1" t="str">
        <f>VLOOKUP($C55,Sheet2!$A$2:$B$10,2,0)</f>
        <v>114010-50830</v>
      </c>
      <c r="E55" s="7" t="s">
        <v>60</v>
      </c>
      <c r="F55" s="12">
        <v>45974</v>
      </c>
      <c r="G55" s="13">
        <v>0.8125</v>
      </c>
      <c r="H55" s="1" t="s">
        <v>52</v>
      </c>
      <c r="I55" s="1" t="s">
        <v>10</v>
      </c>
      <c r="J55" s="1">
        <v>22</v>
      </c>
      <c r="K55" s="14">
        <f>VLOOKUP($C55,Sheet2!$A$2:$D$10,4,0)</f>
        <v>1</v>
      </c>
      <c r="L55" s="14" t="str">
        <f>VLOOKUP($C55,Sheet2!$A$2:$E$10,5,0)</f>
        <v>Bin</v>
      </c>
      <c r="M55" s="14">
        <f t="shared" si="8"/>
        <v>22</v>
      </c>
      <c r="N55" s="1"/>
      <c r="O55" s="1" t="s">
        <v>528</v>
      </c>
      <c r="P55" s="1" t="s">
        <v>587</v>
      </c>
    </row>
    <row r="56" spans="1:16" s="20" customForma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>
        <v>75</v>
      </c>
      <c r="N56" s="9">
        <v>6</v>
      </c>
      <c r="O56" s="1"/>
      <c r="P56" s="1"/>
    </row>
    <row r="57" spans="1:16" s="20" customFormat="1" x14ac:dyDescent="0.25">
      <c r="A57" s="31"/>
      <c r="B57" s="31" t="s">
        <v>661</v>
      </c>
      <c r="C57" s="31" t="s">
        <v>657</v>
      </c>
      <c r="D57" s="31"/>
      <c r="E57" s="31"/>
      <c r="F57" s="31" t="s">
        <v>723</v>
      </c>
      <c r="G57" s="31"/>
      <c r="H57" s="31" t="s">
        <v>660</v>
      </c>
      <c r="I57" s="31"/>
      <c r="J57" s="31" t="s">
        <v>673</v>
      </c>
      <c r="K57" s="31"/>
      <c r="L57" s="31"/>
      <c r="M57" s="31"/>
      <c r="N57" s="31"/>
      <c r="O57" s="1"/>
      <c r="P57" s="1"/>
    </row>
    <row r="58" spans="1:16" x14ac:dyDescent="0.25">
      <c r="A58" s="15" t="s">
        <v>722</v>
      </c>
      <c r="B58" s="16" t="s">
        <v>670</v>
      </c>
      <c r="C58" s="1" t="s">
        <v>23</v>
      </c>
      <c r="D58" s="1" t="str">
        <f>VLOOKUP($C58,Sheet2!$A$2:$B$10,2,0)</f>
        <v>141185-74670</v>
      </c>
      <c r="E58" s="7"/>
      <c r="F58" s="12">
        <v>45974</v>
      </c>
      <c r="G58" s="13"/>
      <c r="H58" s="1" t="s">
        <v>9</v>
      </c>
      <c r="I58" s="1"/>
      <c r="J58" s="1">
        <v>10</v>
      </c>
      <c r="K58" s="14">
        <f>VLOOKUP($C58,Sheet2!$A$2:$D$10,4,0)</f>
        <v>40</v>
      </c>
      <c r="L58" s="14" t="str">
        <f>VLOOKUP($C58,Sheet2!$A$2:$E$10,5,0)</f>
        <v>Trolley</v>
      </c>
      <c r="M58" s="14"/>
      <c r="N58" s="1">
        <v>1</v>
      </c>
      <c r="O58" s="1" t="s">
        <v>528</v>
      </c>
      <c r="P58" s="1">
        <v>910102007</v>
      </c>
    </row>
    <row r="59" spans="1:16" x14ac:dyDescent="0.25">
      <c r="A59" s="15" t="s">
        <v>722</v>
      </c>
      <c r="B59" s="16" t="s">
        <v>672</v>
      </c>
      <c r="C59" s="1" t="s">
        <v>45</v>
      </c>
      <c r="D59" s="1" t="str">
        <f>VLOOKUP($C59,Sheet2!$A$2:$B$10,2,0)</f>
        <v>141186-74360</v>
      </c>
      <c r="E59" s="7"/>
      <c r="F59" s="12">
        <v>45974</v>
      </c>
      <c r="G59" s="13"/>
      <c r="H59" s="1" t="s">
        <v>31</v>
      </c>
      <c r="I59" s="1"/>
      <c r="J59" s="1">
        <v>10</v>
      </c>
      <c r="K59" s="14">
        <f>VLOOKUP($C59,Sheet2!$A$2:$D$10,4,0)</f>
        <v>40</v>
      </c>
      <c r="L59" s="14" t="str">
        <f>VLOOKUP($C59,Sheet2!$A$2:$E$10,5,0)</f>
        <v>Trolley</v>
      </c>
      <c r="M59" s="14"/>
      <c r="N59" s="1">
        <v>1</v>
      </c>
      <c r="O59" s="1" t="s">
        <v>528</v>
      </c>
      <c r="P59" s="1">
        <v>910102007</v>
      </c>
    </row>
    <row r="60" spans="1:16" s="20" customForma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</sheetData>
  <autoFilter ref="A3:S3" xr:uid="{F7AE7EBF-AF31-4F5F-90DE-977CE60011C8}"/>
  <mergeCells count="8">
    <mergeCell ref="N37:N38"/>
    <mergeCell ref="N47:N48"/>
    <mergeCell ref="A1:F1"/>
    <mergeCell ref="J1:N1"/>
    <mergeCell ref="L2:N2"/>
    <mergeCell ref="N4:N5"/>
    <mergeCell ref="N13:N14"/>
    <mergeCell ref="N29:N30"/>
  </mergeCells>
  <conditionalFormatting sqref="B2">
    <cfRule type="duplicateValues" dxfId="635" priority="75"/>
    <cfRule type="duplicateValues" dxfId="634" priority="74"/>
  </conditionalFormatting>
  <conditionalFormatting sqref="B47:B55 B4:B21 B23:B45">
    <cfRule type="duplicateValues" dxfId="633" priority="67"/>
  </conditionalFormatting>
  <conditionalFormatting sqref="B58:B59">
    <cfRule type="duplicateValues" dxfId="632" priority="28"/>
  </conditionalFormatting>
  <conditionalFormatting sqref="C2:D2">
    <cfRule type="duplicateValues" dxfId="631" priority="77"/>
    <cfRule type="duplicateValues" dxfId="630" priority="76"/>
  </conditionalFormatting>
  <conditionalFormatting sqref="D3">
    <cfRule type="duplicateValues" dxfId="626" priority="72"/>
    <cfRule type="duplicateValues" dxfId="624" priority="73"/>
  </conditionalFormatting>
  <conditionalFormatting sqref="D22">
    <cfRule type="duplicateValues" dxfId="620" priority="56"/>
    <cfRule type="duplicateValues" dxfId="618" priority="55"/>
  </conditionalFormatting>
  <conditionalFormatting sqref="D46">
    <cfRule type="duplicateValues" dxfId="617" priority="41"/>
    <cfRule type="duplicateValues" dxfId="616" priority="42"/>
  </conditionalFormatting>
  <conditionalFormatting sqref="D56">
    <cfRule type="duplicateValues" dxfId="613" priority="35"/>
    <cfRule type="duplicateValues" dxfId="612" priority="34"/>
  </conditionalFormatting>
  <conditionalFormatting sqref="D57">
    <cfRule type="duplicateValues" dxfId="610" priority="21"/>
    <cfRule type="duplicateValues" dxfId="609" priority="20"/>
  </conditionalFormatting>
  <conditionalFormatting sqref="D60">
    <cfRule type="duplicateValues" dxfId="605" priority="5"/>
    <cfRule type="duplicateValues" dxfId="604" priority="6"/>
  </conditionalFormatting>
  <pageMargins left="0.17" right="0.17" top="0.17" bottom="0.17" header="0.3" footer="0.3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8" operator="containsText" text="17521M68PA0" id="{C88111BF-67D6-4B1A-B05D-6A0855AE8C9B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C4:D28 C37:D56</xm:sqref>
        </x14:conditionalFormatting>
        <x14:conditionalFormatting xmlns:xm="http://schemas.microsoft.com/office/excel/2006/main">
          <x14:cfRule type="containsText" priority="29" operator="containsText" text="17521M68PA0" id="{2764337F-D0FD-4DE1-9B21-A1BC2FBDA4B6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C29:D36</xm:sqref>
        </x14:conditionalFormatting>
        <x14:conditionalFormatting xmlns:xm="http://schemas.microsoft.com/office/excel/2006/main">
          <x14:cfRule type="containsText" priority="8" operator="containsText" text="17521M68PA0" id="{0823AEC0-3058-41EE-B97E-D92523F12E6A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C58:D60</xm:sqref>
        </x14:conditionalFormatting>
        <x14:conditionalFormatting xmlns:xm="http://schemas.microsoft.com/office/excel/2006/main">
          <x14:cfRule type="containsText" priority="82" operator="containsText" text="17521M68PA0" id="{C33038F7-4013-418F-8BF5-E5DB3F26EC35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61" operator="containsText" text="17521M74T00" id="{051CC57F-43C3-4DAF-9F6F-056D9A616256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60" operator="containsText" text="17521M68PA0" id="{855B501D-9F1F-4627-A515-BD5C8DF4832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9" operator="containsText" text="17521M74T00" id="{E6BA2AB7-171D-4C64-819B-529F7901ADCD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D4:D56</xm:sqref>
        </x14:conditionalFormatting>
        <x14:conditionalFormatting xmlns:xm="http://schemas.microsoft.com/office/excel/2006/main">
          <x14:cfRule type="containsText" priority="57" operator="containsText" text="17521M68PA0" id="{384DE6A2-C011-4560-AED1-5B4B3424BA4E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ontainsText" priority="43" operator="containsText" text="17521M68PA0" id="{F30C2B9F-360B-4077-B9C7-CABC83F35A3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D46</xm:sqref>
        </x14:conditionalFormatting>
        <x14:conditionalFormatting xmlns:xm="http://schemas.microsoft.com/office/excel/2006/main">
          <x14:cfRule type="containsText" priority="36" operator="containsText" text="17521M68PA0" id="{E8511669-2D7E-43BA-AD33-36EE615FC0FF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ontainsText" priority="22" operator="containsText" text="17521M68PA0" id="{411CDC88-AA13-4B60-84A6-16B9087E9CC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9" operator="containsText" text="17521M74T00" id="{04908688-6339-463E-9C83-90AA5A70FD82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10" operator="containsText" text="17521M68PA0" id="{1EB7B716-0615-4CA5-AAD1-E2E3DA0F68AF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1" operator="containsText" text="17521M74T00" id="{9DCCA8C0-F19B-45EE-B208-30B76F09562B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D58:D60</xm:sqref>
        </x14:conditionalFormatting>
        <x14:conditionalFormatting xmlns:xm="http://schemas.microsoft.com/office/excel/2006/main">
          <x14:cfRule type="containsText" priority="7" operator="containsText" text="17521M68PA0" id="{62AC1B91-39A5-4F37-9F5A-139FA8B3EA9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D60</xm:sqref>
        </x14:conditionalFormatting>
        <x14:conditionalFormatting xmlns:xm="http://schemas.microsoft.com/office/excel/2006/main">
          <x14:cfRule type="containsText" priority="78" operator="containsText" text="17521M68PA0" id="{B16C8706-31AC-434A-97D5-38660BDAE4CC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79" operator="containsText" text="17521M74T00" id="{DC16694F-6FBA-4839-A55E-E1783F0A3E89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69" operator="containsText" text="BELT,WATER PUMP - 7PK 975" id="{10D13FD1-1744-4C27-889D-FE66F5E9F16E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62" operator="containsText" text="BELT,WATER PUMP - 5PK 913" id="{AF697A20-E59A-4DDD-BDBE-BAFABAE8D42B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E3:E57</xm:sqref>
        </x14:conditionalFormatting>
        <x14:conditionalFormatting xmlns:xm="http://schemas.microsoft.com/office/excel/2006/main">
          <x14:cfRule type="containsText" priority="51" operator="containsText" text="BELT,WATER PUMP - 5PK 913" id="{696A85F1-0406-42EF-B610-C87AF633ADD7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2" operator="containsText" text="BELT,WATER PUMP - 7PK 975" id="{3A695122-7B83-408D-BDAE-227669FD1AF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38" operator="containsText" text="BELT,WATER PUMP - 7PK 975" id="{7F997762-AF8B-4BB4-94D7-D7FF1484B99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37" operator="containsText" text="BELT,WATER PUMP - 5PK 913" id="{188798FB-84BA-4E1F-BDB0-DBF827BDBC16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E46</xm:sqref>
        </x14:conditionalFormatting>
        <x14:conditionalFormatting xmlns:xm="http://schemas.microsoft.com/office/excel/2006/main">
          <x14:cfRule type="containsText" priority="30" operator="containsText" text="BELT,WATER PUMP - 5PK 913" id="{028DF345-CB1B-44E5-8715-2F03770BE98A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1" operator="containsText" text="BELT,WATER PUMP - 7PK 975" id="{1ACCA42A-1A8C-42DC-B7B5-4996D31EB86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E56</xm:sqref>
        </x14:conditionalFormatting>
        <x14:conditionalFormatting xmlns:xm="http://schemas.microsoft.com/office/excel/2006/main">
          <x14:cfRule type="containsText" priority="17" operator="containsText" text="BELT,WATER PUMP - 7PK 975" id="{06C4D24F-89ED-4816-95E5-7D32DC9A80C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E57</xm:sqref>
        </x14:conditionalFormatting>
        <x14:conditionalFormatting xmlns:xm="http://schemas.microsoft.com/office/excel/2006/main">
          <x14:cfRule type="containsText" priority="12" operator="containsText" text="BELT,WATER PUMP - 5PK 913" id="{F6903857-88D1-4A56-B690-5C8168B196AD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E58:E60</xm:sqref>
        </x14:conditionalFormatting>
        <x14:conditionalFormatting xmlns:xm="http://schemas.microsoft.com/office/excel/2006/main">
          <x14:cfRule type="containsText" priority="1" operator="containsText" text="BELT,WATER PUMP - 5PK 913" id="{7C9A8FDA-6252-4029-A375-5ED6158951D6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" operator="containsText" text="BELT,WATER PUMP - 7PK 975" id="{BE850368-7461-4EFA-8A64-29D594B5E49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E60</xm:sqref>
        </x14:conditionalFormatting>
        <x14:conditionalFormatting xmlns:xm="http://schemas.microsoft.com/office/excel/2006/main">
          <x14:cfRule type="containsText" priority="80" operator="containsText" text="BELT,WATER PUMP - 5PK 913" id="{4E4CAFE7-250E-4DA8-B642-EF1AB98FC9E5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81" operator="containsText" text="BELT,WATER PUMP - 7PK 975" id="{161FF1DB-DABE-4BAE-8B1B-7BF5615A33B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71" operator="containsText" text="7PK 975" id="{F6EBB1F4-9C38-49C0-A882-1F253D35FA05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70" operator="containsText" text="5PK 913" id="{D0A60B28-F2B4-4C66-8672-B5B5DEB3E69A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54" operator="containsText" text="7PK 975" id="{4CAB9F08-DD94-41A6-BC26-4E715884B46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53" operator="containsText" text="5PK 913" id="{073C4A03-F3CC-420C-87D8-4AE7A8ADE7A3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P22</xm:sqref>
        </x14:conditionalFormatting>
        <x14:conditionalFormatting xmlns:xm="http://schemas.microsoft.com/office/excel/2006/main">
          <x14:cfRule type="containsText" priority="39" operator="containsText" text="5PK 913" id="{99EB2149-65CC-4A13-B738-6C8E6A08DE5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0" operator="containsText" text="7PK 975" id="{FBF92AFF-6B18-4766-B40E-B198E0EF0489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P46</xm:sqref>
        </x14:conditionalFormatting>
        <x14:conditionalFormatting xmlns:xm="http://schemas.microsoft.com/office/excel/2006/main">
          <x14:cfRule type="containsText" priority="4" operator="containsText" text="7PK 975" id="{508C8F07-4802-45FF-AEC8-70B17BE1F655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3" operator="containsText" text="5PK 913" id="{12B74EF4-BE89-4BB7-90EC-121BB6AB8C59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P60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080B-0321-4971-A16E-B5A74203C678}">
  <sheetPr filterMode="1">
    <pageSetUpPr fitToPage="1"/>
  </sheetPr>
  <dimension ref="A1:P59"/>
  <sheetViews>
    <sheetView workbookViewId="0">
      <selection activeCell="P59" sqref="P59"/>
    </sheetView>
  </sheetViews>
  <sheetFormatPr defaultColWidth="16.42578125" defaultRowHeight="15" x14ac:dyDescent="0.25"/>
  <cols>
    <col min="1" max="1" width="15.425781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8.28515625" customWidth="1"/>
    <col min="8" max="8" width="12.42578125" customWidth="1"/>
    <col min="9" max="9" width="4.7109375" bestFit="1" customWidth="1"/>
    <col min="10" max="10" width="8" bestFit="1" customWidth="1"/>
    <col min="11" max="11" width="11.140625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140625" bestFit="1" customWidth="1"/>
    <col min="16" max="16" width="42.85546875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45974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30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hidden="1" x14ac:dyDescent="0.25">
      <c r="A4" s="15" t="s">
        <v>725</v>
      </c>
      <c r="B4" s="16" t="s">
        <v>674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45975</v>
      </c>
      <c r="G4" s="13">
        <v>0.27083333333333331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166</v>
      </c>
      <c r="P4" s="1" t="s">
        <v>788</v>
      </c>
    </row>
    <row r="5" spans="1:16" hidden="1" x14ac:dyDescent="0.25">
      <c r="A5" s="15" t="s">
        <v>725</v>
      </c>
      <c r="B5" s="16" t="s">
        <v>679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45975</v>
      </c>
      <c r="G5" s="13">
        <v>0.27083333333333331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585</v>
      </c>
    </row>
    <row r="6" spans="1:16" hidden="1" x14ac:dyDescent="0.25">
      <c r="A6" s="15" t="s">
        <v>725</v>
      </c>
      <c r="B6" s="16" t="s">
        <v>675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45975</v>
      </c>
      <c r="G6" s="13">
        <v>0.27083333333333331</v>
      </c>
      <c r="H6" s="1" t="s">
        <v>9</v>
      </c>
      <c r="I6" s="1" t="s">
        <v>10</v>
      </c>
      <c r="J6" s="1">
        <v>36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2</v>
      </c>
      <c r="O6" s="1" t="s">
        <v>166</v>
      </c>
      <c r="P6" s="1" t="s">
        <v>788</v>
      </c>
    </row>
    <row r="7" spans="1:16" hidden="1" x14ac:dyDescent="0.25">
      <c r="A7" s="15" t="s">
        <v>725</v>
      </c>
      <c r="B7" s="16" t="s">
        <v>680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45975</v>
      </c>
      <c r="G7" s="13">
        <v>0.27083333333333331</v>
      </c>
      <c r="H7" s="1" t="s">
        <v>9</v>
      </c>
      <c r="I7" s="1" t="s">
        <v>10</v>
      </c>
      <c r="J7" s="1">
        <v>36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166</v>
      </c>
      <c r="P7" s="1" t="s">
        <v>788</v>
      </c>
    </row>
    <row r="8" spans="1:16" hidden="1" x14ac:dyDescent="0.25">
      <c r="A8" s="15" t="s">
        <v>725</v>
      </c>
      <c r="B8" s="16" t="s">
        <v>684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45975</v>
      </c>
      <c r="G8" s="13">
        <v>0.27083333333333331</v>
      </c>
      <c r="H8" s="1" t="s">
        <v>9</v>
      </c>
      <c r="I8" s="1" t="s">
        <v>10</v>
      </c>
      <c r="J8" s="1">
        <v>40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1</v>
      </c>
      <c r="O8" s="1" t="s">
        <v>166</v>
      </c>
      <c r="P8" s="1">
        <v>910101603</v>
      </c>
    </row>
    <row r="9" spans="1:16" hidden="1" x14ac:dyDescent="0.25">
      <c r="A9" s="15" t="s">
        <v>725</v>
      </c>
      <c r="B9" s="16" t="s">
        <v>685</v>
      </c>
      <c r="C9" s="1" t="s">
        <v>23</v>
      </c>
      <c r="D9" s="1" t="str">
        <f>VLOOKUP($C9,Sheet2!$A$2:$B$10,2,0)</f>
        <v>141185-74670</v>
      </c>
      <c r="E9" s="7" t="s">
        <v>24</v>
      </c>
      <c r="F9" s="12">
        <v>45975</v>
      </c>
      <c r="G9" s="13">
        <v>0.27083333333333331</v>
      </c>
      <c r="H9" s="1" t="s">
        <v>9</v>
      </c>
      <c r="I9" s="1" t="s">
        <v>10</v>
      </c>
      <c r="J9" s="1">
        <v>80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2</v>
      </c>
      <c r="O9" s="1" t="s">
        <v>166</v>
      </c>
      <c r="P9" s="1">
        <v>910101603</v>
      </c>
    </row>
    <row r="10" spans="1:16" x14ac:dyDescent="0.25">
      <c r="A10" s="15" t="s">
        <v>725</v>
      </c>
      <c r="B10" s="16" t="s">
        <v>689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45975</v>
      </c>
      <c r="G10" s="13">
        <v>0.27083333333333331</v>
      </c>
      <c r="H10" s="1" t="s">
        <v>31</v>
      </c>
      <c r="I10" s="1" t="s">
        <v>10</v>
      </c>
      <c r="J10" s="1">
        <v>8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4</v>
      </c>
      <c r="N10" s="1"/>
      <c r="O10" s="1" t="s">
        <v>166</v>
      </c>
      <c r="P10" s="1" t="s">
        <v>1084</v>
      </c>
    </row>
    <row r="11" spans="1:16" hidden="1" x14ac:dyDescent="0.25">
      <c r="A11" s="15" t="s">
        <v>725</v>
      </c>
      <c r="B11" s="16" t="s">
        <v>690</v>
      </c>
      <c r="C11" s="1" t="s">
        <v>29</v>
      </c>
      <c r="D11" s="1" t="str">
        <f>VLOOKUP($C11,Sheet2!$A$2:$B$10,2,0)</f>
        <v>141140-91211</v>
      </c>
      <c r="E11" s="7" t="s">
        <v>30</v>
      </c>
      <c r="F11" s="12">
        <v>45975</v>
      </c>
      <c r="G11" s="13">
        <v>0.27083333333333331</v>
      </c>
      <c r="H11" s="1" t="s">
        <v>31</v>
      </c>
      <c r="I11" s="1" t="s">
        <v>10</v>
      </c>
      <c r="J11" s="1">
        <v>30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ref="M11:M15" si="0">J11/K11</f>
        <v>15</v>
      </c>
      <c r="N11" s="1"/>
      <c r="O11" s="1" t="s">
        <v>166</v>
      </c>
      <c r="P11" s="1" t="s">
        <v>412</v>
      </c>
    </row>
    <row r="12" spans="1:16" hidden="1" x14ac:dyDescent="0.25">
      <c r="A12" s="15" t="s">
        <v>725</v>
      </c>
      <c r="B12" s="16" t="s">
        <v>691</v>
      </c>
      <c r="C12" s="1" t="s">
        <v>29</v>
      </c>
      <c r="D12" s="1" t="str">
        <f>VLOOKUP($C12,Sheet2!$A$2:$B$10,2,0)</f>
        <v>141140-91211</v>
      </c>
      <c r="E12" s="7" t="s">
        <v>30</v>
      </c>
      <c r="F12" s="12">
        <v>45975</v>
      </c>
      <c r="G12" s="13">
        <v>0.27083333333333331</v>
      </c>
      <c r="H12" s="1" t="s">
        <v>31</v>
      </c>
      <c r="I12" s="1" t="s">
        <v>10</v>
      </c>
      <c r="J12" s="1">
        <v>4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2</v>
      </c>
      <c r="N12" s="1"/>
      <c r="O12" s="1" t="s">
        <v>166</v>
      </c>
      <c r="P12" s="1" t="s">
        <v>412</v>
      </c>
    </row>
    <row r="13" spans="1:16" hidden="1" x14ac:dyDescent="0.25">
      <c r="A13" s="15" t="s">
        <v>725</v>
      </c>
      <c r="B13" s="16" t="s">
        <v>695</v>
      </c>
      <c r="C13" s="1" t="s">
        <v>37</v>
      </c>
      <c r="D13" s="1" t="str">
        <f>VLOOKUP($C13,Sheet2!$A$2:$B$10,2,0)</f>
        <v>141150-91211</v>
      </c>
      <c r="E13" s="7" t="s">
        <v>38</v>
      </c>
      <c r="F13" s="12">
        <v>45975</v>
      </c>
      <c r="G13" s="13">
        <v>0.27083333333333331</v>
      </c>
      <c r="H13" s="1" t="s">
        <v>31</v>
      </c>
      <c r="I13" s="1" t="s">
        <v>10</v>
      </c>
      <c r="J13" s="1">
        <v>8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si="0"/>
        <v>4</v>
      </c>
      <c r="N13" s="1"/>
      <c r="O13" s="1" t="s">
        <v>166</v>
      </c>
      <c r="P13" s="1" t="s">
        <v>412</v>
      </c>
    </row>
    <row r="14" spans="1:16" hidden="1" x14ac:dyDescent="0.25">
      <c r="A14" s="15" t="s">
        <v>725</v>
      </c>
      <c r="B14" s="16" t="s">
        <v>696</v>
      </c>
      <c r="C14" s="1" t="s">
        <v>37</v>
      </c>
      <c r="D14" s="1" t="str">
        <f>VLOOKUP($C14,Sheet2!$A$2:$B$10,2,0)</f>
        <v>141150-91211</v>
      </c>
      <c r="E14" s="7" t="s">
        <v>38</v>
      </c>
      <c r="F14" s="12">
        <v>45975</v>
      </c>
      <c r="G14" s="13">
        <v>0.27083333333333331</v>
      </c>
      <c r="H14" s="1" t="s">
        <v>31</v>
      </c>
      <c r="I14" s="1" t="s">
        <v>10</v>
      </c>
      <c r="J14" s="1">
        <v>30</v>
      </c>
      <c r="K14" s="14">
        <f>VLOOKUP($C14,Sheet2!$A$2:$D$10,4,0)</f>
        <v>2</v>
      </c>
      <c r="L14" s="14" t="str">
        <f>VLOOKUP($C14,Sheet2!$A$2:$E$10,5,0)</f>
        <v>Bin</v>
      </c>
      <c r="M14" s="14">
        <f t="shared" si="0"/>
        <v>15</v>
      </c>
      <c r="N14" s="1"/>
      <c r="O14" s="1" t="s">
        <v>166</v>
      </c>
      <c r="P14" s="1" t="s">
        <v>412</v>
      </c>
    </row>
    <row r="15" spans="1:16" hidden="1" x14ac:dyDescent="0.25">
      <c r="A15" s="15" t="s">
        <v>725</v>
      </c>
      <c r="B15" s="16" t="s">
        <v>697</v>
      </c>
      <c r="C15" s="1" t="s">
        <v>37</v>
      </c>
      <c r="D15" s="1" t="str">
        <f>VLOOKUP($C15,Sheet2!$A$2:$B$10,2,0)</f>
        <v>141150-91211</v>
      </c>
      <c r="E15" s="7" t="s">
        <v>38</v>
      </c>
      <c r="F15" s="12">
        <v>45975</v>
      </c>
      <c r="G15" s="13">
        <v>0.27083333333333331</v>
      </c>
      <c r="H15" s="1" t="s">
        <v>31</v>
      </c>
      <c r="I15" s="1" t="s">
        <v>10</v>
      </c>
      <c r="J15" s="1">
        <v>4</v>
      </c>
      <c r="K15" s="14">
        <f>VLOOKUP($C15,Sheet2!$A$2:$D$10,4,0)</f>
        <v>2</v>
      </c>
      <c r="L15" s="14" t="str">
        <f>VLOOKUP($C15,Sheet2!$A$2:$E$10,5,0)</f>
        <v>Bin</v>
      </c>
      <c r="M15" s="14">
        <f t="shared" si="0"/>
        <v>2</v>
      </c>
      <c r="N15" s="1"/>
      <c r="O15" s="1" t="s">
        <v>166</v>
      </c>
      <c r="P15" s="1" t="s">
        <v>412</v>
      </c>
    </row>
    <row r="16" spans="1:16" hidden="1" x14ac:dyDescent="0.25">
      <c r="A16" s="15" t="s">
        <v>725</v>
      </c>
      <c r="B16" s="16" t="s">
        <v>701</v>
      </c>
      <c r="C16" s="1" t="s">
        <v>45</v>
      </c>
      <c r="D16" s="1" t="str">
        <f>VLOOKUP($C16,Sheet2!$A$2:$B$10,2,0)</f>
        <v>141186-74360</v>
      </c>
      <c r="E16" s="7" t="s">
        <v>46</v>
      </c>
      <c r="F16" s="12">
        <v>45975</v>
      </c>
      <c r="G16" s="13">
        <v>0.27083333333333331</v>
      </c>
      <c r="H16" s="1" t="s">
        <v>31</v>
      </c>
      <c r="I16" s="1" t="s">
        <v>10</v>
      </c>
      <c r="J16" s="1">
        <v>40</v>
      </c>
      <c r="K16" s="14">
        <f>VLOOKUP($C16,Sheet2!$A$2:$D$10,4,0)</f>
        <v>40</v>
      </c>
      <c r="L16" s="14" t="str">
        <f>VLOOKUP($C16,Sheet2!$A$2:$E$10,5,0)</f>
        <v>Trolley</v>
      </c>
      <c r="M16" s="14"/>
      <c r="N16" s="1">
        <f>J16/K16</f>
        <v>1</v>
      </c>
      <c r="O16" s="1" t="s">
        <v>166</v>
      </c>
      <c r="P16" s="1">
        <v>910102507</v>
      </c>
    </row>
    <row r="17" spans="1:16" hidden="1" x14ac:dyDescent="0.25">
      <c r="A17" s="15" t="s">
        <v>726</v>
      </c>
      <c r="B17" s="16" t="s">
        <v>705</v>
      </c>
      <c r="C17" s="1" t="s">
        <v>50</v>
      </c>
      <c r="D17" s="1" t="str">
        <f>VLOOKUP($C17,Sheet2!$A$2:$B$10,2,0)</f>
        <v>116040-92240</v>
      </c>
      <c r="E17" s="7" t="s">
        <v>51</v>
      </c>
      <c r="F17" s="12">
        <v>45975</v>
      </c>
      <c r="G17" s="13">
        <v>0.27083333333333331</v>
      </c>
      <c r="H17" s="1" t="s">
        <v>52</v>
      </c>
      <c r="I17" s="1" t="s">
        <v>10</v>
      </c>
      <c r="J17" s="1">
        <v>6</v>
      </c>
      <c r="K17" s="14">
        <f>VLOOKUP($C17,Sheet2!$A$2:$D$10,4,0)</f>
        <v>6</v>
      </c>
      <c r="L17" s="14" t="str">
        <f>VLOOKUP($C17,Sheet2!$A$2:$E$10,5,0)</f>
        <v>Bin</v>
      </c>
      <c r="M17" s="14">
        <f t="shared" ref="M17:M24" si="1">J17/K17</f>
        <v>1</v>
      </c>
      <c r="N17" s="1"/>
      <c r="O17" s="1" t="s">
        <v>166</v>
      </c>
      <c r="P17" s="1" t="s">
        <v>591</v>
      </c>
    </row>
    <row r="18" spans="1:16" hidden="1" x14ac:dyDescent="0.25">
      <c r="A18" s="15" t="s">
        <v>726</v>
      </c>
      <c r="B18" s="16" t="s">
        <v>706</v>
      </c>
      <c r="C18" s="1" t="s">
        <v>50</v>
      </c>
      <c r="D18" s="1" t="str">
        <f>VLOOKUP($C18,Sheet2!$A$2:$B$10,2,0)</f>
        <v>116040-92240</v>
      </c>
      <c r="E18" s="7" t="s">
        <v>51</v>
      </c>
      <c r="F18" s="12">
        <v>45975</v>
      </c>
      <c r="G18" s="13">
        <v>0.27083333333333331</v>
      </c>
      <c r="H18" s="1" t="s">
        <v>52</v>
      </c>
      <c r="I18" s="1" t="s">
        <v>10</v>
      </c>
      <c r="J18" s="1">
        <v>30</v>
      </c>
      <c r="K18" s="14">
        <f>VLOOKUP($C18,Sheet2!$A$2:$D$10,4,0)</f>
        <v>6</v>
      </c>
      <c r="L18" s="14" t="str">
        <f>VLOOKUP($C18,Sheet2!$A$2:$E$10,5,0)</f>
        <v>Bin</v>
      </c>
      <c r="M18" s="14">
        <f t="shared" si="1"/>
        <v>5</v>
      </c>
      <c r="N18" s="1"/>
      <c r="O18" s="1" t="s">
        <v>166</v>
      </c>
      <c r="P18" s="1" t="s">
        <v>591</v>
      </c>
    </row>
    <row r="19" spans="1:16" hidden="1" x14ac:dyDescent="0.25">
      <c r="A19" s="15" t="s">
        <v>726</v>
      </c>
      <c r="B19" s="16" t="s">
        <v>710</v>
      </c>
      <c r="C19" s="1" t="s">
        <v>59</v>
      </c>
      <c r="D19" s="1" t="str">
        <f>VLOOKUP($C19,Sheet2!$A$2:$B$10,2,0)</f>
        <v>114010-50820</v>
      </c>
      <c r="E19" s="7" t="s">
        <v>60</v>
      </c>
      <c r="F19" s="12">
        <v>45975</v>
      </c>
      <c r="G19" s="13">
        <v>0.27083333333333331</v>
      </c>
      <c r="H19" s="1" t="s">
        <v>52</v>
      </c>
      <c r="I19" s="1" t="s">
        <v>10</v>
      </c>
      <c r="J19" s="1">
        <v>4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1"/>
        <v>4</v>
      </c>
      <c r="N19" s="1"/>
      <c r="O19" s="1" t="s">
        <v>166</v>
      </c>
      <c r="P19" s="1" t="s">
        <v>582</v>
      </c>
    </row>
    <row r="20" spans="1:16" hidden="1" x14ac:dyDescent="0.25">
      <c r="A20" s="15" t="s">
        <v>726</v>
      </c>
      <c r="B20" s="16" t="s">
        <v>711</v>
      </c>
      <c r="C20" s="1" t="s">
        <v>59</v>
      </c>
      <c r="D20" s="1" t="str">
        <f>VLOOKUP($C20,Sheet2!$A$2:$B$10,2,0)</f>
        <v>114010-50820</v>
      </c>
      <c r="E20" s="7" t="s">
        <v>60</v>
      </c>
      <c r="F20" s="12">
        <v>45975</v>
      </c>
      <c r="G20" s="13">
        <v>0.27083333333333331</v>
      </c>
      <c r="H20" s="1" t="s">
        <v>52</v>
      </c>
      <c r="I20" s="1" t="s">
        <v>10</v>
      </c>
      <c r="J20" s="1">
        <v>15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1"/>
        <v>15</v>
      </c>
      <c r="N20" s="1"/>
      <c r="O20" s="1" t="s">
        <v>166</v>
      </c>
      <c r="P20" s="1" t="s">
        <v>582</v>
      </c>
    </row>
    <row r="21" spans="1:16" hidden="1" x14ac:dyDescent="0.25">
      <c r="A21" s="15" t="s">
        <v>726</v>
      </c>
      <c r="B21" s="16" t="s">
        <v>712</v>
      </c>
      <c r="C21" s="1" t="s">
        <v>59</v>
      </c>
      <c r="D21" s="1" t="str">
        <f>VLOOKUP($C21,Sheet2!$A$2:$B$10,2,0)</f>
        <v>114010-50820</v>
      </c>
      <c r="E21" s="7" t="s">
        <v>60</v>
      </c>
      <c r="F21" s="12">
        <v>45975</v>
      </c>
      <c r="G21" s="13">
        <v>0.27083333333333331</v>
      </c>
      <c r="H21" s="1" t="s">
        <v>52</v>
      </c>
      <c r="I21" s="1" t="s">
        <v>10</v>
      </c>
      <c r="J21" s="1">
        <v>2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1"/>
        <v>2</v>
      </c>
      <c r="N21" s="1"/>
      <c r="O21" s="1" t="s">
        <v>166</v>
      </c>
      <c r="P21" s="1" t="s">
        <v>582</v>
      </c>
    </row>
    <row r="22" spans="1:16" hidden="1" x14ac:dyDescent="0.25">
      <c r="A22" s="15" t="s">
        <v>726</v>
      </c>
      <c r="B22" s="16" t="s">
        <v>716</v>
      </c>
      <c r="C22" s="1" t="s">
        <v>67</v>
      </c>
      <c r="D22" s="1" t="str">
        <f>VLOOKUP($C22,Sheet2!$A$2:$B$10,2,0)</f>
        <v>114010-50830</v>
      </c>
      <c r="E22" s="7" t="s">
        <v>60</v>
      </c>
      <c r="F22" s="12">
        <v>45975</v>
      </c>
      <c r="G22" s="13">
        <v>0.27083333333333331</v>
      </c>
      <c r="H22" s="1" t="s">
        <v>52</v>
      </c>
      <c r="I22" s="1" t="s">
        <v>10</v>
      </c>
      <c r="J22" s="1">
        <v>3</v>
      </c>
      <c r="K22" s="14">
        <f>VLOOKUP($C22,Sheet2!$A$2:$D$10,4,0)</f>
        <v>1</v>
      </c>
      <c r="L22" s="14" t="str">
        <f>VLOOKUP($C22,Sheet2!$A$2:$E$10,5,0)</f>
        <v>Bin</v>
      </c>
      <c r="M22" s="14">
        <f t="shared" si="1"/>
        <v>3</v>
      </c>
      <c r="N22" s="1"/>
      <c r="O22" s="1" t="s">
        <v>166</v>
      </c>
      <c r="P22" s="1" t="s">
        <v>587</v>
      </c>
    </row>
    <row r="23" spans="1:16" hidden="1" x14ac:dyDescent="0.25">
      <c r="A23" s="15" t="s">
        <v>726</v>
      </c>
      <c r="B23" s="16" t="s">
        <v>717</v>
      </c>
      <c r="C23" s="1" t="s">
        <v>67</v>
      </c>
      <c r="D23" s="1" t="str">
        <f>VLOOKUP($C23,Sheet2!$A$2:$B$10,2,0)</f>
        <v>114010-50830</v>
      </c>
      <c r="E23" s="7" t="s">
        <v>60</v>
      </c>
      <c r="F23" s="12">
        <v>45975</v>
      </c>
      <c r="G23" s="13">
        <v>0.27083333333333331</v>
      </c>
      <c r="H23" s="1" t="s">
        <v>52</v>
      </c>
      <c r="I23" s="1" t="s">
        <v>10</v>
      </c>
      <c r="J23" s="1">
        <v>15</v>
      </c>
      <c r="K23" s="14">
        <f>VLOOKUP($C23,Sheet2!$A$2:$D$10,4,0)</f>
        <v>1</v>
      </c>
      <c r="L23" s="14" t="str">
        <f>VLOOKUP($C23,Sheet2!$A$2:$E$10,5,0)</f>
        <v>Bin</v>
      </c>
      <c r="M23" s="14">
        <f t="shared" si="1"/>
        <v>15</v>
      </c>
      <c r="N23" s="1"/>
      <c r="O23" s="1" t="s">
        <v>166</v>
      </c>
      <c r="P23" s="1" t="s">
        <v>587</v>
      </c>
    </row>
    <row r="24" spans="1:16" hidden="1" x14ac:dyDescent="0.25">
      <c r="A24" s="15" t="s">
        <v>726</v>
      </c>
      <c r="B24" s="16" t="s">
        <v>718</v>
      </c>
      <c r="C24" s="1" t="s">
        <v>67</v>
      </c>
      <c r="D24" s="1" t="str">
        <f>VLOOKUP($C24,Sheet2!$A$2:$B$10,2,0)</f>
        <v>114010-50830</v>
      </c>
      <c r="E24" s="7" t="s">
        <v>60</v>
      </c>
      <c r="F24" s="12">
        <v>45975</v>
      </c>
      <c r="G24" s="13">
        <v>0.27083333333333331</v>
      </c>
      <c r="H24" s="1" t="s">
        <v>52</v>
      </c>
      <c r="I24" s="1" t="s">
        <v>10</v>
      </c>
      <c r="J24" s="1">
        <v>2</v>
      </c>
      <c r="K24" s="14">
        <f>VLOOKUP($C24,Sheet2!$A$2:$D$10,4,0)</f>
        <v>1</v>
      </c>
      <c r="L24" s="14" t="str">
        <f>VLOOKUP($C24,Sheet2!$A$2:$E$10,5,0)</f>
        <v>Bin</v>
      </c>
      <c r="M24" s="14">
        <f t="shared" si="1"/>
        <v>2</v>
      </c>
      <c r="N24" s="1"/>
      <c r="O24" s="1" t="s">
        <v>166</v>
      </c>
      <c r="P24" s="1" t="s">
        <v>587</v>
      </c>
    </row>
    <row r="25" spans="1:16" s="20" customFormat="1" hidden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>
        <v>89</v>
      </c>
      <c r="N25" s="9">
        <v>7</v>
      </c>
      <c r="O25" s="9"/>
      <c r="P25" s="9"/>
    </row>
    <row r="26" spans="1:16" hidden="1" x14ac:dyDescent="0.25">
      <c r="A26" s="15" t="s">
        <v>727</v>
      </c>
      <c r="B26" s="16" t="s">
        <v>676</v>
      </c>
      <c r="C26" s="1" t="s">
        <v>7</v>
      </c>
      <c r="D26" s="1" t="str">
        <f>VLOOKUP($C26,Sheet2!$A$2:$B$10,2,0)</f>
        <v>141110-14600</v>
      </c>
      <c r="E26" s="7" t="s">
        <v>8</v>
      </c>
      <c r="F26" s="12">
        <v>45975</v>
      </c>
      <c r="G26" s="13">
        <v>0.3125</v>
      </c>
      <c r="H26" s="1" t="s">
        <v>9</v>
      </c>
      <c r="I26" s="1" t="s">
        <v>10</v>
      </c>
      <c r="J26" s="1">
        <v>18</v>
      </c>
      <c r="K26" s="14">
        <f>VLOOKUP($C26,Sheet2!$A$2:$D$10,4,0)</f>
        <v>18</v>
      </c>
      <c r="L26" s="14" t="str">
        <f>VLOOKUP($C26,Sheet2!$A$2:$E$10,5,0)</f>
        <v>Trolley (H)</v>
      </c>
      <c r="M26" s="14"/>
      <c r="N26" s="63">
        <v>1</v>
      </c>
      <c r="O26" s="1" t="s">
        <v>171</v>
      </c>
      <c r="P26" s="1" t="s">
        <v>788</v>
      </c>
    </row>
    <row r="27" spans="1:16" hidden="1" x14ac:dyDescent="0.25">
      <c r="A27" s="15" t="s">
        <v>727</v>
      </c>
      <c r="B27" s="16" t="s">
        <v>681</v>
      </c>
      <c r="C27" s="1" t="s">
        <v>16</v>
      </c>
      <c r="D27" s="1" t="str">
        <f>VLOOKUP($C27,Sheet2!$A$2:$B$10,2,0)</f>
        <v>141120-14600</v>
      </c>
      <c r="E27" s="7" t="s">
        <v>17</v>
      </c>
      <c r="F27" s="12">
        <v>45975</v>
      </c>
      <c r="G27" s="13">
        <v>0.3125</v>
      </c>
      <c r="H27" s="1" t="s">
        <v>9</v>
      </c>
      <c r="I27" s="1" t="s">
        <v>10</v>
      </c>
      <c r="J27" s="1">
        <v>18</v>
      </c>
      <c r="K27" s="14">
        <f>VLOOKUP($C27,Sheet2!$A$2:$D$10,4,0)</f>
        <v>18</v>
      </c>
      <c r="L27" s="14" t="str">
        <f>VLOOKUP($C27,Sheet2!$A$2:$E$10,5,0)</f>
        <v>Trolley (H)</v>
      </c>
      <c r="M27" s="14"/>
      <c r="N27" s="64"/>
      <c r="O27" s="1" t="s">
        <v>171</v>
      </c>
      <c r="P27" s="1" t="s">
        <v>788</v>
      </c>
    </row>
    <row r="28" spans="1:16" hidden="1" x14ac:dyDescent="0.25">
      <c r="A28" s="15" t="s">
        <v>727</v>
      </c>
      <c r="B28" s="16" t="s">
        <v>686</v>
      </c>
      <c r="C28" s="1" t="s">
        <v>23</v>
      </c>
      <c r="D28" s="1" t="str">
        <f>VLOOKUP($C28,Sheet2!$A$2:$B$10,2,0)</f>
        <v>141185-74670</v>
      </c>
      <c r="E28" s="7" t="s">
        <v>24</v>
      </c>
      <c r="F28" s="12">
        <v>45975</v>
      </c>
      <c r="G28" s="13">
        <v>0.3125</v>
      </c>
      <c r="H28" s="1" t="s">
        <v>9</v>
      </c>
      <c r="I28" s="1" t="s">
        <v>10</v>
      </c>
      <c r="J28" s="1">
        <v>40</v>
      </c>
      <c r="K28" s="14">
        <f>VLOOKUP($C28,Sheet2!$A$2:$D$10,4,0)</f>
        <v>40</v>
      </c>
      <c r="L28" s="14" t="str">
        <f>VLOOKUP($C28,Sheet2!$A$2:$E$10,5,0)</f>
        <v>Trolley</v>
      </c>
      <c r="M28" s="14"/>
      <c r="N28" s="1">
        <f>J28/K28</f>
        <v>1</v>
      </c>
      <c r="O28" s="1" t="s">
        <v>171</v>
      </c>
      <c r="P28" s="1">
        <v>910101603</v>
      </c>
    </row>
    <row r="29" spans="1:16" x14ac:dyDescent="0.25">
      <c r="A29" s="15" t="s">
        <v>727</v>
      </c>
      <c r="B29" s="16" t="s">
        <v>692</v>
      </c>
      <c r="C29" s="1" t="s">
        <v>29</v>
      </c>
      <c r="D29" s="1" t="str">
        <f>VLOOKUP($C29,Sheet2!$A$2:$B$10,2,0)</f>
        <v>141140-91211</v>
      </c>
      <c r="E29" s="7" t="s">
        <v>30</v>
      </c>
      <c r="F29" s="12">
        <v>45975</v>
      </c>
      <c r="G29" s="13">
        <v>0.3125</v>
      </c>
      <c r="H29" s="1" t="s">
        <v>31</v>
      </c>
      <c r="I29" s="1" t="s">
        <v>10</v>
      </c>
      <c r="J29" s="1">
        <v>20</v>
      </c>
      <c r="K29" s="14">
        <f>VLOOKUP($C29,Sheet2!$A$2:$D$10,4,0)</f>
        <v>2</v>
      </c>
      <c r="L29" s="14" t="str">
        <f>VLOOKUP($C29,Sheet2!$A$2:$E$10,5,0)</f>
        <v>Bin</v>
      </c>
      <c r="M29" s="14">
        <f t="shared" ref="M29:M30" si="2">J29/K29</f>
        <v>10</v>
      </c>
      <c r="N29" s="1"/>
      <c r="O29" s="1" t="s">
        <v>171</v>
      </c>
      <c r="P29" s="1" t="s">
        <v>1018</v>
      </c>
    </row>
    <row r="30" spans="1:16" x14ac:dyDescent="0.25">
      <c r="A30" s="15" t="s">
        <v>727</v>
      </c>
      <c r="B30" s="16" t="s">
        <v>698</v>
      </c>
      <c r="C30" s="1" t="s">
        <v>37</v>
      </c>
      <c r="D30" s="1" t="str">
        <f>VLOOKUP($C30,Sheet2!$A$2:$B$10,2,0)</f>
        <v>141150-91211</v>
      </c>
      <c r="E30" s="7" t="s">
        <v>38</v>
      </c>
      <c r="F30" s="12">
        <v>45975</v>
      </c>
      <c r="G30" s="13">
        <v>0.3125</v>
      </c>
      <c r="H30" s="1" t="s">
        <v>31</v>
      </c>
      <c r="I30" s="1" t="s">
        <v>10</v>
      </c>
      <c r="J30" s="1">
        <v>20</v>
      </c>
      <c r="K30" s="14">
        <f>VLOOKUP($C30,Sheet2!$A$2:$D$10,4,0)</f>
        <v>2</v>
      </c>
      <c r="L30" s="14" t="str">
        <f>VLOOKUP($C30,Sheet2!$A$2:$E$10,5,0)</f>
        <v>Bin</v>
      </c>
      <c r="M30" s="14">
        <f t="shared" si="2"/>
        <v>10</v>
      </c>
      <c r="N30" s="1"/>
      <c r="O30" s="1" t="s">
        <v>171</v>
      </c>
      <c r="P30" s="1" t="s">
        <v>1018</v>
      </c>
    </row>
    <row r="31" spans="1:16" hidden="1" x14ac:dyDescent="0.25">
      <c r="A31" s="15" t="s">
        <v>727</v>
      </c>
      <c r="B31" s="16" t="s">
        <v>702</v>
      </c>
      <c r="C31" s="1" t="s">
        <v>45</v>
      </c>
      <c r="D31" s="1" t="str">
        <f>VLOOKUP($C31,Sheet2!$A$2:$B$10,2,0)</f>
        <v>141186-74360</v>
      </c>
      <c r="E31" s="7" t="s">
        <v>46</v>
      </c>
      <c r="F31" s="12">
        <v>45975</v>
      </c>
      <c r="G31" s="13">
        <v>0.3125</v>
      </c>
      <c r="H31" s="1" t="s">
        <v>31</v>
      </c>
      <c r="I31" s="1" t="s">
        <v>10</v>
      </c>
      <c r="J31" s="1">
        <v>40</v>
      </c>
      <c r="K31" s="14">
        <f>VLOOKUP($C31,Sheet2!$A$2:$D$10,4,0)</f>
        <v>40</v>
      </c>
      <c r="L31" s="14" t="str">
        <f>VLOOKUP($C31,Sheet2!$A$2:$E$10,5,0)</f>
        <v>Trolley</v>
      </c>
      <c r="M31" s="14"/>
      <c r="N31" s="1">
        <f>J31/K31</f>
        <v>1</v>
      </c>
      <c r="O31" s="1" t="s">
        <v>171</v>
      </c>
      <c r="P31" s="1">
        <v>910102507</v>
      </c>
    </row>
    <row r="32" spans="1:16" hidden="1" x14ac:dyDescent="0.25">
      <c r="A32" s="15" t="s">
        <v>728</v>
      </c>
      <c r="B32" s="16" t="s">
        <v>707</v>
      </c>
      <c r="C32" s="1" t="s">
        <v>50</v>
      </c>
      <c r="D32" s="1" t="str">
        <f>VLOOKUP($C32,Sheet2!$A$2:$B$10,2,0)</f>
        <v>116040-92240</v>
      </c>
      <c r="E32" s="7" t="s">
        <v>51</v>
      </c>
      <c r="F32" s="12">
        <v>45975</v>
      </c>
      <c r="G32" s="13">
        <v>0.3125</v>
      </c>
      <c r="H32" s="1" t="s">
        <v>52</v>
      </c>
      <c r="I32" s="1" t="s">
        <v>10</v>
      </c>
      <c r="J32" s="1">
        <v>24</v>
      </c>
      <c r="K32" s="14">
        <f>VLOOKUP($C32,Sheet2!$A$2:$D$10,4,0)</f>
        <v>6</v>
      </c>
      <c r="L32" s="14" t="str">
        <f>VLOOKUP($C32,Sheet2!$A$2:$E$10,5,0)</f>
        <v>Bin</v>
      </c>
      <c r="M32" s="14">
        <f t="shared" ref="M32:M34" si="3">J32/K32</f>
        <v>4</v>
      </c>
      <c r="N32" s="1"/>
      <c r="O32" s="1" t="s">
        <v>171</v>
      </c>
      <c r="P32" s="1" t="s">
        <v>591</v>
      </c>
    </row>
    <row r="33" spans="1:16" hidden="1" x14ac:dyDescent="0.25">
      <c r="A33" s="15" t="s">
        <v>728</v>
      </c>
      <c r="B33" s="16" t="s">
        <v>713</v>
      </c>
      <c r="C33" s="1" t="s">
        <v>59</v>
      </c>
      <c r="D33" s="1" t="str">
        <f>VLOOKUP($C33,Sheet2!$A$2:$B$10,2,0)</f>
        <v>114010-50820</v>
      </c>
      <c r="E33" s="7" t="s">
        <v>60</v>
      </c>
      <c r="F33" s="12">
        <v>45975</v>
      </c>
      <c r="G33" s="13">
        <v>0.3125</v>
      </c>
      <c r="H33" s="1" t="s">
        <v>52</v>
      </c>
      <c r="I33" s="1" t="s">
        <v>10</v>
      </c>
      <c r="J33" s="1">
        <v>9</v>
      </c>
      <c r="K33" s="14">
        <f>VLOOKUP($C33,Sheet2!$A$2:$D$10,4,0)</f>
        <v>1</v>
      </c>
      <c r="L33" s="14" t="str">
        <f>VLOOKUP($C33,Sheet2!$A$2:$E$10,5,0)</f>
        <v>Bin</v>
      </c>
      <c r="M33" s="14">
        <f t="shared" si="3"/>
        <v>9</v>
      </c>
      <c r="N33" s="1"/>
      <c r="O33" s="1" t="s">
        <v>171</v>
      </c>
      <c r="P33" s="1" t="s">
        <v>582</v>
      </c>
    </row>
    <row r="34" spans="1:16" hidden="1" x14ac:dyDescent="0.25">
      <c r="A34" s="15" t="s">
        <v>728</v>
      </c>
      <c r="B34" s="16" t="s">
        <v>719</v>
      </c>
      <c r="C34" s="1" t="s">
        <v>67</v>
      </c>
      <c r="D34" s="1" t="str">
        <f>VLOOKUP($C34,Sheet2!$A$2:$B$10,2,0)</f>
        <v>114010-50830</v>
      </c>
      <c r="E34" s="7" t="s">
        <v>60</v>
      </c>
      <c r="F34" s="12">
        <v>45975</v>
      </c>
      <c r="G34" s="13">
        <v>0.3125</v>
      </c>
      <c r="H34" s="1" t="s">
        <v>52</v>
      </c>
      <c r="I34" s="1" t="s">
        <v>10</v>
      </c>
      <c r="J34" s="1">
        <v>11</v>
      </c>
      <c r="K34" s="14">
        <f>VLOOKUP($C34,Sheet2!$A$2:$D$10,4,0)</f>
        <v>1</v>
      </c>
      <c r="L34" s="14" t="str">
        <f>VLOOKUP($C34,Sheet2!$A$2:$E$10,5,0)</f>
        <v>Bin</v>
      </c>
      <c r="M34" s="14">
        <f t="shared" si="3"/>
        <v>11</v>
      </c>
      <c r="N34" s="1"/>
      <c r="O34" s="1" t="s">
        <v>171</v>
      </c>
      <c r="P34" s="1" t="s">
        <v>587</v>
      </c>
    </row>
    <row r="35" spans="1:16" s="20" customFormat="1" hidden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>
        <v>44</v>
      </c>
      <c r="N35" s="9">
        <v>3</v>
      </c>
      <c r="O35" s="9"/>
      <c r="P35" s="9"/>
    </row>
    <row r="36" spans="1:16" hidden="1" x14ac:dyDescent="0.25">
      <c r="A36" s="15" t="s">
        <v>729</v>
      </c>
      <c r="B36" s="16" t="s">
        <v>677</v>
      </c>
      <c r="C36" s="1" t="s">
        <v>7</v>
      </c>
      <c r="D36" s="1" t="str">
        <f>VLOOKUP($C36,Sheet2!$A$2:$B$10,2,0)</f>
        <v>141110-14600</v>
      </c>
      <c r="E36" s="7" t="s">
        <v>8</v>
      </c>
      <c r="F36" s="12">
        <v>45975</v>
      </c>
      <c r="G36" s="13">
        <v>0.60416666666666663</v>
      </c>
      <c r="H36" s="1" t="s">
        <v>9</v>
      </c>
      <c r="I36" s="1" t="s">
        <v>10</v>
      </c>
      <c r="J36" s="1">
        <v>18</v>
      </c>
      <c r="K36" s="14">
        <f>VLOOKUP($C36,Sheet2!$A$2:$D$10,4,0)</f>
        <v>18</v>
      </c>
      <c r="L36" s="14" t="str">
        <f>VLOOKUP($C36,Sheet2!$A$2:$E$10,5,0)</f>
        <v>Trolley (H)</v>
      </c>
      <c r="M36" s="14"/>
      <c r="N36" s="63">
        <v>1</v>
      </c>
      <c r="O36" s="1" t="s">
        <v>528</v>
      </c>
      <c r="P36" s="1" t="s">
        <v>788</v>
      </c>
    </row>
    <row r="37" spans="1:16" hidden="1" x14ac:dyDescent="0.25">
      <c r="A37" s="15" t="s">
        <v>729</v>
      </c>
      <c r="B37" s="16" t="s">
        <v>682</v>
      </c>
      <c r="C37" s="1" t="s">
        <v>16</v>
      </c>
      <c r="D37" s="1" t="str">
        <f>VLOOKUP($C37,Sheet2!$A$2:$B$10,2,0)</f>
        <v>141120-14600</v>
      </c>
      <c r="E37" s="7" t="s">
        <v>17</v>
      </c>
      <c r="F37" s="12">
        <v>45975</v>
      </c>
      <c r="G37" s="13">
        <v>0.60416666666666663</v>
      </c>
      <c r="H37" s="1" t="s">
        <v>9</v>
      </c>
      <c r="I37" s="1" t="s">
        <v>10</v>
      </c>
      <c r="J37" s="1">
        <v>18</v>
      </c>
      <c r="K37" s="14">
        <f>VLOOKUP($C37,Sheet2!$A$2:$D$10,4,0)</f>
        <v>18</v>
      </c>
      <c r="L37" s="14" t="str">
        <f>VLOOKUP($C37,Sheet2!$A$2:$E$10,5,0)</f>
        <v>Trolley (H)</v>
      </c>
      <c r="M37" s="14"/>
      <c r="N37" s="64"/>
      <c r="O37" s="1" t="s">
        <v>528</v>
      </c>
      <c r="P37" s="1" t="s">
        <v>788</v>
      </c>
    </row>
    <row r="38" spans="1:16" hidden="1" x14ac:dyDescent="0.25">
      <c r="A38" s="15" t="s">
        <v>729</v>
      </c>
      <c r="B38" s="16" t="s">
        <v>687</v>
      </c>
      <c r="C38" s="1" t="s">
        <v>23</v>
      </c>
      <c r="D38" s="1" t="str">
        <f>VLOOKUP($C38,Sheet2!$A$2:$B$10,2,0)</f>
        <v>141185-74670</v>
      </c>
      <c r="E38" s="7" t="s">
        <v>24</v>
      </c>
      <c r="F38" s="12">
        <v>45975</v>
      </c>
      <c r="G38" s="13">
        <v>0.60416666666666663</v>
      </c>
      <c r="H38" s="1" t="s">
        <v>9</v>
      </c>
      <c r="I38" s="1" t="s">
        <v>10</v>
      </c>
      <c r="J38" s="1">
        <v>40</v>
      </c>
      <c r="K38" s="14">
        <f>VLOOKUP($C38,Sheet2!$A$2:$D$10,4,0)</f>
        <v>40</v>
      </c>
      <c r="L38" s="14" t="str">
        <f>VLOOKUP($C38,Sheet2!$A$2:$E$10,5,0)</f>
        <v>Trolley</v>
      </c>
      <c r="M38" s="14"/>
      <c r="N38" s="1">
        <f>J38/K38</f>
        <v>1</v>
      </c>
      <c r="O38" s="1" t="s">
        <v>528</v>
      </c>
      <c r="P38" s="1" t="s">
        <v>789</v>
      </c>
    </row>
    <row r="39" spans="1:16" x14ac:dyDescent="0.25">
      <c r="A39" s="15" t="s">
        <v>729</v>
      </c>
      <c r="B39" s="16" t="s">
        <v>693</v>
      </c>
      <c r="C39" s="1" t="s">
        <v>29</v>
      </c>
      <c r="D39" s="1" t="str">
        <f>VLOOKUP($C39,Sheet2!$A$2:$B$10,2,0)</f>
        <v>141140-91211</v>
      </c>
      <c r="E39" s="7" t="s">
        <v>30</v>
      </c>
      <c r="F39" s="12">
        <v>45975</v>
      </c>
      <c r="G39" s="13">
        <v>0.60416666666666663</v>
      </c>
      <c r="H39" s="1" t="s">
        <v>31</v>
      </c>
      <c r="I39" s="1" t="s">
        <v>10</v>
      </c>
      <c r="J39" s="1">
        <v>20</v>
      </c>
      <c r="K39" s="14">
        <f>VLOOKUP($C39,Sheet2!$A$2:$D$10,4,0)</f>
        <v>2</v>
      </c>
      <c r="L39" s="14" t="str">
        <f>VLOOKUP($C39,Sheet2!$A$2:$E$10,5,0)</f>
        <v>Bin</v>
      </c>
      <c r="M39" s="14">
        <f t="shared" ref="M39:M40" si="4">J39/K39</f>
        <v>10</v>
      </c>
      <c r="N39" s="1"/>
      <c r="O39" s="1" t="s">
        <v>528</v>
      </c>
      <c r="P39" s="1" t="s">
        <v>1018</v>
      </c>
    </row>
    <row r="40" spans="1:16" x14ac:dyDescent="0.25">
      <c r="A40" s="15" t="s">
        <v>729</v>
      </c>
      <c r="B40" s="16" t="s">
        <v>699</v>
      </c>
      <c r="C40" s="1" t="s">
        <v>37</v>
      </c>
      <c r="D40" s="1" t="str">
        <f>VLOOKUP($C40,Sheet2!$A$2:$B$10,2,0)</f>
        <v>141150-91211</v>
      </c>
      <c r="E40" s="7" t="s">
        <v>38</v>
      </c>
      <c r="F40" s="12">
        <v>45975</v>
      </c>
      <c r="G40" s="13">
        <v>0.60416666666666663</v>
      </c>
      <c r="H40" s="1" t="s">
        <v>31</v>
      </c>
      <c r="I40" s="1" t="s">
        <v>10</v>
      </c>
      <c r="J40" s="1">
        <v>20</v>
      </c>
      <c r="K40" s="14">
        <f>VLOOKUP($C40,Sheet2!$A$2:$D$10,4,0)</f>
        <v>2</v>
      </c>
      <c r="L40" s="14" t="str">
        <f>VLOOKUP($C40,Sheet2!$A$2:$E$10,5,0)</f>
        <v>Bin</v>
      </c>
      <c r="M40" s="14">
        <f t="shared" si="4"/>
        <v>10</v>
      </c>
      <c r="N40" s="1"/>
      <c r="O40" s="1" t="s">
        <v>528</v>
      </c>
      <c r="P40" s="1" t="s">
        <v>1018</v>
      </c>
    </row>
    <row r="41" spans="1:16" hidden="1" x14ac:dyDescent="0.25">
      <c r="A41" s="15" t="s">
        <v>729</v>
      </c>
      <c r="B41" s="16" t="s">
        <v>703</v>
      </c>
      <c r="C41" s="1" t="s">
        <v>45</v>
      </c>
      <c r="D41" s="1" t="str">
        <f>VLOOKUP($C41,Sheet2!$A$2:$B$10,2,0)</f>
        <v>141186-74360</v>
      </c>
      <c r="E41" s="7" t="s">
        <v>46</v>
      </c>
      <c r="F41" s="12">
        <v>45975</v>
      </c>
      <c r="G41" s="13">
        <v>0.60416666666666663</v>
      </c>
      <c r="H41" s="1" t="s">
        <v>31</v>
      </c>
      <c r="I41" s="1" t="s">
        <v>10</v>
      </c>
      <c r="J41" s="1">
        <v>40</v>
      </c>
      <c r="K41" s="14">
        <f>VLOOKUP($C41,Sheet2!$A$2:$D$10,4,0)</f>
        <v>40</v>
      </c>
      <c r="L41" s="14" t="str">
        <f>VLOOKUP($C41,Sheet2!$A$2:$E$10,5,0)</f>
        <v>Trolley</v>
      </c>
      <c r="M41" s="14"/>
      <c r="N41" s="1">
        <f>J41/K41</f>
        <v>1</v>
      </c>
      <c r="O41" s="1" t="s">
        <v>528</v>
      </c>
      <c r="P41" s="1">
        <v>910102507</v>
      </c>
    </row>
    <row r="42" spans="1:16" hidden="1" x14ac:dyDescent="0.25">
      <c r="A42" s="15" t="s">
        <v>730</v>
      </c>
      <c r="B42" s="16" t="s">
        <v>708</v>
      </c>
      <c r="C42" s="1" t="s">
        <v>50</v>
      </c>
      <c r="D42" s="1" t="str">
        <f>VLOOKUP($C42,Sheet2!$A$2:$B$10,2,0)</f>
        <v>116040-92240</v>
      </c>
      <c r="E42" s="7" t="s">
        <v>51</v>
      </c>
      <c r="F42" s="12">
        <v>45975</v>
      </c>
      <c r="G42" s="13">
        <v>0.60416666666666663</v>
      </c>
      <c r="H42" s="1" t="s">
        <v>52</v>
      </c>
      <c r="I42" s="1" t="s">
        <v>10</v>
      </c>
      <c r="J42" s="1">
        <v>18</v>
      </c>
      <c r="K42" s="14">
        <f>VLOOKUP($C42,Sheet2!$A$2:$D$10,4,0)</f>
        <v>6</v>
      </c>
      <c r="L42" s="14" t="str">
        <f>VLOOKUP($C42,Sheet2!$A$2:$E$10,5,0)</f>
        <v>Bin</v>
      </c>
      <c r="M42" s="14">
        <f t="shared" ref="M42:M44" si="5">J42/K42</f>
        <v>3</v>
      </c>
      <c r="N42" s="1"/>
      <c r="O42" s="1" t="s">
        <v>528</v>
      </c>
      <c r="P42" s="1" t="s">
        <v>591</v>
      </c>
    </row>
    <row r="43" spans="1:16" hidden="1" x14ac:dyDescent="0.25">
      <c r="A43" s="15" t="s">
        <v>730</v>
      </c>
      <c r="B43" s="16" t="s">
        <v>714</v>
      </c>
      <c r="C43" s="1" t="s">
        <v>59</v>
      </c>
      <c r="D43" s="1" t="str">
        <f>VLOOKUP($C43,Sheet2!$A$2:$B$10,2,0)</f>
        <v>114010-50820</v>
      </c>
      <c r="E43" s="7" t="s">
        <v>60</v>
      </c>
      <c r="F43" s="12">
        <v>45975</v>
      </c>
      <c r="G43" s="13">
        <v>0.60416666666666663</v>
      </c>
      <c r="H43" s="1" t="s">
        <v>52</v>
      </c>
      <c r="I43" s="1" t="s">
        <v>10</v>
      </c>
      <c r="J43" s="1">
        <v>9</v>
      </c>
      <c r="K43" s="14">
        <f>VLOOKUP($C43,Sheet2!$A$2:$D$10,4,0)</f>
        <v>1</v>
      </c>
      <c r="L43" s="14" t="str">
        <f>VLOOKUP($C43,Sheet2!$A$2:$E$10,5,0)</f>
        <v>Bin</v>
      </c>
      <c r="M43" s="14">
        <f t="shared" si="5"/>
        <v>9</v>
      </c>
      <c r="N43" s="1"/>
      <c r="O43" s="1" t="s">
        <v>528</v>
      </c>
      <c r="P43" s="1" t="s">
        <v>582</v>
      </c>
    </row>
    <row r="44" spans="1:16" hidden="1" x14ac:dyDescent="0.25">
      <c r="A44" s="15" t="s">
        <v>730</v>
      </c>
      <c r="B44" s="16" t="s">
        <v>720</v>
      </c>
      <c r="C44" s="1" t="s">
        <v>67</v>
      </c>
      <c r="D44" s="1" t="str">
        <f>VLOOKUP($C44,Sheet2!$A$2:$B$10,2,0)</f>
        <v>114010-50830</v>
      </c>
      <c r="E44" s="7" t="s">
        <v>60</v>
      </c>
      <c r="F44" s="12">
        <v>45975</v>
      </c>
      <c r="G44" s="27">
        <v>0.60416666666666663</v>
      </c>
      <c r="H44" s="1" t="s">
        <v>52</v>
      </c>
      <c r="I44" s="1" t="s">
        <v>10</v>
      </c>
      <c r="J44" s="1">
        <v>11</v>
      </c>
      <c r="K44" s="14">
        <f>VLOOKUP($C44,Sheet2!$A$2:$D$10,4,0)</f>
        <v>1</v>
      </c>
      <c r="L44" s="14" t="str">
        <f>VLOOKUP($C44,Sheet2!$A$2:$E$10,5,0)</f>
        <v>Bin</v>
      </c>
      <c r="M44" s="14">
        <f t="shared" si="5"/>
        <v>11</v>
      </c>
      <c r="N44" s="1"/>
      <c r="O44" s="1" t="s">
        <v>528</v>
      </c>
      <c r="P44" s="1" t="s">
        <v>587</v>
      </c>
    </row>
    <row r="45" spans="1:16" ht="15.75" hidden="1" thickTop="1" x14ac:dyDescent="0.25">
      <c r="A45" s="15" t="s">
        <v>731</v>
      </c>
      <c r="B45" s="16" t="s">
        <v>678</v>
      </c>
      <c r="C45" s="1" t="s">
        <v>7</v>
      </c>
      <c r="D45" s="1" t="str">
        <f>VLOOKUP($C45,Sheet2!$A$2:$B$10,2,0)</f>
        <v>141110-14600</v>
      </c>
      <c r="E45" s="7" t="s">
        <v>8</v>
      </c>
      <c r="F45" s="12">
        <v>45975</v>
      </c>
      <c r="G45" s="28">
        <v>0.8125</v>
      </c>
      <c r="H45" s="1" t="s">
        <v>9</v>
      </c>
      <c r="I45" s="1" t="s">
        <v>10</v>
      </c>
      <c r="J45" s="1">
        <v>18</v>
      </c>
      <c r="K45" s="14">
        <f>VLOOKUP($C45,Sheet2!$A$2:$D$10,4,0)</f>
        <v>18</v>
      </c>
      <c r="L45" s="14" t="str">
        <f>VLOOKUP($C45,Sheet2!$A$2:$E$10,5,0)</f>
        <v>Trolley (H)</v>
      </c>
      <c r="M45" s="14"/>
      <c r="N45" s="63">
        <v>1</v>
      </c>
      <c r="O45" s="1" t="s">
        <v>528</v>
      </c>
      <c r="P45" s="1" t="s">
        <v>788</v>
      </c>
    </row>
    <row r="46" spans="1:16" hidden="1" x14ac:dyDescent="0.25">
      <c r="A46" s="15" t="s">
        <v>731</v>
      </c>
      <c r="B46" s="16" t="s">
        <v>683</v>
      </c>
      <c r="C46" s="1" t="s">
        <v>16</v>
      </c>
      <c r="D46" s="1" t="str">
        <f>VLOOKUP($C46,Sheet2!$A$2:$B$10,2,0)</f>
        <v>141120-14600</v>
      </c>
      <c r="E46" s="7" t="s">
        <v>17</v>
      </c>
      <c r="F46" s="12">
        <v>45975</v>
      </c>
      <c r="G46" s="13">
        <v>0.8125</v>
      </c>
      <c r="H46" s="1" t="s">
        <v>9</v>
      </c>
      <c r="I46" s="1" t="s">
        <v>10</v>
      </c>
      <c r="J46" s="1">
        <v>18</v>
      </c>
      <c r="K46" s="14">
        <f>VLOOKUP($C46,Sheet2!$A$2:$D$10,4,0)</f>
        <v>18</v>
      </c>
      <c r="L46" s="14" t="str">
        <f>VLOOKUP($C46,Sheet2!$A$2:$E$10,5,0)</f>
        <v>Trolley (H)</v>
      </c>
      <c r="M46" s="14"/>
      <c r="N46" s="64"/>
      <c r="O46" s="1" t="s">
        <v>528</v>
      </c>
      <c r="P46" s="1" t="s">
        <v>788</v>
      </c>
    </row>
    <row r="47" spans="1:16" hidden="1" x14ac:dyDescent="0.25">
      <c r="A47" s="15" t="s">
        <v>731</v>
      </c>
      <c r="B47" s="16" t="s">
        <v>688</v>
      </c>
      <c r="C47" s="1" t="s">
        <v>23</v>
      </c>
      <c r="D47" s="1" t="str">
        <f>VLOOKUP($C47,Sheet2!$A$2:$B$10,2,0)</f>
        <v>141185-74670</v>
      </c>
      <c r="E47" s="7" t="s">
        <v>24</v>
      </c>
      <c r="F47" s="12">
        <v>45975</v>
      </c>
      <c r="G47" s="13">
        <v>0.8125</v>
      </c>
      <c r="H47" s="1" t="s">
        <v>9</v>
      </c>
      <c r="I47" s="1" t="s">
        <v>10</v>
      </c>
      <c r="J47" s="1">
        <v>40</v>
      </c>
      <c r="K47" s="14">
        <f>VLOOKUP($C47,Sheet2!$A$2:$D$10,4,0)</f>
        <v>40</v>
      </c>
      <c r="L47" s="14" t="str">
        <f>VLOOKUP($C47,Sheet2!$A$2:$E$10,5,0)</f>
        <v>Trolley</v>
      </c>
      <c r="M47" s="14"/>
      <c r="N47" s="1">
        <f>J47/K47</f>
        <v>1</v>
      </c>
      <c r="O47" s="1" t="s">
        <v>528</v>
      </c>
      <c r="P47" s="1">
        <v>910101985</v>
      </c>
    </row>
    <row r="48" spans="1:16" x14ac:dyDescent="0.25">
      <c r="A48" s="15" t="s">
        <v>731</v>
      </c>
      <c r="B48" s="16" t="s">
        <v>694</v>
      </c>
      <c r="C48" s="1" t="s">
        <v>29</v>
      </c>
      <c r="D48" s="1" t="str">
        <f>VLOOKUP($C48,Sheet2!$A$2:$B$10,2,0)</f>
        <v>141140-91211</v>
      </c>
      <c r="E48" s="7" t="s">
        <v>30</v>
      </c>
      <c r="F48" s="12">
        <v>45975</v>
      </c>
      <c r="G48" s="13">
        <v>0.8125</v>
      </c>
      <c r="H48" s="1" t="s">
        <v>31</v>
      </c>
      <c r="I48" s="1" t="s">
        <v>10</v>
      </c>
      <c r="J48" s="1">
        <v>30</v>
      </c>
      <c r="K48" s="14">
        <f>VLOOKUP($C48,Sheet2!$A$2:$D$10,4,0)</f>
        <v>2</v>
      </c>
      <c r="L48" s="14" t="str">
        <f>VLOOKUP($C48,Sheet2!$A$2:$E$10,5,0)</f>
        <v>Bin</v>
      </c>
      <c r="M48" s="14">
        <f t="shared" ref="M48:M49" si="6">J48/K48</f>
        <v>15</v>
      </c>
      <c r="N48" s="1"/>
      <c r="O48" s="1" t="s">
        <v>528</v>
      </c>
      <c r="P48" s="1" t="s">
        <v>1018</v>
      </c>
    </row>
    <row r="49" spans="1:16" x14ac:dyDescent="0.25">
      <c r="A49" s="15" t="s">
        <v>731</v>
      </c>
      <c r="B49" s="16" t="s">
        <v>700</v>
      </c>
      <c r="C49" s="1" t="s">
        <v>37</v>
      </c>
      <c r="D49" s="1" t="str">
        <f>VLOOKUP($C49,Sheet2!$A$2:$B$10,2,0)</f>
        <v>141150-91211</v>
      </c>
      <c r="E49" s="7" t="s">
        <v>38</v>
      </c>
      <c r="F49" s="12">
        <v>45975</v>
      </c>
      <c r="G49" s="13">
        <v>0.8125</v>
      </c>
      <c r="H49" s="1" t="s">
        <v>31</v>
      </c>
      <c r="I49" s="1" t="s">
        <v>10</v>
      </c>
      <c r="J49" s="1">
        <v>30</v>
      </c>
      <c r="K49" s="14">
        <f>VLOOKUP($C49,Sheet2!$A$2:$D$10,4,0)</f>
        <v>2</v>
      </c>
      <c r="L49" s="14" t="str">
        <f>VLOOKUP($C49,Sheet2!$A$2:$E$10,5,0)</f>
        <v>Bin</v>
      </c>
      <c r="M49" s="14">
        <f t="shared" si="6"/>
        <v>15</v>
      </c>
      <c r="N49" s="1"/>
      <c r="O49" s="1" t="s">
        <v>528</v>
      </c>
      <c r="P49" s="1" t="s">
        <v>1018</v>
      </c>
    </row>
    <row r="50" spans="1:16" hidden="1" x14ac:dyDescent="0.25">
      <c r="A50" s="15" t="s">
        <v>731</v>
      </c>
      <c r="B50" s="16" t="s">
        <v>704</v>
      </c>
      <c r="C50" s="16" t="s">
        <v>45</v>
      </c>
      <c r="D50" s="1" t="str">
        <f>VLOOKUP($C50,Sheet2!$A$2:$B$10,2,0)</f>
        <v>141186-74360</v>
      </c>
      <c r="E50" s="7" t="s">
        <v>46</v>
      </c>
      <c r="F50" s="12">
        <v>45975</v>
      </c>
      <c r="G50" s="13">
        <v>0.8125</v>
      </c>
      <c r="H50" s="1" t="s">
        <v>31</v>
      </c>
      <c r="I50" s="1" t="s">
        <v>10</v>
      </c>
      <c r="J50" s="1">
        <v>40</v>
      </c>
      <c r="K50" s="14">
        <f>VLOOKUP($C50,Sheet2!$A$2:$D$10,4,0)</f>
        <v>40</v>
      </c>
      <c r="L50" s="14" t="str">
        <f>VLOOKUP($C50,Sheet2!$A$2:$E$10,5,0)</f>
        <v>Trolley</v>
      </c>
      <c r="M50" s="14"/>
      <c r="N50" s="1">
        <f>J50/K50</f>
        <v>1</v>
      </c>
      <c r="O50" s="1" t="s">
        <v>528</v>
      </c>
      <c r="P50" s="1">
        <v>910102507</v>
      </c>
    </row>
    <row r="51" spans="1:16" hidden="1" x14ac:dyDescent="0.25">
      <c r="A51" s="15" t="s">
        <v>751</v>
      </c>
      <c r="B51" s="1" t="s">
        <v>704</v>
      </c>
      <c r="C51" s="16" t="s">
        <v>45</v>
      </c>
      <c r="D51" s="1" t="str">
        <f>VLOOKUP($C51,Sheet2!$A$2:$B$10,2,0)</f>
        <v>141186-74360</v>
      </c>
      <c r="E51" s="7" t="s">
        <v>46</v>
      </c>
      <c r="F51" s="12">
        <v>45975</v>
      </c>
      <c r="G51" s="13">
        <v>0.8125</v>
      </c>
      <c r="H51" s="1" t="s">
        <v>31</v>
      </c>
      <c r="I51" s="1" t="s">
        <v>10</v>
      </c>
      <c r="J51" s="1">
        <v>40</v>
      </c>
      <c r="K51" s="14">
        <f>VLOOKUP($C51,Sheet2!$A$2:$D$10,4,0)</f>
        <v>40</v>
      </c>
      <c r="L51" s="14" t="str">
        <f>VLOOKUP($C51,Sheet2!$A$2:$E$10,5,0)</f>
        <v>Trolley</v>
      </c>
      <c r="M51" s="14"/>
      <c r="N51" s="1">
        <f>J51/K51</f>
        <v>1</v>
      </c>
      <c r="O51" s="1" t="s">
        <v>528</v>
      </c>
      <c r="P51" s="1">
        <v>910102786</v>
      </c>
    </row>
    <row r="52" spans="1:16" hidden="1" x14ac:dyDescent="0.25">
      <c r="A52" s="15" t="s">
        <v>732</v>
      </c>
      <c r="B52" s="16" t="s">
        <v>709</v>
      </c>
      <c r="C52" s="1" t="s">
        <v>50</v>
      </c>
      <c r="D52" s="1" t="str">
        <f>VLOOKUP($C52,Sheet2!$A$2:$B$10,2,0)</f>
        <v>116040-92240</v>
      </c>
      <c r="E52" s="7" t="s">
        <v>51</v>
      </c>
      <c r="F52" s="12">
        <v>45975</v>
      </c>
      <c r="G52" s="13">
        <v>0.8125</v>
      </c>
      <c r="H52" s="1" t="s">
        <v>52</v>
      </c>
      <c r="I52" s="1" t="s">
        <v>10</v>
      </c>
      <c r="J52" s="1">
        <v>30</v>
      </c>
      <c r="K52" s="14">
        <f>VLOOKUP($C52,Sheet2!$A$2:$D$10,4,0)</f>
        <v>6</v>
      </c>
      <c r="L52" s="14" t="str">
        <f>VLOOKUP($C52,Sheet2!$A$2:$E$10,5,0)</f>
        <v>Bin</v>
      </c>
      <c r="M52" s="14">
        <f t="shared" ref="M52:M54" si="7">J52/K52</f>
        <v>5</v>
      </c>
      <c r="N52" s="1"/>
      <c r="O52" s="1" t="s">
        <v>528</v>
      </c>
      <c r="P52" s="1" t="s">
        <v>591</v>
      </c>
    </row>
    <row r="53" spans="1:16" hidden="1" x14ac:dyDescent="0.25">
      <c r="A53" s="15" t="s">
        <v>732</v>
      </c>
      <c r="B53" s="16" t="s">
        <v>715</v>
      </c>
      <c r="C53" s="1" t="s">
        <v>59</v>
      </c>
      <c r="D53" s="1" t="str">
        <f>VLOOKUP($C53,Sheet2!$A$2:$B$10,2,0)</f>
        <v>114010-50820</v>
      </c>
      <c r="E53" s="7" t="s">
        <v>60</v>
      </c>
      <c r="F53" s="12">
        <v>45975</v>
      </c>
      <c r="G53" s="13">
        <v>0.8125</v>
      </c>
      <c r="H53" s="1" t="s">
        <v>52</v>
      </c>
      <c r="I53" s="1" t="s">
        <v>10</v>
      </c>
      <c r="J53" s="1">
        <v>13</v>
      </c>
      <c r="K53" s="14">
        <f>VLOOKUP($C53,Sheet2!$A$2:$D$10,4,0)</f>
        <v>1</v>
      </c>
      <c r="L53" s="14" t="str">
        <f>VLOOKUP($C53,Sheet2!$A$2:$E$10,5,0)</f>
        <v>Bin</v>
      </c>
      <c r="M53" s="14">
        <f t="shared" si="7"/>
        <v>13</v>
      </c>
      <c r="N53" s="1"/>
      <c r="O53" s="1" t="s">
        <v>528</v>
      </c>
      <c r="P53" s="1" t="s">
        <v>582</v>
      </c>
    </row>
    <row r="54" spans="1:16" hidden="1" x14ac:dyDescent="0.25">
      <c r="A54" s="15" t="s">
        <v>732</v>
      </c>
      <c r="B54" s="16" t="s">
        <v>721</v>
      </c>
      <c r="C54" s="1" t="s">
        <v>67</v>
      </c>
      <c r="D54" s="1" t="str">
        <f>VLOOKUP($C54,Sheet2!$A$2:$B$10,2,0)</f>
        <v>114010-50830</v>
      </c>
      <c r="E54" s="7" t="s">
        <v>60</v>
      </c>
      <c r="F54" s="12">
        <v>45975</v>
      </c>
      <c r="G54" s="13">
        <v>0.8125</v>
      </c>
      <c r="H54" s="1" t="s">
        <v>52</v>
      </c>
      <c r="I54" s="1" t="s">
        <v>10</v>
      </c>
      <c r="J54" s="1">
        <v>17</v>
      </c>
      <c r="K54" s="14">
        <f>VLOOKUP($C54,Sheet2!$A$2:$D$10,4,0)</f>
        <v>1</v>
      </c>
      <c r="L54" s="14" t="str">
        <f>VLOOKUP($C54,Sheet2!$A$2:$E$10,5,0)</f>
        <v>Bin</v>
      </c>
      <c r="M54" s="14">
        <f t="shared" si="7"/>
        <v>17</v>
      </c>
      <c r="N54" s="1"/>
      <c r="O54" s="1" t="s">
        <v>528</v>
      </c>
      <c r="P54" s="1" t="s">
        <v>587</v>
      </c>
    </row>
    <row r="55" spans="1:16" s="20" customFormat="1" hidden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>
        <v>108</v>
      </c>
      <c r="N55" s="9">
        <v>7</v>
      </c>
      <c r="O55" s="9"/>
      <c r="P55" s="9"/>
    </row>
    <row r="59" spans="1:16" x14ac:dyDescent="0.25">
      <c r="G59" s="40"/>
    </row>
  </sheetData>
  <autoFilter ref="A3:P55" xr:uid="{EAB0080B-0321-4971-A16E-B5A74203C678}">
    <filterColumn colId="15">
      <filters>
        <filter val="12508Q100183-4 Qty. / 12508Q100188 - 4 Qty."/>
        <filter val="12508Q100188"/>
      </filters>
    </filterColumn>
  </autoFilter>
  <mergeCells count="8">
    <mergeCell ref="N36:N37"/>
    <mergeCell ref="N45:N46"/>
    <mergeCell ref="A1:F1"/>
    <mergeCell ref="J1:N1"/>
    <mergeCell ref="L2:N2"/>
    <mergeCell ref="N4:N5"/>
    <mergeCell ref="N6:N7"/>
    <mergeCell ref="N26:N27"/>
  </mergeCells>
  <phoneticPr fontId="6" type="noConversion"/>
  <conditionalFormatting sqref="B2">
    <cfRule type="duplicateValues" dxfId="578" priority="49"/>
    <cfRule type="duplicateValues" dxfId="577" priority="48"/>
  </conditionalFormatting>
  <conditionalFormatting sqref="B4:B24 B26:B34 B36:B54">
    <cfRule type="duplicateValues" dxfId="576" priority="35"/>
  </conditionalFormatting>
  <conditionalFormatting sqref="C2:D2">
    <cfRule type="duplicateValues" dxfId="575" priority="51"/>
    <cfRule type="duplicateValues" dxfId="574" priority="50"/>
  </conditionalFormatting>
  <conditionalFormatting sqref="D3">
    <cfRule type="duplicateValues" dxfId="571" priority="47"/>
    <cfRule type="duplicateValues" dxfId="570" priority="46"/>
  </conditionalFormatting>
  <conditionalFormatting sqref="D25">
    <cfRule type="duplicateValues" dxfId="565" priority="23"/>
    <cfRule type="duplicateValues" dxfId="564" priority="22"/>
  </conditionalFormatting>
  <conditionalFormatting sqref="D35">
    <cfRule type="duplicateValues" dxfId="563" priority="16"/>
    <cfRule type="duplicateValues" dxfId="561" priority="17"/>
  </conditionalFormatting>
  <conditionalFormatting sqref="D55">
    <cfRule type="duplicateValues" dxfId="560" priority="4"/>
    <cfRule type="duplicateValues" dxfId="559" priority="5"/>
  </conditionalFormatting>
  <pageMargins left="0.17" right="0.17" top="0.18" bottom="0.17" header="0.17" footer="0.17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0" operator="containsText" text="17521M68PA0" id="{4AA47FFE-C79A-4489-AFF0-7C74C28E6D26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C4:D24 C26:D34 C36:D54</xm:sqref>
        </x14:conditionalFormatting>
        <x14:conditionalFormatting xmlns:xm="http://schemas.microsoft.com/office/excel/2006/main">
          <x14:cfRule type="containsText" priority="56" operator="containsText" text="17521M68PA0" id="{1558D19C-40C4-49CE-8077-212E034CC17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26" operator="containsText" text="17521M74T00" id="{0C7FA119-E406-44F3-94D3-603FCF3008B0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27" operator="containsText" text="17521M68PA0" id="{3CE7698F-0F46-4315-A0CF-8A43DC6C985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8" operator="containsText" text="17521M74T00" id="{047A3A68-57FE-40D4-BC22-BBFF9B6DC4C8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D4:D24 D26:D34 D36:D54</xm:sqref>
        </x14:conditionalFormatting>
        <x14:conditionalFormatting xmlns:xm="http://schemas.microsoft.com/office/excel/2006/main">
          <x14:cfRule type="containsText" priority="24" operator="containsText" text="17521M68PA0" id="{129E6EA9-C3F6-4766-BD12-D563E3DAADD3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containsText" priority="18" operator="containsText" text="17521M68PA0" id="{A24914B2-5B5E-4A93-A790-0F5F9DC95AA3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containsText" priority="6" operator="containsText" text="17521M68PA0" id="{5250ABAB-5537-440C-BA84-6675622CF1FB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D55</xm:sqref>
        </x14:conditionalFormatting>
        <x14:conditionalFormatting xmlns:xm="http://schemas.microsoft.com/office/excel/2006/main">
          <x14:cfRule type="containsText" priority="52" operator="containsText" text="17521M68PA0" id="{6D966ECF-34F3-4DE2-8BFA-5B42181134E9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3" operator="containsText" text="17521M74T00" id="{60ECBE52-AACC-4AB4-86E5-596846A2A536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3" operator="containsText" text="BELT,WATER PUMP - 7PK 975" id="{D43E4A3E-8ED8-4D65-80AF-AB87B4BF70E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42" operator="containsText" text="BELT,WATER PUMP - 5PK 913" id="{6F728E3D-451B-44DB-ABFD-160CA3E3DAC0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E3:E55</xm:sqref>
        </x14:conditionalFormatting>
        <x14:conditionalFormatting xmlns:xm="http://schemas.microsoft.com/office/excel/2006/main">
          <x14:cfRule type="containsText" priority="19" operator="containsText" text="BELT,WATER PUMP - 7PK 975" id="{8DC29022-FAC5-495D-903D-F2910A62B31D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E25</xm:sqref>
        </x14:conditionalFormatting>
        <x14:conditionalFormatting xmlns:xm="http://schemas.microsoft.com/office/excel/2006/main">
          <x14:cfRule type="containsText" priority="13" operator="containsText" text="BELT,WATER PUMP - 7PK 975" id="{001A1A46-7AC3-4D26-8F6E-9678F635C035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E35</xm:sqref>
        </x14:conditionalFormatting>
        <x14:conditionalFormatting xmlns:xm="http://schemas.microsoft.com/office/excel/2006/main">
          <x14:cfRule type="containsText" priority="1" operator="containsText" text="BELT,WATER PUMP - 7PK 975" id="{51EFC885-0149-421C-B6F4-8FA7A5582F0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E55</xm:sqref>
        </x14:conditionalFormatting>
        <x14:conditionalFormatting xmlns:xm="http://schemas.microsoft.com/office/excel/2006/main">
          <x14:cfRule type="containsText" priority="54" operator="containsText" text="BELT,WATER PUMP - 5PK 913" id="{2DBCE8C9-EBEB-4299-8041-BDCC8B4EF04E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5" operator="containsText" text="BELT,WATER PUMP - 7PK 975" id="{21DB237C-8BD4-4314-BA3C-07F34731DCA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4" operator="containsText" text="5PK 913" id="{57B2A05F-F180-4EAE-B79E-99E8C56D0C61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5" operator="containsText" text="7PK 975" id="{64957BC2-EE44-4024-8C39-5951ADD464C1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1" operator="containsText" text="7PK 975" id="{12F7FAF1-4FF8-4219-96AA-BBC7FDEC27D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text="5PK 913" id="{F7B24252-F591-43D1-BBC8-4E246127649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P25</xm:sqref>
        </x14:conditionalFormatting>
        <x14:conditionalFormatting xmlns:xm="http://schemas.microsoft.com/office/excel/2006/main">
          <x14:cfRule type="containsText" priority="14" operator="containsText" text="5PK 913" id="{04151FA9-E7AE-4264-B804-05AA58089E47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5" operator="containsText" text="7PK 975" id="{D8EF3457-0551-48F6-A7E5-F2746DE3A8F4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P35</xm:sqref>
        </x14:conditionalFormatting>
        <x14:conditionalFormatting xmlns:xm="http://schemas.microsoft.com/office/excel/2006/main">
          <x14:cfRule type="containsText" priority="2" operator="containsText" text="5PK 913" id="{F218129E-0752-4351-865C-7C99D87D312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7PK 975" id="{9A48DD4E-C2ED-428C-8EC5-F715C8C6CE7B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P55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1B97-F79B-45B7-B504-B5D44D080DBB}">
  <dimension ref="A1:S13"/>
  <sheetViews>
    <sheetView workbookViewId="0">
      <selection activeCell="G12" sqref="G12"/>
    </sheetView>
  </sheetViews>
  <sheetFormatPr defaultColWidth="81.7109375" defaultRowHeight="15" x14ac:dyDescent="0.25"/>
  <cols>
    <col min="1" max="1" width="7.5703125" bestFit="1" customWidth="1"/>
    <col min="2" max="2" width="15" bestFit="1" customWidth="1"/>
    <col min="3" max="3" width="15" customWidth="1"/>
    <col min="4" max="4" width="15" bestFit="1" customWidth="1"/>
    <col min="5" max="5" width="12.5703125" bestFit="1" customWidth="1"/>
    <col min="6" max="6" width="13.28515625" bestFit="1" customWidth="1"/>
    <col min="7" max="7" width="13.42578125" bestFit="1" customWidth="1"/>
    <col min="8" max="8" width="18.7109375" bestFit="1" customWidth="1"/>
    <col min="9" max="9" width="14" customWidth="1"/>
    <col min="10" max="10" width="17.28515625" bestFit="1" customWidth="1"/>
    <col min="11" max="11" width="8.42578125" bestFit="1" customWidth="1"/>
    <col min="12" max="12" width="9.5703125" bestFit="1" customWidth="1"/>
    <col min="13" max="13" width="17.5703125" bestFit="1" customWidth="1"/>
    <col min="14" max="14" width="16.5703125" bestFit="1" customWidth="1"/>
    <col min="15" max="15" width="16.7109375" bestFit="1" customWidth="1"/>
    <col min="16" max="16" width="7" bestFit="1" customWidth="1"/>
    <col min="17" max="17" width="7.7109375" bestFit="1" customWidth="1"/>
    <col min="18" max="18" width="8.5703125" bestFit="1" customWidth="1"/>
    <col min="19" max="19" width="21.85546875" bestFit="1" customWidth="1"/>
  </cols>
  <sheetData>
    <row r="1" spans="1:19" ht="35.25" customHeight="1" thickBot="1" x14ac:dyDescent="0.3">
      <c r="A1" s="34" t="s">
        <v>733</v>
      </c>
      <c r="B1" s="35" t="s">
        <v>654</v>
      </c>
      <c r="C1" s="9" t="s">
        <v>75</v>
      </c>
      <c r="D1" s="35" t="s">
        <v>655</v>
      </c>
      <c r="E1" s="35" t="s">
        <v>656</v>
      </c>
      <c r="F1" s="35" t="s">
        <v>661</v>
      </c>
      <c r="G1" s="35" t="s">
        <v>657</v>
      </c>
      <c r="H1" s="35" t="s">
        <v>658</v>
      </c>
      <c r="I1" s="9" t="s">
        <v>79</v>
      </c>
      <c r="J1" s="9" t="s">
        <v>83</v>
      </c>
      <c r="K1" s="35" t="s">
        <v>660</v>
      </c>
      <c r="L1" s="35" t="s">
        <v>662</v>
      </c>
      <c r="M1" s="35" t="s">
        <v>659</v>
      </c>
      <c r="N1" s="35" t="s">
        <v>663</v>
      </c>
      <c r="O1" s="35" t="s">
        <v>664</v>
      </c>
      <c r="P1" s="35" t="s">
        <v>665</v>
      </c>
      <c r="Q1" s="35" t="s">
        <v>666</v>
      </c>
      <c r="R1" s="35" t="s">
        <v>667</v>
      </c>
      <c r="S1" s="36" t="s">
        <v>668</v>
      </c>
    </row>
    <row r="2" spans="1:19" ht="15.75" thickBot="1" x14ac:dyDescent="0.3">
      <c r="A2" s="32" t="s">
        <v>734</v>
      </c>
      <c r="B2" s="33">
        <v>45954</v>
      </c>
      <c r="C2" s="16" t="s">
        <v>750</v>
      </c>
      <c r="D2" s="33">
        <v>45975</v>
      </c>
      <c r="E2" s="32" t="s">
        <v>669</v>
      </c>
      <c r="F2" s="32" t="s">
        <v>746</v>
      </c>
      <c r="G2" s="32" t="s">
        <v>745</v>
      </c>
      <c r="H2" s="32">
        <v>30</v>
      </c>
      <c r="I2" s="32">
        <v>6</v>
      </c>
      <c r="J2" s="32" t="s">
        <v>752</v>
      </c>
      <c r="K2" s="32" t="s">
        <v>735</v>
      </c>
      <c r="L2" s="32" t="s">
        <v>671</v>
      </c>
      <c r="M2" s="32">
        <v>1</v>
      </c>
      <c r="N2" s="32" t="s">
        <v>737</v>
      </c>
      <c r="O2" s="32" t="s">
        <v>738</v>
      </c>
      <c r="P2" s="32">
        <v>7144.5</v>
      </c>
      <c r="Q2" s="32"/>
      <c r="R2" s="32"/>
      <c r="S2" s="37" t="s">
        <v>739</v>
      </c>
    </row>
    <row r="3" spans="1:19" ht="15.75" thickBot="1" x14ac:dyDescent="0.3">
      <c r="A3" s="32" t="s">
        <v>734</v>
      </c>
      <c r="B3" s="33">
        <v>45975</v>
      </c>
      <c r="C3" s="16" t="s">
        <v>725</v>
      </c>
      <c r="D3" s="32"/>
      <c r="E3" s="32" t="s">
        <v>669</v>
      </c>
      <c r="F3" s="32" t="s">
        <v>736</v>
      </c>
      <c r="G3" s="32" t="s">
        <v>23</v>
      </c>
      <c r="H3" s="32">
        <v>100</v>
      </c>
      <c r="I3" s="32">
        <v>1</v>
      </c>
      <c r="J3" s="32" t="s">
        <v>752</v>
      </c>
      <c r="K3" s="32" t="s">
        <v>735</v>
      </c>
      <c r="L3" s="32" t="s">
        <v>671</v>
      </c>
      <c r="M3" s="32">
        <v>2</v>
      </c>
      <c r="N3" s="32" t="s">
        <v>737</v>
      </c>
      <c r="O3" s="32" t="s">
        <v>738</v>
      </c>
      <c r="P3" s="32">
        <v>4259</v>
      </c>
      <c r="Q3" s="32"/>
      <c r="R3" s="32"/>
      <c r="S3" s="37" t="s">
        <v>739</v>
      </c>
    </row>
    <row r="4" spans="1:19" ht="15.75" thickBot="1" x14ac:dyDescent="0.3">
      <c r="A4" s="32" t="s">
        <v>734</v>
      </c>
      <c r="B4" s="33">
        <v>45954</v>
      </c>
      <c r="C4" s="16" t="s">
        <v>726</v>
      </c>
      <c r="D4" s="33">
        <v>45975</v>
      </c>
      <c r="E4" s="32" t="s">
        <v>669</v>
      </c>
      <c r="F4" s="32" t="s">
        <v>748</v>
      </c>
      <c r="G4" s="32" t="s">
        <v>747</v>
      </c>
      <c r="H4" s="32">
        <v>30</v>
      </c>
      <c r="I4" s="32">
        <v>10</v>
      </c>
      <c r="J4" s="32" t="s">
        <v>752</v>
      </c>
      <c r="K4" s="32" t="s">
        <v>735</v>
      </c>
      <c r="L4" s="32" t="s">
        <v>671</v>
      </c>
      <c r="M4" s="32">
        <v>3</v>
      </c>
      <c r="N4" s="32" t="s">
        <v>737</v>
      </c>
      <c r="O4" s="32" t="s">
        <v>738</v>
      </c>
      <c r="P4" s="32">
        <v>3917.5</v>
      </c>
      <c r="Q4" s="32"/>
      <c r="R4" s="32"/>
      <c r="S4" s="37" t="s">
        <v>739</v>
      </c>
    </row>
    <row r="5" spans="1:19" ht="15.75" thickBot="1" x14ac:dyDescent="0.3">
      <c r="A5" s="32" t="s">
        <v>734</v>
      </c>
      <c r="B5" s="33">
        <v>45975</v>
      </c>
      <c r="C5" s="16" t="s">
        <v>727</v>
      </c>
      <c r="D5" s="32"/>
      <c r="E5" s="32" t="s">
        <v>669</v>
      </c>
      <c r="F5" s="32" t="s">
        <v>740</v>
      </c>
      <c r="G5" s="32" t="s">
        <v>45</v>
      </c>
      <c r="H5" s="32">
        <v>100</v>
      </c>
      <c r="I5" s="32">
        <v>1</v>
      </c>
      <c r="J5" s="32" t="s">
        <v>752</v>
      </c>
      <c r="K5" s="32" t="s">
        <v>735</v>
      </c>
      <c r="L5" s="32" t="s">
        <v>671</v>
      </c>
      <c r="M5" s="32">
        <v>4</v>
      </c>
      <c r="N5" s="32" t="s">
        <v>737</v>
      </c>
      <c r="O5" s="32" t="s">
        <v>738</v>
      </c>
      <c r="P5" s="32">
        <v>3733.5</v>
      </c>
      <c r="Q5" s="32"/>
      <c r="R5" s="32"/>
      <c r="S5" s="37" t="s">
        <v>739</v>
      </c>
    </row>
    <row r="6" spans="1:19" ht="15.75" thickBot="1" x14ac:dyDescent="0.3">
      <c r="A6" s="32" t="s">
        <v>734</v>
      </c>
      <c r="B6" s="33">
        <v>45975</v>
      </c>
      <c r="C6" s="16" t="s">
        <v>728</v>
      </c>
      <c r="D6" s="32"/>
      <c r="E6" s="32" t="s">
        <v>669</v>
      </c>
      <c r="F6" s="32" t="s">
        <v>742</v>
      </c>
      <c r="G6" s="32" t="s">
        <v>741</v>
      </c>
      <c r="H6" s="32">
        <v>120</v>
      </c>
      <c r="I6" s="32">
        <v>10</v>
      </c>
      <c r="J6" s="32" t="s">
        <v>752</v>
      </c>
      <c r="K6" s="32" t="s">
        <v>735</v>
      </c>
      <c r="L6" s="32" t="s">
        <v>671</v>
      </c>
      <c r="M6" s="32">
        <v>5</v>
      </c>
      <c r="N6" s="32" t="s">
        <v>737</v>
      </c>
      <c r="O6" s="32" t="s">
        <v>738</v>
      </c>
      <c r="P6" s="32">
        <v>460</v>
      </c>
      <c r="Q6" s="32"/>
      <c r="R6" s="32"/>
      <c r="S6" s="37" t="s">
        <v>739</v>
      </c>
    </row>
    <row r="7" spans="1:19" ht="15.75" thickBot="1" x14ac:dyDescent="0.3">
      <c r="A7" s="32" t="s">
        <v>734</v>
      </c>
      <c r="B7" s="33">
        <v>45975</v>
      </c>
      <c r="C7" s="16" t="s">
        <v>729</v>
      </c>
      <c r="D7" s="32"/>
      <c r="E7" s="32" t="s">
        <v>669</v>
      </c>
      <c r="F7" s="32" t="s">
        <v>744</v>
      </c>
      <c r="G7" s="32" t="s">
        <v>743</v>
      </c>
      <c r="H7" s="32">
        <v>120</v>
      </c>
      <c r="I7" s="32">
        <v>10</v>
      </c>
      <c r="J7" s="32" t="s">
        <v>752</v>
      </c>
      <c r="K7" s="32" t="s">
        <v>735</v>
      </c>
      <c r="L7" s="32" t="s">
        <v>671</v>
      </c>
      <c r="M7" s="32">
        <v>6</v>
      </c>
      <c r="N7" s="32" t="s">
        <v>737</v>
      </c>
      <c r="O7" s="32" t="s">
        <v>738</v>
      </c>
      <c r="P7" s="32">
        <v>751</v>
      </c>
      <c r="Q7" s="32"/>
      <c r="R7" s="32"/>
      <c r="S7" s="38" t="s">
        <v>739</v>
      </c>
    </row>
    <row r="13" spans="1:19" ht="15" customHeight="1" x14ac:dyDescent="0.25">
      <c r="A13" s="39" t="s">
        <v>749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</row>
  </sheetData>
  <autoFilter ref="A1:S1" xr:uid="{53CD1B97-F79B-45B7-B504-B5D44D080DBB}"/>
  <phoneticPr fontId="6" type="noConversion"/>
  <hyperlinks>
    <hyperlink ref="A13" r:id="rId1" display="http://192.168.1.249/downloads/temp/X53920251113Spares.log" xr:uid="{4BF36886-968D-470B-87F8-57122A4D80FA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6EF3-C2DC-472F-83D9-F75C406508EB}">
  <sheetPr filterMode="1">
    <pageSetUpPr fitToPage="1"/>
  </sheetPr>
  <dimension ref="A1:P40"/>
  <sheetViews>
    <sheetView workbookViewId="0">
      <selection activeCell="E47" sqref="E47"/>
    </sheetView>
  </sheetViews>
  <sheetFormatPr defaultColWidth="55.140625" defaultRowHeight="15" x14ac:dyDescent="0.25"/>
  <cols>
    <col min="1" max="1" width="15.140625" bestFit="1" customWidth="1"/>
    <col min="2" max="2" width="16.7109375" bestFit="1" customWidth="1"/>
    <col min="3" max="4" width="14.140625" customWidth="1"/>
    <col min="5" max="5" width="32.5703125" bestFit="1" customWidth="1"/>
    <col min="6" max="7" width="10.42578125" customWidth="1"/>
    <col min="8" max="8" width="13" customWidth="1"/>
    <col min="9" max="9" width="4.7109375" bestFit="1" customWidth="1"/>
    <col min="10" max="10" width="8" bestFit="1" customWidth="1"/>
    <col min="11" max="11" width="9" customWidth="1"/>
    <col min="12" max="12" width="10.7109375" customWidth="1"/>
    <col min="13" max="13" width="7.140625" bestFit="1" customWidth="1"/>
    <col min="14" max="14" width="7.85546875" bestFit="1" customWidth="1"/>
    <col min="15" max="15" width="15.28515625" customWidth="1"/>
    <col min="16" max="16" width="49.28515625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45976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30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hidden="1" x14ac:dyDescent="0.25">
      <c r="A4" s="15" t="s">
        <v>790</v>
      </c>
      <c r="B4" s="16" t="s">
        <v>753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45976</v>
      </c>
      <c r="G4" s="13">
        <v>0.27083333333333331</v>
      </c>
      <c r="H4" s="1" t="s">
        <v>9</v>
      </c>
      <c r="I4" s="1" t="s">
        <v>10</v>
      </c>
      <c r="J4" s="1">
        <v>36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2</v>
      </c>
      <c r="O4" s="1" t="s">
        <v>171</v>
      </c>
      <c r="P4" s="1" t="s">
        <v>788</v>
      </c>
    </row>
    <row r="5" spans="1:16" hidden="1" x14ac:dyDescent="0.25">
      <c r="A5" s="15" t="s">
        <v>790</v>
      </c>
      <c r="B5" s="16" t="s">
        <v>757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45976</v>
      </c>
      <c r="G5" s="13">
        <v>0.27083333333333331</v>
      </c>
      <c r="H5" s="1" t="s">
        <v>9</v>
      </c>
      <c r="I5" s="1" t="s">
        <v>10</v>
      </c>
      <c r="J5" s="1">
        <v>36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171</v>
      </c>
      <c r="P5" s="1" t="s">
        <v>788</v>
      </c>
    </row>
    <row r="6" spans="1:16" hidden="1" x14ac:dyDescent="0.25">
      <c r="A6" s="15" t="s">
        <v>790</v>
      </c>
      <c r="B6" s="16" t="s">
        <v>761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45976</v>
      </c>
      <c r="G6" s="13">
        <v>0.27083333333333331</v>
      </c>
      <c r="H6" s="1" t="s">
        <v>9</v>
      </c>
      <c r="I6" s="1" t="s">
        <v>10</v>
      </c>
      <c r="J6" s="1">
        <v>80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2</v>
      </c>
      <c r="O6" s="1" t="s">
        <v>171</v>
      </c>
      <c r="P6" s="1">
        <v>910101985</v>
      </c>
    </row>
    <row r="7" spans="1:16" x14ac:dyDescent="0.25">
      <c r="A7" s="15" t="s">
        <v>790</v>
      </c>
      <c r="B7" s="16" t="s">
        <v>765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45976</v>
      </c>
      <c r="G7" s="13">
        <v>0.27083333333333331</v>
      </c>
      <c r="H7" s="1" t="s">
        <v>31</v>
      </c>
      <c r="I7" s="1" t="s">
        <v>10</v>
      </c>
      <c r="J7" s="1">
        <v>30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15</v>
      </c>
      <c r="N7" s="1"/>
      <c r="O7" s="1" t="s">
        <v>171</v>
      </c>
      <c r="P7" s="1" t="s">
        <v>1018</v>
      </c>
    </row>
    <row r="8" spans="1:16" x14ac:dyDescent="0.25">
      <c r="A8" s="15" t="s">
        <v>790</v>
      </c>
      <c r="B8" s="16" t="s">
        <v>766</v>
      </c>
      <c r="C8" s="1" t="s">
        <v>29</v>
      </c>
      <c r="D8" s="1" t="str">
        <f>VLOOKUP($C8,Sheet2!$A$2:$B$10,2,0)</f>
        <v>141140-91211</v>
      </c>
      <c r="E8" s="7" t="s">
        <v>30</v>
      </c>
      <c r="F8" s="12">
        <v>45976</v>
      </c>
      <c r="G8" s="13">
        <v>0.27083333333333331</v>
      </c>
      <c r="H8" s="1" t="s">
        <v>31</v>
      </c>
      <c r="I8" s="1" t="s">
        <v>10</v>
      </c>
      <c r="J8" s="1">
        <v>6</v>
      </c>
      <c r="K8" s="14">
        <f>VLOOKUP($C8,Sheet2!$A$2:$D$10,4,0)</f>
        <v>2</v>
      </c>
      <c r="L8" s="14" t="str">
        <f>VLOOKUP($C8,Sheet2!$A$2:$E$10,5,0)</f>
        <v>Bin</v>
      </c>
      <c r="M8" s="14">
        <f t="shared" ref="M8:M10" si="0">J8/K8</f>
        <v>3</v>
      </c>
      <c r="N8" s="1"/>
      <c r="O8" s="1" t="s">
        <v>171</v>
      </c>
      <c r="P8" s="1" t="s">
        <v>1018</v>
      </c>
    </row>
    <row r="9" spans="1:16" x14ac:dyDescent="0.25">
      <c r="A9" s="15" t="s">
        <v>790</v>
      </c>
      <c r="B9" s="16" t="s">
        <v>768</v>
      </c>
      <c r="C9" s="1" t="s">
        <v>37</v>
      </c>
      <c r="D9" s="1" t="str">
        <f>VLOOKUP($C9,Sheet2!$A$2:$B$10,2,0)</f>
        <v>141150-91211</v>
      </c>
      <c r="E9" s="7" t="s">
        <v>38</v>
      </c>
      <c r="F9" s="12">
        <v>45976</v>
      </c>
      <c r="G9" s="13">
        <v>0.27083333333333331</v>
      </c>
      <c r="H9" s="1" t="s">
        <v>31</v>
      </c>
      <c r="I9" s="1" t="s">
        <v>10</v>
      </c>
      <c r="J9" s="1">
        <v>30</v>
      </c>
      <c r="K9" s="14">
        <f>VLOOKUP($C9,Sheet2!$A$2:$D$10,4,0)</f>
        <v>2</v>
      </c>
      <c r="L9" s="14" t="str">
        <f>VLOOKUP($C9,Sheet2!$A$2:$E$10,5,0)</f>
        <v>Bin</v>
      </c>
      <c r="M9" s="14">
        <f t="shared" si="0"/>
        <v>15</v>
      </c>
      <c r="N9" s="1"/>
      <c r="O9" s="1" t="s">
        <v>171</v>
      </c>
      <c r="P9" s="1" t="s">
        <v>1018</v>
      </c>
    </row>
    <row r="10" spans="1:16" x14ac:dyDescent="0.25">
      <c r="A10" s="15" t="s">
        <v>790</v>
      </c>
      <c r="B10" s="16" t="s">
        <v>769</v>
      </c>
      <c r="C10" s="1" t="s">
        <v>37</v>
      </c>
      <c r="D10" s="1" t="str">
        <f>VLOOKUP($C10,Sheet2!$A$2:$B$10,2,0)</f>
        <v>141150-91211</v>
      </c>
      <c r="E10" s="7" t="s">
        <v>38</v>
      </c>
      <c r="F10" s="12">
        <v>45976</v>
      </c>
      <c r="G10" s="13">
        <v>0.27083333333333331</v>
      </c>
      <c r="H10" s="1" t="s">
        <v>31</v>
      </c>
      <c r="I10" s="1" t="s">
        <v>10</v>
      </c>
      <c r="J10" s="1">
        <v>6</v>
      </c>
      <c r="K10" s="14">
        <f>VLOOKUP($C10,Sheet2!$A$2:$D$10,4,0)</f>
        <v>2</v>
      </c>
      <c r="L10" s="14" t="str">
        <f>VLOOKUP($C10,Sheet2!$A$2:$E$10,5,0)</f>
        <v>Bin</v>
      </c>
      <c r="M10" s="14">
        <f t="shared" si="0"/>
        <v>3</v>
      </c>
      <c r="N10" s="1"/>
      <c r="O10" s="1" t="s">
        <v>171</v>
      </c>
      <c r="P10" s="1" t="s">
        <v>1018</v>
      </c>
    </row>
    <row r="11" spans="1:16" hidden="1" x14ac:dyDescent="0.25">
      <c r="A11" s="15" t="s">
        <v>790</v>
      </c>
      <c r="B11" s="16" t="s">
        <v>772</v>
      </c>
      <c r="C11" s="1" t="s">
        <v>45</v>
      </c>
      <c r="D11" s="1" t="str">
        <f>VLOOKUP($C11,Sheet2!$A$2:$B$10,2,0)</f>
        <v>141186-74360</v>
      </c>
      <c r="E11" s="7" t="s">
        <v>46</v>
      </c>
      <c r="F11" s="12">
        <v>45976</v>
      </c>
      <c r="G11" s="13">
        <v>0.27083333333333331</v>
      </c>
      <c r="H11" s="1" t="s">
        <v>31</v>
      </c>
      <c r="I11" s="1" t="s">
        <v>10</v>
      </c>
      <c r="J11" s="1">
        <v>40</v>
      </c>
      <c r="K11" s="14">
        <f>VLOOKUP($C11,Sheet2!$A$2:$D$10,4,0)</f>
        <v>40</v>
      </c>
      <c r="L11" s="14" t="str">
        <f>VLOOKUP($C11,Sheet2!$A$2:$E$10,5,0)</f>
        <v>Trolley</v>
      </c>
      <c r="M11" s="14"/>
      <c r="N11" s="1">
        <f>J11/K11</f>
        <v>1</v>
      </c>
      <c r="O11" s="1" t="s">
        <v>171</v>
      </c>
      <c r="P11" s="1" t="s">
        <v>798</v>
      </c>
    </row>
    <row r="12" spans="1:16" hidden="1" x14ac:dyDescent="0.25">
      <c r="A12" s="15" t="s">
        <v>791</v>
      </c>
      <c r="B12" s="16" t="s">
        <v>773</v>
      </c>
      <c r="C12" s="1" t="s">
        <v>50</v>
      </c>
      <c r="D12" s="1" t="str">
        <f>VLOOKUP($C12,Sheet2!$A$2:$B$10,2,0)</f>
        <v>116040-92240</v>
      </c>
      <c r="E12" s="7" t="s">
        <v>51</v>
      </c>
      <c r="F12" s="12">
        <v>45976</v>
      </c>
      <c r="G12" s="13">
        <v>0.27083333333333331</v>
      </c>
      <c r="H12" s="1" t="s">
        <v>52</v>
      </c>
      <c r="I12" s="1" t="s">
        <v>10</v>
      </c>
      <c r="J12" s="1">
        <v>30</v>
      </c>
      <c r="K12" s="14">
        <f>VLOOKUP($C12,Sheet2!$A$2:$D$10,4,0)</f>
        <v>6</v>
      </c>
      <c r="L12" s="14" t="str">
        <f>VLOOKUP($C12,Sheet2!$A$2:$E$10,5,0)</f>
        <v>Bin</v>
      </c>
      <c r="M12" s="14">
        <f t="shared" ref="M12:M17" si="1">J12/K12</f>
        <v>5</v>
      </c>
      <c r="N12" s="1"/>
      <c r="O12" s="1" t="s">
        <v>171</v>
      </c>
      <c r="P12" s="1" t="s">
        <v>591</v>
      </c>
    </row>
    <row r="13" spans="1:16" hidden="1" x14ac:dyDescent="0.25">
      <c r="A13" s="15" t="s">
        <v>791</v>
      </c>
      <c r="B13" s="16" t="s">
        <v>774</v>
      </c>
      <c r="C13" s="1" t="s">
        <v>50</v>
      </c>
      <c r="D13" s="1" t="str">
        <f>VLOOKUP($C13,Sheet2!$A$2:$B$10,2,0)</f>
        <v>116040-92240</v>
      </c>
      <c r="E13" s="7" t="s">
        <v>51</v>
      </c>
      <c r="F13" s="12">
        <v>45976</v>
      </c>
      <c r="G13" s="13">
        <v>0.27083333333333331</v>
      </c>
      <c r="H13" s="1" t="s">
        <v>52</v>
      </c>
      <c r="I13" s="1" t="s">
        <v>10</v>
      </c>
      <c r="J13" s="1">
        <v>6</v>
      </c>
      <c r="K13" s="14">
        <f>VLOOKUP($C13,Sheet2!$A$2:$D$10,4,0)</f>
        <v>6</v>
      </c>
      <c r="L13" s="14" t="str">
        <f>VLOOKUP($C13,Sheet2!$A$2:$E$10,5,0)</f>
        <v>Bin</v>
      </c>
      <c r="M13" s="14">
        <f t="shared" si="1"/>
        <v>1</v>
      </c>
      <c r="N13" s="1"/>
      <c r="O13" s="1" t="s">
        <v>171</v>
      </c>
      <c r="P13" s="1" t="s">
        <v>591</v>
      </c>
    </row>
    <row r="14" spans="1:16" hidden="1" x14ac:dyDescent="0.25">
      <c r="A14" s="15" t="s">
        <v>791</v>
      </c>
      <c r="B14" s="16" t="s">
        <v>778</v>
      </c>
      <c r="C14" s="1" t="s">
        <v>59</v>
      </c>
      <c r="D14" s="1" t="str">
        <f>VLOOKUP($C14,Sheet2!$A$2:$B$10,2,0)</f>
        <v>114010-50820</v>
      </c>
      <c r="E14" s="7" t="s">
        <v>60</v>
      </c>
      <c r="F14" s="12">
        <v>45976</v>
      </c>
      <c r="G14" s="13">
        <v>0.27083333333333331</v>
      </c>
      <c r="H14" s="1" t="s">
        <v>52</v>
      </c>
      <c r="I14" s="1" t="s">
        <v>10</v>
      </c>
      <c r="J14" s="1">
        <v>15</v>
      </c>
      <c r="K14" s="14">
        <f>VLOOKUP($C14,Sheet2!$A$2:$D$10,4,0)</f>
        <v>1</v>
      </c>
      <c r="L14" s="14" t="str">
        <f>VLOOKUP($C14,Sheet2!$A$2:$E$10,5,0)</f>
        <v>Bin</v>
      </c>
      <c r="M14" s="14">
        <f t="shared" si="1"/>
        <v>15</v>
      </c>
      <c r="N14" s="1"/>
      <c r="O14" s="1" t="s">
        <v>171</v>
      </c>
      <c r="P14" s="1" t="s">
        <v>582</v>
      </c>
    </row>
    <row r="15" spans="1:16" hidden="1" x14ac:dyDescent="0.25">
      <c r="A15" s="15" t="s">
        <v>791</v>
      </c>
      <c r="B15" s="16" t="s">
        <v>779</v>
      </c>
      <c r="C15" s="1" t="s">
        <v>59</v>
      </c>
      <c r="D15" s="1" t="str">
        <f>VLOOKUP($C15,Sheet2!$A$2:$B$10,2,0)</f>
        <v>114010-50820</v>
      </c>
      <c r="E15" s="7" t="s">
        <v>60</v>
      </c>
      <c r="F15" s="12">
        <v>45976</v>
      </c>
      <c r="G15" s="13">
        <v>0.27083333333333331</v>
      </c>
      <c r="H15" s="1" t="s">
        <v>52</v>
      </c>
      <c r="I15" s="1" t="s">
        <v>10</v>
      </c>
      <c r="J15" s="1">
        <v>5</v>
      </c>
      <c r="K15" s="14">
        <f>VLOOKUP($C15,Sheet2!$A$2:$D$10,4,0)</f>
        <v>1</v>
      </c>
      <c r="L15" s="14" t="str">
        <f>VLOOKUP($C15,Sheet2!$A$2:$E$10,5,0)</f>
        <v>Bin</v>
      </c>
      <c r="M15" s="14">
        <f t="shared" si="1"/>
        <v>5</v>
      </c>
      <c r="N15" s="1"/>
      <c r="O15" s="1" t="s">
        <v>171</v>
      </c>
      <c r="P15" s="1" t="s">
        <v>582</v>
      </c>
    </row>
    <row r="16" spans="1:16" hidden="1" x14ac:dyDescent="0.25">
      <c r="A16" s="15" t="s">
        <v>791</v>
      </c>
      <c r="B16" s="16" t="s">
        <v>783</v>
      </c>
      <c r="C16" s="1" t="s">
        <v>67</v>
      </c>
      <c r="D16" s="1" t="str">
        <f>VLOOKUP($C16,Sheet2!$A$2:$B$10,2,0)</f>
        <v>114010-50830</v>
      </c>
      <c r="E16" s="7" t="s">
        <v>60</v>
      </c>
      <c r="F16" s="12">
        <v>45976</v>
      </c>
      <c r="G16" s="13">
        <v>0.27083333333333331</v>
      </c>
      <c r="H16" s="1" t="s">
        <v>52</v>
      </c>
      <c r="I16" s="1" t="s">
        <v>10</v>
      </c>
      <c r="J16" s="1">
        <v>15</v>
      </c>
      <c r="K16" s="14">
        <f>VLOOKUP($C16,Sheet2!$A$2:$D$10,4,0)</f>
        <v>1</v>
      </c>
      <c r="L16" s="14" t="str">
        <f>VLOOKUP($C16,Sheet2!$A$2:$E$10,5,0)</f>
        <v>Bin</v>
      </c>
      <c r="M16" s="14">
        <f t="shared" si="1"/>
        <v>15</v>
      </c>
      <c r="N16" s="1"/>
      <c r="O16" s="1" t="s">
        <v>171</v>
      </c>
      <c r="P16" s="1" t="s">
        <v>587</v>
      </c>
    </row>
    <row r="17" spans="1:16" ht="15.75" hidden="1" thickBot="1" x14ac:dyDescent="0.3">
      <c r="A17" s="15" t="s">
        <v>791</v>
      </c>
      <c r="B17" s="16" t="s">
        <v>784</v>
      </c>
      <c r="C17" s="1" t="s">
        <v>67</v>
      </c>
      <c r="D17" s="1" t="str">
        <f>VLOOKUP($C17,Sheet2!$A$2:$B$10,2,0)</f>
        <v>114010-50830</v>
      </c>
      <c r="E17" s="7" t="s">
        <v>60</v>
      </c>
      <c r="F17" s="12">
        <v>45976</v>
      </c>
      <c r="G17" s="19">
        <v>0.27083333333333331</v>
      </c>
      <c r="H17" s="1" t="s">
        <v>52</v>
      </c>
      <c r="I17" s="1" t="s">
        <v>10</v>
      </c>
      <c r="J17" s="1">
        <v>1</v>
      </c>
      <c r="K17" s="14">
        <f>VLOOKUP($C17,Sheet2!$A$2:$D$10,4,0)</f>
        <v>1</v>
      </c>
      <c r="L17" s="14" t="str">
        <f>VLOOKUP($C17,Sheet2!$A$2:$E$10,5,0)</f>
        <v>Bin</v>
      </c>
      <c r="M17" s="14">
        <f t="shared" si="1"/>
        <v>1</v>
      </c>
      <c r="N17" s="1"/>
      <c r="O17" s="1" t="s">
        <v>171</v>
      </c>
      <c r="P17" s="1" t="s">
        <v>587</v>
      </c>
    </row>
    <row r="18" spans="1:16" hidden="1" x14ac:dyDescent="0.25">
      <c r="A18" s="15" t="s">
        <v>792</v>
      </c>
      <c r="B18" s="16" t="s">
        <v>754</v>
      </c>
      <c r="C18" s="1" t="s">
        <v>7</v>
      </c>
      <c r="D18" s="1" t="str">
        <f>VLOOKUP($C18,Sheet2!$A$2:$B$10,2,0)</f>
        <v>141110-14600</v>
      </c>
      <c r="E18" s="7" t="s">
        <v>8</v>
      </c>
      <c r="F18" s="12">
        <v>45976</v>
      </c>
      <c r="G18" s="18">
        <v>0.3125</v>
      </c>
      <c r="H18" s="1" t="s">
        <v>9</v>
      </c>
      <c r="I18" s="1" t="s">
        <v>10</v>
      </c>
      <c r="J18" s="1">
        <v>18</v>
      </c>
      <c r="K18" s="14">
        <f>VLOOKUP($C18,Sheet2!$A$2:$D$10,4,0)</f>
        <v>18</v>
      </c>
      <c r="L18" s="14" t="str">
        <f>VLOOKUP($C18,Sheet2!$A$2:$E$10,5,0)</f>
        <v>Trolley (H)</v>
      </c>
      <c r="M18" s="14"/>
      <c r="N18" s="63">
        <v>1</v>
      </c>
      <c r="O18" s="1" t="s">
        <v>171</v>
      </c>
      <c r="P18" s="1" t="s">
        <v>788</v>
      </c>
    </row>
    <row r="19" spans="1:16" hidden="1" x14ac:dyDescent="0.25">
      <c r="A19" s="15" t="s">
        <v>792</v>
      </c>
      <c r="B19" s="16" t="s">
        <v>758</v>
      </c>
      <c r="C19" s="1" t="s">
        <v>16</v>
      </c>
      <c r="D19" s="1" t="str">
        <f>VLOOKUP($C19,Sheet2!$A$2:$B$10,2,0)</f>
        <v>141120-14600</v>
      </c>
      <c r="E19" s="7" t="s">
        <v>17</v>
      </c>
      <c r="F19" s="12">
        <v>45976</v>
      </c>
      <c r="G19" s="13">
        <v>0.3125</v>
      </c>
      <c r="H19" s="1" t="s">
        <v>9</v>
      </c>
      <c r="I19" s="1" t="s">
        <v>10</v>
      </c>
      <c r="J19" s="1">
        <v>18</v>
      </c>
      <c r="K19" s="14">
        <f>VLOOKUP($C19,Sheet2!$A$2:$D$10,4,0)</f>
        <v>18</v>
      </c>
      <c r="L19" s="14" t="str">
        <f>VLOOKUP($C19,Sheet2!$A$2:$E$10,5,0)</f>
        <v>Trolley (H)</v>
      </c>
      <c r="M19" s="14"/>
      <c r="N19" s="64"/>
      <c r="O19" s="1" t="s">
        <v>171</v>
      </c>
      <c r="P19" s="1" t="s">
        <v>788</v>
      </c>
    </row>
    <row r="20" spans="1:16" hidden="1" x14ac:dyDescent="0.25">
      <c r="A20" s="15" t="s">
        <v>792</v>
      </c>
      <c r="B20" s="16" t="s">
        <v>762</v>
      </c>
      <c r="C20" s="1" t="s">
        <v>23</v>
      </c>
      <c r="D20" s="1" t="str">
        <f>VLOOKUP($C20,Sheet2!$A$2:$B$10,2,0)</f>
        <v>141185-74670</v>
      </c>
      <c r="E20" s="7" t="s">
        <v>24</v>
      </c>
      <c r="F20" s="12">
        <v>45976</v>
      </c>
      <c r="G20" s="13">
        <v>0.3125</v>
      </c>
      <c r="H20" s="1" t="s">
        <v>9</v>
      </c>
      <c r="I20" s="1" t="s">
        <v>10</v>
      </c>
      <c r="J20" s="1">
        <v>40</v>
      </c>
      <c r="K20" s="14">
        <f>VLOOKUP($C20,Sheet2!$A$2:$D$10,4,0)</f>
        <v>40</v>
      </c>
      <c r="L20" s="14" t="str">
        <f>VLOOKUP($C20,Sheet2!$A$2:$E$10,5,0)</f>
        <v>Trolley</v>
      </c>
      <c r="M20" s="14"/>
      <c r="N20" s="1">
        <f>J20/K20</f>
        <v>1</v>
      </c>
      <c r="O20" s="1" t="s">
        <v>171</v>
      </c>
      <c r="P20" s="1">
        <v>910101985</v>
      </c>
    </row>
    <row r="21" spans="1:16" x14ac:dyDescent="0.25">
      <c r="A21" s="15" t="s">
        <v>792</v>
      </c>
      <c r="B21" s="16" t="s">
        <v>767</v>
      </c>
      <c r="C21" s="1" t="s">
        <v>29</v>
      </c>
      <c r="D21" s="1" t="str">
        <f>VLOOKUP($C21,Sheet2!$A$2:$B$10,2,0)</f>
        <v>141140-91211</v>
      </c>
      <c r="E21" s="7" t="s">
        <v>30</v>
      </c>
      <c r="F21" s="12">
        <v>45976</v>
      </c>
      <c r="G21" s="13">
        <v>0.3125</v>
      </c>
      <c r="H21" s="1" t="s">
        <v>31</v>
      </c>
      <c r="I21" s="1" t="s">
        <v>10</v>
      </c>
      <c r="J21" s="1">
        <v>14</v>
      </c>
      <c r="K21" s="14">
        <f>VLOOKUP($C21,Sheet2!$A$2:$D$10,4,0)</f>
        <v>2</v>
      </c>
      <c r="L21" s="14" t="str">
        <f>VLOOKUP($C21,Sheet2!$A$2:$E$10,5,0)</f>
        <v>Bin</v>
      </c>
      <c r="M21" s="14">
        <f t="shared" ref="M21:M25" si="2">J21/K21</f>
        <v>7</v>
      </c>
      <c r="N21" s="1"/>
      <c r="O21" s="1" t="s">
        <v>171</v>
      </c>
      <c r="P21" s="1" t="s">
        <v>1018</v>
      </c>
    </row>
    <row r="22" spans="1:16" x14ac:dyDescent="0.25">
      <c r="A22" s="15" t="s">
        <v>792</v>
      </c>
      <c r="B22" s="16" t="s">
        <v>770</v>
      </c>
      <c r="C22" s="1" t="s">
        <v>37</v>
      </c>
      <c r="D22" s="1" t="str">
        <f>VLOOKUP($C22,Sheet2!$A$2:$B$10,2,0)</f>
        <v>141150-91211</v>
      </c>
      <c r="E22" s="7" t="s">
        <v>38</v>
      </c>
      <c r="F22" s="12">
        <v>45976</v>
      </c>
      <c r="G22" s="13">
        <v>0.3125</v>
      </c>
      <c r="H22" s="1" t="s">
        <v>31</v>
      </c>
      <c r="I22" s="1" t="s">
        <v>10</v>
      </c>
      <c r="J22" s="1">
        <v>22</v>
      </c>
      <c r="K22" s="14">
        <f>VLOOKUP($C22,Sheet2!$A$2:$D$10,4,0)</f>
        <v>2</v>
      </c>
      <c r="L22" s="14" t="str">
        <f>VLOOKUP($C22,Sheet2!$A$2:$E$10,5,0)</f>
        <v>Bin</v>
      </c>
      <c r="M22" s="14">
        <f t="shared" si="2"/>
        <v>11</v>
      </c>
      <c r="N22" s="1"/>
      <c r="O22" s="1" t="s">
        <v>171</v>
      </c>
      <c r="P22" s="1" t="s">
        <v>1018</v>
      </c>
    </row>
    <row r="23" spans="1:16" hidden="1" x14ac:dyDescent="0.25">
      <c r="A23" s="15" t="s">
        <v>793</v>
      </c>
      <c r="B23" s="16" t="s">
        <v>775</v>
      </c>
      <c r="C23" s="1" t="s">
        <v>50</v>
      </c>
      <c r="D23" s="1" t="str">
        <f>VLOOKUP($C23,Sheet2!$A$2:$B$10,2,0)</f>
        <v>116040-92240</v>
      </c>
      <c r="E23" s="7" t="s">
        <v>51</v>
      </c>
      <c r="F23" s="12">
        <v>45976</v>
      </c>
      <c r="G23" s="13">
        <v>0.3125</v>
      </c>
      <c r="H23" s="1" t="s">
        <v>52</v>
      </c>
      <c r="I23" s="1" t="s">
        <v>10</v>
      </c>
      <c r="J23" s="1">
        <v>24</v>
      </c>
      <c r="K23" s="14">
        <f>VLOOKUP($C23,Sheet2!$A$2:$D$10,4,0)</f>
        <v>6</v>
      </c>
      <c r="L23" s="14" t="str">
        <f>VLOOKUP($C23,Sheet2!$A$2:$E$10,5,0)</f>
        <v>Bin</v>
      </c>
      <c r="M23" s="14">
        <f t="shared" si="2"/>
        <v>4</v>
      </c>
      <c r="N23" s="1"/>
      <c r="O23" s="1" t="s">
        <v>171</v>
      </c>
      <c r="P23" s="1" t="s">
        <v>591</v>
      </c>
    </row>
    <row r="24" spans="1:16" hidden="1" x14ac:dyDescent="0.25">
      <c r="A24" s="15" t="s">
        <v>793</v>
      </c>
      <c r="B24" s="16" t="s">
        <v>780</v>
      </c>
      <c r="C24" s="1" t="s">
        <v>59</v>
      </c>
      <c r="D24" s="1" t="str">
        <f>VLOOKUP($C24,Sheet2!$A$2:$B$10,2,0)</f>
        <v>114010-50820</v>
      </c>
      <c r="E24" s="7" t="s">
        <v>60</v>
      </c>
      <c r="F24" s="12">
        <v>45976</v>
      </c>
      <c r="G24" s="13">
        <v>0.3125</v>
      </c>
      <c r="H24" s="1" t="s">
        <v>52</v>
      </c>
      <c r="I24" s="1" t="s">
        <v>10</v>
      </c>
      <c r="J24" s="1">
        <v>11</v>
      </c>
      <c r="K24" s="14">
        <f>VLOOKUP($C24,Sheet2!$A$2:$D$10,4,0)</f>
        <v>1</v>
      </c>
      <c r="L24" s="14" t="str">
        <f>VLOOKUP($C24,Sheet2!$A$2:$E$10,5,0)</f>
        <v>Bin</v>
      </c>
      <c r="M24" s="14">
        <f t="shared" si="2"/>
        <v>11</v>
      </c>
      <c r="N24" s="1"/>
      <c r="O24" s="1" t="s">
        <v>171</v>
      </c>
      <c r="P24" s="1" t="s">
        <v>582</v>
      </c>
    </row>
    <row r="25" spans="1:16" hidden="1" x14ac:dyDescent="0.25">
      <c r="A25" s="15" t="s">
        <v>793</v>
      </c>
      <c r="B25" s="16" t="s">
        <v>785</v>
      </c>
      <c r="C25" s="1" t="s">
        <v>67</v>
      </c>
      <c r="D25" s="1" t="str">
        <f>VLOOKUP($C25,Sheet2!$A$2:$B$10,2,0)</f>
        <v>114010-50830</v>
      </c>
      <c r="E25" s="7" t="s">
        <v>60</v>
      </c>
      <c r="F25" s="12">
        <v>45976</v>
      </c>
      <c r="G25" s="13">
        <v>0.3125</v>
      </c>
      <c r="H25" s="1" t="s">
        <v>52</v>
      </c>
      <c r="I25" s="1" t="s">
        <v>10</v>
      </c>
      <c r="J25" s="1">
        <v>12</v>
      </c>
      <c r="K25" s="14">
        <f>VLOOKUP($C25,Sheet2!$A$2:$D$10,4,0)</f>
        <v>1</v>
      </c>
      <c r="L25" s="14" t="str">
        <f>VLOOKUP($C25,Sheet2!$A$2:$E$10,5,0)</f>
        <v>Bin</v>
      </c>
      <c r="M25" s="14">
        <f t="shared" si="2"/>
        <v>12</v>
      </c>
      <c r="N25" s="1"/>
      <c r="O25" s="1" t="s">
        <v>171</v>
      </c>
      <c r="P25" s="1" t="s">
        <v>587</v>
      </c>
    </row>
    <row r="26" spans="1:16" s="20" customFormat="1" hidden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>
        <v>123</v>
      </c>
      <c r="N26" s="9">
        <v>7</v>
      </c>
      <c r="O26" s="9"/>
      <c r="P26" s="9"/>
    </row>
    <row r="27" spans="1:16" hidden="1" x14ac:dyDescent="0.25">
      <c r="A27" s="15" t="s">
        <v>794</v>
      </c>
      <c r="B27" s="16" t="s">
        <v>755</v>
      </c>
      <c r="C27" s="1" t="s">
        <v>7</v>
      </c>
      <c r="D27" s="1" t="str">
        <f>VLOOKUP($C27,Sheet2!$A$2:$B$10,2,0)</f>
        <v>141110-14600</v>
      </c>
      <c r="E27" s="7" t="s">
        <v>8</v>
      </c>
      <c r="F27" s="12">
        <v>45976</v>
      </c>
      <c r="G27" s="13">
        <v>0.60416666666666663</v>
      </c>
      <c r="H27" s="1" t="s">
        <v>9</v>
      </c>
      <c r="I27" s="1" t="s">
        <v>10</v>
      </c>
      <c r="J27" s="1">
        <v>18</v>
      </c>
      <c r="K27" s="14">
        <f>VLOOKUP($C27,Sheet2!$A$2:$D$10,4,0)</f>
        <v>18</v>
      </c>
      <c r="L27" s="14" t="str">
        <f>VLOOKUP($C27,Sheet2!$A$2:$E$10,5,0)</f>
        <v>Trolley (H)</v>
      </c>
      <c r="M27" s="14"/>
      <c r="N27" s="63">
        <v>1</v>
      </c>
      <c r="O27" s="1" t="s">
        <v>166</v>
      </c>
      <c r="P27" s="1" t="s">
        <v>788</v>
      </c>
    </row>
    <row r="28" spans="1:16" hidden="1" x14ac:dyDescent="0.25">
      <c r="A28" s="15" t="s">
        <v>794</v>
      </c>
      <c r="B28" s="16" t="s">
        <v>759</v>
      </c>
      <c r="C28" s="1" t="s">
        <v>16</v>
      </c>
      <c r="D28" s="1" t="str">
        <f>VLOOKUP($C28,Sheet2!$A$2:$B$10,2,0)</f>
        <v>141120-14600</v>
      </c>
      <c r="E28" s="7" t="s">
        <v>17</v>
      </c>
      <c r="F28" s="12">
        <v>45976</v>
      </c>
      <c r="G28" s="13">
        <v>0.60416666666666663</v>
      </c>
      <c r="H28" s="1" t="s">
        <v>9</v>
      </c>
      <c r="I28" s="1" t="s">
        <v>10</v>
      </c>
      <c r="J28" s="1">
        <v>18</v>
      </c>
      <c r="K28" s="14">
        <f>VLOOKUP($C28,Sheet2!$A$2:$D$10,4,0)</f>
        <v>18</v>
      </c>
      <c r="L28" s="14" t="str">
        <f>VLOOKUP($C28,Sheet2!$A$2:$E$10,5,0)</f>
        <v>Trolley (H)</v>
      </c>
      <c r="M28" s="14"/>
      <c r="N28" s="64"/>
      <c r="O28" s="1" t="s">
        <v>166</v>
      </c>
      <c r="P28" s="1" t="s">
        <v>788</v>
      </c>
    </row>
    <row r="29" spans="1:16" hidden="1" x14ac:dyDescent="0.25">
      <c r="A29" s="15" t="s">
        <v>794</v>
      </c>
      <c r="B29" s="16" t="s">
        <v>763</v>
      </c>
      <c r="C29" s="1" t="s">
        <v>23</v>
      </c>
      <c r="D29" s="1" t="str">
        <f>VLOOKUP($C29,Sheet2!$A$2:$B$10,2,0)</f>
        <v>141185-74670</v>
      </c>
      <c r="E29" s="7" t="s">
        <v>24</v>
      </c>
      <c r="F29" s="12">
        <v>45976</v>
      </c>
      <c r="G29" s="13">
        <v>0.60416666666666663</v>
      </c>
      <c r="H29" s="1" t="s">
        <v>9</v>
      </c>
      <c r="I29" s="1" t="s">
        <v>10</v>
      </c>
      <c r="J29" s="1">
        <v>40</v>
      </c>
      <c r="K29" s="14">
        <f>VLOOKUP($C29,Sheet2!$A$2:$D$10,4,0)</f>
        <v>40</v>
      </c>
      <c r="L29" s="14" t="str">
        <f>VLOOKUP($C29,Sheet2!$A$2:$E$10,5,0)</f>
        <v>Trolley</v>
      </c>
      <c r="M29" s="14"/>
      <c r="N29" s="1">
        <f>J29/K29</f>
        <v>1</v>
      </c>
      <c r="O29" s="1" t="s">
        <v>166</v>
      </c>
      <c r="P29" s="1" t="s">
        <v>799</v>
      </c>
    </row>
    <row r="30" spans="1:16" x14ac:dyDescent="0.25">
      <c r="A30" s="15" t="s">
        <v>794</v>
      </c>
      <c r="B30" s="16" t="s">
        <v>771</v>
      </c>
      <c r="C30" s="1" t="s">
        <v>37</v>
      </c>
      <c r="D30" s="1" t="str">
        <f>VLOOKUP($C30,Sheet2!$A$2:$B$10,2,0)</f>
        <v>141150-91211</v>
      </c>
      <c r="E30" s="7" t="s">
        <v>38</v>
      </c>
      <c r="F30" s="12">
        <v>45976</v>
      </c>
      <c r="G30" s="13">
        <v>0.60416666666666663</v>
      </c>
      <c r="H30" s="1" t="s">
        <v>31</v>
      </c>
      <c r="I30" s="1" t="s">
        <v>10</v>
      </c>
      <c r="J30" s="1">
        <v>4</v>
      </c>
      <c r="K30" s="14">
        <f>VLOOKUP($C30,Sheet2!$A$2:$D$10,4,0)</f>
        <v>2</v>
      </c>
      <c r="L30" s="14" t="str">
        <f>VLOOKUP($C30,Sheet2!$A$2:$E$10,5,0)</f>
        <v>Bin</v>
      </c>
      <c r="M30" s="14">
        <f t="shared" ref="M30:M33" si="3">J30/K30</f>
        <v>2</v>
      </c>
      <c r="N30" s="1"/>
      <c r="O30" s="1" t="s">
        <v>166</v>
      </c>
      <c r="P30" s="1" t="s">
        <v>1018</v>
      </c>
    </row>
    <row r="31" spans="1:16" hidden="1" x14ac:dyDescent="0.25">
      <c r="A31" s="15" t="s">
        <v>795</v>
      </c>
      <c r="B31" s="16" t="s">
        <v>776</v>
      </c>
      <c r="C31" s="1" t="s">
        <v>50</v>
      </c>
      <c r="D31" s="1" t="str">
        <f>VLOOKUP($C31,Sheet2!$A$2:$B$10,2,0)</f>
        <v>116040-92240</v>
      </c>
      <c r="E31" s="7" t="s">
        <v>51</v>
      </c>
      <c r="F31" s="12">
        <v>45976</v>
      </c>
      <c r="G31" s="13">
        <v>0.60416666666666663</v>
      </c>
      <c r="H31" s="1" t="s">
        <v>52</v>
      </c>
      <c r="I31" s="1" t="s">
        <v>10</v>
      </c>
      <c r="J31" s="1">
        <v>24</v>
      </c>
      <c r="K31" s="14">
        <f>VLOOKUP($C31,Sheet2!$A$2:$D$10,4,0)</f>
        <v>6</v>
      </c>
      <c r="L31" s="14" t="str">
        <f>VLOOKUP($C31,Sheet2!$A$2:$E$10,5,0)</f>
        <v>Bin</v>
      </c>
      <c r="M31" s="14">
        <f t="shared" si="3"/>
        <v>4</v>
      </c>
      <c r="N31" s="1"/>
      <c r="O31" s="1" t="s">
        <v>166</v>
      </c>
      <c r="P31" s="1" t="s">
        <v>591</v>
      </c>
    </row>
    <row r="32" spans="1:16" hidden="1" x14ac:dyDescent="0.25">
      <c r="A32" s="15" t="s">
        <v>795</v>
      </c>
      <c r="B32" s="16" t="s">
        <v>781</v>
      </c>
      <c r="C32" s="1" t="s">
        <v>59</v>
      </c>
      <c r="D32" s="1" t="str">
        <f>VLOOKUP($C32,Sheet2!$A$2:$B$10,2,0)</f>
        <v>114010-50820</v>
      </c>
      <c r="E32" s="7" t="s">
        <v>60</v>
      </c>
      <c r="F32" s="12">
        <v>45976</v>
      </c>
      <c r="G32" s="13">
        <v>0.60416666666666663</v>
      </c>
      <c r="H32" s="1" t="s">
        <v>52</v>
      </c>
      <c r="I32" s="1" t="s">
        <v>10</v>
      </c>
      <c r="J32" s="1">
        <v>2</v>
      </c>
      <c r="K32" s="14">
        <f>VLOOKUP($C32,Sheet2!$A$2:$D$10,4,0)</f>
        <v>1</v>
      </c>
      <c r="L32" s="14" t="str">
        <f>VLOOKUP($C32,Sheet2!$A$2:$E$10,5,0)</f>
        <v>Bin</v>
      </c>
      <c r="M32" s="14">
        <f t="shared" si="3"/>
        <v>2</v>
      </c>
      <c r="N32" s="1"/>
      <c r="O32" s="1" t="s">
        <v>166</v>
      </c>
      <c r="P32" s="1" t="s">
        <v>582</v>
      </c>
    </row>
    <row r="33" spans="1:16" hidden="1" x14ac:dyDescent="0.25">
      <c r="A33" s="15" t="s">
        <v>795</v>
      </c>
      <c r="B33" s="16" t="s">
        <v>786</v>
      </c>
      <c r="C33" s="1" t="s">
        <v>67</v>
      </c>
      <c r="D33" s="1" t="str">
        <f>VLOOKUP($C33,Sheet2!$A$2:$B$10,2,0)</f>
        <v>114010-50830</v>
      </c>
      <c r="E33" s="7" t="s">
        <v>60</v>
      </c>
      <c r="F33" s="12">
        <v>45976</v>
      </c>
      <c r="G33" s="13">
        <v>0.60416666666666663</v>
      </c>
      <c r="H33" s="1" t="s">
        <v>52</v>
      </c>
      <c r="I33" s="1" t="s">
        <v>10</v>
      </c>
      <c r="J33" s="1">
        <v>13</v>
      </c>
      <c r="K33" s="14">
        <f>VLOOKUP($C33,Sheet2!$A$2:$D$10,4,0)</f>
        <v>1</v>
      </c>
      <c r="L33" s="14" t="str">
        <f>VLOOKUP($C33,Sheet2!$A$2:$E$10,5,0)</f>
        <v>Bin</v>
      </c>
      <c r="M33" s="14">
        <f t="shared" si="3"/>
        <v>13</v>
      </c>
      <c r="N33" s="1"/>
      <c r="O33" s="1" t="s">
        <v>166</v>
      </c>
      <c r="P33" s="1" t="s">
        <v>587</v>
      </c>
    </row>
    <row r="34" spans="1:16" hidden="1" x14ac:dyDescent="0.25">
      <c r="A34" s="15" t="s">
        <v>796</v>
      </c>
      <c r="B34" s="16" t="s">
        <v>756</v>
      </c>
      <c r="C34" s="1" t="s">
        <v>7</v>
      </c>
      <c r="D34" s="1" t="str">
        <f>VLOOKUP($C34,Sheet2!$A$2:$B$10,2,0)</f>
        <v>141110-14600</v>
      </c>
      <c r="E34" s="7" t="s">
        <v>8</v>
      </c>
      <c r="F34" s="12">
        <v>45976</v>
      </c>
      <c r="G34" s="13">
        <v>0.8125</v>
      </c>
      <c r="H34" s="1" t="s">
        <v>9</v>
      </c>
      <c r="I34" s="1" t="s">
        <v>10</v>
      </c>
      <c r="J34" s="1">
        <v>36</v>
      </c>
      <c r="K34" s="14">
        <f>VLOOKUP($C34,Sheet2!$A$2:$D$10,4,0)</f>
        <v>18</v>
      </c>
      <c r="L34" s="14" t="str">
        <f>VLOOKUP($C34,Sheet2!$A$2:$E$10,5,0)</f>
        <v>Trolley (H)</v>
      </c>
      <c r="M34" s="14"/>
      <c r="N34" s="63">
        <v>2</v>
      </c>
      <c r="O34" s="1" t="s">
        <v>166</v>
      </c>
      <c r="P34" s="1" t="s">
        <v>788</v>
      </c>
    </row>
    <row r="35" spans="1:16" hidden="1" x14ac:dyDescent="0.25">
      <c r="A35" s="15" t="s">
        <v>796</v>
      </c>
      <c r="B35" s="16" t="s">
        <v>760</v>
      </c>
      <c r="C35" s="1" t="s">
        <v>16</v>
      </c>
      <c r="D35" s="1" t="str">
        <f>VLOOKUP($C35,Sheet2!$A$2:$B$10,2,0)</f>
        <v>141120-14600</v>
      </c>
      <c r="E35" s="7" t="s">
        <v>17</v>
      </c>
      <c r="F35" s="12">
        <v>45976</v>
      </c>
      <c r="G35" s="13">
        <v>0.8125</v>
      </c>
      <c r="H35" s="1" t="s">
        <v>9</v>
      </c>
      <c r="I35" s="1" t="s">
        <v>10</v>
      </c>
      <c r="J35" s="1">
        <v>36</v>
      </c>
      <c r="K35" s="14">
        <f>VLOOKUP($C35,Sheet2!$A$2:$D$10,4,0)</f>
        <v>18</v>
      </c>
      <c r="L35" s="14" t="str">
        <f>VLOOKUP($C35,Sheet2!$A$2:$E$10,5,0)</f>
        <v>Trolley (H)</v>
      </c>
      <c r="M35" s="14"/>
      <c r="N35" s="64"/>
      <c r="O35" s="1" t="s">
        <v>166</v>
      </c>
      <c r="P35" s="1" t="s">
        <v>788</v>
      </c>
    </row>
    <row r="36" spans="1:16" hidden="1" x14ac:dyDescent="0.25">
      <c r="A36" s="15" t="s">
        <v>796</v>
      </c>
      <c r="B36" s="16" t="s">
        <v>764</v>
      </c>
      <c r="C36" s="1" t="s">
        <v>23</v>
      </c>
      <c r="D36" s="1" t="str">
        <f>VLOOKUP($C36,Sheet2!$A$2:$B$10,2,0)</f>
        <v>141185-74670</v>
      </c>
      <c r="E36" s="7" t="s">
        <v>24</v>
      </c>
      <c r="F36" s="12">
        <v>45976</v>
      </c>
      <c r="G36" s="13">
        <v>0.8125</v>
      </c>
      <c r="H36" s="1" t="s">
        <v>9</v>
      </c>
      <c r="I36" s="1" t="s">
        <v>10</v>
      </c>
      <c r="J36" s="1">
        <v>40</v>
      </c>
      <c r="K36" s="14">
        <f>VLOOKUP($C36,Sheet2!$A$2:$D$10,4,0)</f>
        <v>40</v>
      </c>
      <c r="L36" s="14" t="str">
        <f>VLOOKUP($C36,Sheet2!$A$2:$E$10,5,0)</f>
        <v>Trolley</v>
      </c>
      <c r="M36" s="14"/>
      <c r="N36" s="1">
        <f>J36/K36</f>
        <v>1</v>
      </c>
      <c r="O36" s="1" t="s">
        <v>166</v>
      </c>
      <c r="P36" s="1">
        <v>910101603</v>
      </c>
    </row>
    <row r="37" spans="1:16" hidden="1" x14ac:dyDescent="0.25">
      <c r="A37" s="15" t="s">
        <v>797</v>
      </c>
      <c r="B37" s="16" t="s">
        <v>777</v>
      </c>
      <c r="C37" s="1" t="s">
        <v>50</v>
      </c>
      <c r="D37" s="1" t="str">
        <f>VLOOKUP($C37,Sheet2!$A$2:$B$10,2,0)</f>
        <v>116040-92240</v>
      </c>
      <c r="E37" s="7" t="s">
        <v>51</v>
      </c>
      <c r="F37" s="12">
        <v>45976</v>
      </c>
      <c r="G37" s="13">
        <v>0.8125</v>
      </c>
      <c r="H37" s="1" t="s">
        <v>52</v>
      </c>
      <c r="I37" s="1" t="s">
        <v>10</v>
      </c>
      <c r="J37" s="1">
        <v>24</v>
      </c>
      <c r="K37" s="14">
        <f>VLOOKUP($C37,Sheet2!$A$2:$D$10,4,0)</f>
        <v>6</v>
      </c>
      <c r="L37" s="14" t="str">
        <f>VLOOKUP($C37,Sheet2!$A$2:$E$10,5,0)</f>
        <v>Bin</v>
      </c>
      <c r="M37" s="14">
        <f t="shared" ref="M37:M39" si="4">J37/K37</f>
        <v>4</v>
      </c>
      <c r="N37" s="1"/>
      <c r="O37" s="1" t="s">
        <v>166</v>
      </c>
      <c r="P37" s="1" t="s">
        <v>591</v>
      </c>
    </row>
    <row r="38" spans="1:16" hidden="1" x14ac:dyDescent="0.25">
      <c r="A38" s="15" t="s">
        <v>797</v>
      </c>
      <c r="B38" s="16" t="s">
        <v>782</v>
      </c>
      <c r="C38" s="1" t="s">
        <v>59</v>
      </c>
      <c r="D38" s="1" t="str">
        <f>VLOOKUP($C38,Sheet2!$A$2:$B$10,2,0)</f>
        <v>114010-50820</v>
      </c>
      <c r="E38" s="7" t="s">
        <v>60</v>
      </c>
      <c r="F38" s="12">
        <v>45976</v>
      </c>
      <c r="G38" s="13">
        <v>0.8125</v>
      </c>
      <c r="H38" s="1" t="s">
        <v>52</v>
      </c>
      <c r="I38" s="1" t="s">
        <v>10</v>
      </c>
      <c r="J38" s="1">
        <v>5</v>
      </c>
      <c r="K38" s="14">
        <f>VLOOKUP($C38,Sheet2!$A$2:$D$10,4,0)</f>
        <v>1</v>
      </c>
      <c r="L38" s="14" t="str">
        <f>VLOOKUP($C38,Sheet2!$A$2:$E$10,5,0)</f>
        <v>Bin</v>
      </c>
      <c r="M38" s="14">
        <f t="shared" si="4"/>
        <v>5</v>
      </c>
      <c r="N38" s="1"/>
      <c r="O38" s="1" t="s">
        <v>166</v>
      </c>
      <c r="P38" s="1" t="s">
        <v>582</v>
      </c>
    </row>
    <row r="39" spans="1:16" hidden="1" x14ac:dyDescent="0.25">
      <c r="A39" s="15" t="s">
        <v>797</v>
      </c>
      <c r="B39" s="16" t="s">
        <v>787</v>
      </c>
      <c r="C39" s="1" t="s">
        <v>67</v>
      </c>
      <c r="D39" s="1" t="str">
        <f>VLOOKUP($C39,Sheet2!$A$2:$B$10,2,0)</f>
        <v>114010-50830</v>
      </c>
      <c r="E39" s="7" t="s">
        <v>60</v>
      </c>
      <c r="F39" s="12">
        <v>45976</v>
      </c>
      <c r="G39" s="13">
        <v>0.8125</v>
      </c>
      <c r="H39" s="1" t="s">
        <v>52</v>
      </c>
      <c r="I39" s="1" t="s">
        <v>10</v>
      </c>
      <c r="J39" s="1">
        <v>28</v>
      </c>
      <c r="K39" s="14">
        <f>VLOOKUP($C39,Sheet2!$A$2:$D$10,4,0)</f>
        <v>1</v>
      </c>
      <c r="L39" s="14" t="str">
        <f>VLOOKUP($C39,Sheet2!$A$2:$E$10,5,0)</f>
        <v>Bin</v>
      </c>
      <c r="M39" s="14">
        <f t="shared" si="4"/>
        <v>28</v>
      </c>
      <c r="N39" s="1"/>
      <c r="O39" s="1" t="s">
        <v>166</v>
      </c>
      <c r="P39" s="1" t="s">
        <v>587</v>
      </c>
    </row>
    <row r="40" spans="1:16" s="20" customFormat="1" hidden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>
        <v>58</v>
      </c>
      <c r="N40" s="9">
        <v>5</v>
      </c>
      <c r="O40" s="9"/>
      <c r="P40" s="9"/>
    </row>
  </sheetData>
  <autoFilter ref="A3:P40" xr:uid="{AEDF6EF3-C2DC-472F-83D9-F75C406508EB}">
    <filterColumn colId="15">
      <filters>
        <filter val="12508Q100188"/>
      </filters>
    </filterColumn>
  </autoFilter>
  <mergeCells count="7">
    <mergeCell ref="N34:N35"/>
    <mergeCell ref="A1:F1"/>
    <mergeCell ref="J1:N1"/>
    <mergeCell ref="L2:N2"/>
    <mergeCell ref="N4:N5"/>
    <mergeCell ref="N18:N19"/>
    <mergeCell ref="N27:N28"/>
  </mergeCells>
  <conditionalFormatting sqref="B2">
    <cfRule type="duplicateValues" dxfId="540" priority="45"/>
    <cfRule type="duplicateValues" dxfId="539" priority="46"/>
  </conditionalFormatting>
  <conditionalFormatting sqref="B4:B25 B27:B39">
    <cfRule type="duplicateValues" dxfId="538" priority="37"/>
  </conditionalFormatting>
  <conditionalFormatting sqref="C2:D2">
    <cfRule type="duplicateValues" dxfId="537" priority="47"/>
    <cfRule type="duplicateValues" dxfId="536" priority="48"/>
  </conditionalFormatting>
  <conditionalFormatting sqref="D3">
    <cfRule type="duplicateValues" dxfId="534" priority="43"/>
    <cfRule type="duplicateValues" dxfId="533" priority="44"/>
  </conditionalFormatting>
  <conditionalFormatting sqref="D26">
    <cfRule type="duplicateValues" dxfId="528" priority="19"/>
    <cfRule type="duplicateValues" dxfId="527" priority="20"/>
  </conditionalFormatting>
  <conditionalFormatting sqref="D40">
    <cfRule type="duplicateValues" dxfId="525" priority="5"/>
    <cfRule type="duplicateValues" dxfId="524" priority="6"/>
  </conditionalFormatting>
  <pageMargins left="0.17" right="0.17" top="0.17" bottom="0.17" header="0.3" footer="0.3"/>
  <pageSetup paperSize="9" scale="6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operator="containsText" text="17521M68PA0" id="{28EFB479-ACC8-4CC1-A291-35BD83FEFB0D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C4:D25 C27:D39</xm:sqref>
        </x14:conditionalFormatting>
        <x14:conditionalFormatting xmlns:xm="http://schemas.microsoft.com/office/excel/2006/main">
          <x14:cfRule type="containsText" priority="53" operator="containsText" text="17521M68PA0" id="{B5F6AD94-55A0-42F0-8ECE-6468039D900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29" operator="containsText" text="17521M74T00" id="{2D350804-6DE2-4FB4-9EA9-78CE306222F2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17521M68PA0" id="{0714B81A-217E-4381-92B3-048E0E8B4B8D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1" operator="containsText" text="17521M74T00" id="{4A6EBA4D-9578-446B-A6E5-2B09D69FAF05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D4:D25 D27:D39</xm:sqref>
        </x14:conditionalFormatting>
        <x14:conditionalFormatting xmlns:xm="http://schemas.microsoft.com/office/excel/2006/main">
          <x14:cfRule type="containsText" priority="21" operator="containsText" text="17521M68PA0" id="{C15FB7BF-C990-4B99-A999-4862E5F3E8C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ontainsText" priority="7" operator="containsText" text="17521M68PA0" id="{CD4137B1-C141-4A54-BB63-E81F5CB81FDC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49" operator="containsText" text="17521M68PA0" id="{52C3151B-0949-49BF-ACC8-E23E5581D5B2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0" operator="containsText" text="17521M74T00" id="{EECE8020-EEE9-456E-A2FD-D025D747F913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0" operator="containsText" text="BELT,WATER PUMP - 7PK 975" id="{A9E47DD3-A785-4EDA-AE41-ED17B387B43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A3BA8631-D68B-47E1-B6F3-54E0E5655A51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E3:E40</xm:sqref>
        </x14:conditionalFormatting>
        <x14:conditionalFormatting xmlns:xm="http://schemas.microsoft.com/office/excel/2006/main">
          <x14:cfRule type="containsText" priority="16" operator="containsText" text="BELT,WATER PUMP - 7PK 975" id="{9C81F266-FF6F-4872-8789-BD43C46FBE6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containsText" priority="2" operator="containsText" text="BELT,WATER PUMP - 7PK 975" id="{C8D00B9D-67FE-4738-A682-3E8E834C085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E40</xm:sqref>
        </x14:conditionalFormatting>
        <x14:conditionalFormatting xmlns:xm="http://schemas.microsoft.com/office/excel/2006/main">
          <x14:cfRule type="containsText" priority="51" operator="containsText" text="BELT,WATER PUMP - 5PK 913" id="{CC27F63F-E08A-4310-9E86-67518A5B0454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2" operator="containsText" text="BELT,WATER PUMP - 7PK 975" id="{1354A15B-03C4-4D7D-9D69-2DA2E0A63A92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1" operator="containsText" text="5PK 913" id="{ADE58879-D8A2-4BCF-AA2D-565BE210EEF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2" operator="containsText" text="7PK 975" id="{182D1432-31A3-471C-A3C8-FC02B0B97A44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17" operator="containsText" text="5PK 913" id="{C30A8ACE-19DF-45EB-8A39-7A7A8891D6A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8" operator="containsText" text="7PK 975" id="{B757618F-53CD-4D74-BC2E-D0050A6211DF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P26</xm:sqref>
        </x14:conditionalFormatting>
        <x14:conditionalFormatting xmlns:xm="http://schemas.microsoft.com/office/excel/2006/main">
          <x14:cfRule type="containsText" priority="3" operator="containsText" text="5PK 913" id="{975C25EE-2192-4EA3-8C91-C9636B9E9C85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7PK 975" id="{84FC19FF-618C-479F-9026-3E61820C0201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97FE-7465-4E35-B7CE-4A7684EA27FF}">
  <sheetPr>
    <pageSetUpPr fitToPage="1"/>
  </sheetPr>
  <dimension ref="A1:P50"/>
  <sheetViews>
    <sheetView topLeftCell="A16" workbookViewId="0">
      <selection activeCell="P49" sqref="P49"/>
    </sheetView>
  </sheetViews>
  <sheetFormatPr defaultColWidth="49.28515625" defaultRowHeight="15" x14ac:dyDescent="0.25"/>
  <cols>
    <col min="1" max="1" width="15.140625" bestFit="1" customWidth="1"/>
    <col min="2" max="2" width="16.7109375" bestFit="1" customWidth="1"/>
    <col min="3" max="3" width="14.140625" bestFit="1" customWidth="1"/>
    <col min="4" max="4" width="14.140625" customWidth="1"/>
    <col min="5" max="5" width="32.5703125" bestFit="1" customWidth="1"/>
    <col min="6" max="6" width="12.7109375" bestFit="1" customWidth="1"/>
    <col min="7" max="7" width="7.7109375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customWidth="1"/>
    <col min="12" max="12" width="15" customWidth="1"/>
    <col min="13" max="13" width="7.140625" bestFit="1" customWidth="1"/>
    <col min="14" max="14" width="7.85546875" bestFit="1" customWidth="1"/>
    <col min="15" max="15" width="15.28515625" customWidth="1"/>
    <col min="16" max="16" width="42.85546875" bestFit="1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45978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30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844</v>
      </c>
      <c r="B4" s="16" t="s">
        <v>800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45978</v>
      </c>
      <c r="G4" s="13">
        <v>0.35416666666666669</v>
      </c>
      <c r="H4" s="1" t="s">
        <v>9</v>
      </c>
      <c r="I4" s="1" t="s">
        <v>10</v>
      </c>
      <c r="J4" s="1">
        <v>36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2</v>
      </c>
      <c r="O4" s="1" t="s">
        <v>528</v>
      </c>
      <c r="P4" s="1" t="s">
        <v>788</v>
      </c>
    </row>
    <row r="5" spans="1:16" x14ac:dyDescent="0.25">
      <c r="A5" s="15" t="s">
        <v>844</v>
      </c>
      <c r="B5" s="16" t="s">
        <v>805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45978</v>
      </c>
      <c r="G5" s="13">
        <v>0.35416666666666669</v>
      </c>
      <c r="H5" s="1" t="s">
        <v>9</v>
      </c>
      <c r="I5" s="1" t="s">
        <v>10</v>
      </c>
      <c r="J5" s="1">
        <v>36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528</v>
      </c>
      <c r="P5" s="1" t="s">
        <v>908</v>
      </c>
    </row>
    <row r="6" spans="1:16" x14ac:dyDescent="0.25">
      <c r="A6" s="15" t="s">
        <v>844</v>
      </c>
      <c r="B6" s="16" t="s">
        <v>801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45978</v>
      </c>
      <c r="G6" s="13">
        <v>0.35416666666666669</v>
      </c>
      <c r="H6" s="1" t="s">
        <v>9</v>
      </c>
      <c r="I6" s="1" t="s">
        <v>10</v>
      </c>
      <c r="J6" s="1">
        <v>18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1</v>
      </c>
      <c r="O6" s="1" t="s">
        <v>528</v>
      </c>
      <c r="P6" s="1" t="s">
        <v>788</v>
      </c>
    </row>
    <row r="7" spans="1:16" x14ac:dyDescent="0.25">
      <c r="A7" s="15" t="s">
        <v>844</v>
      </c>
      <c r="B7" s="16" t="s">
        <v>806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45978</v>
      </c>
      <c r="G7" s="13">
        <v>0.35416666666666669</v>
      </c>
      <c r="H7" s="1" t="s">
        <v>9</v>
      </c>
      <c r="I7" s="1" t="s">
        <v>10</v>
      </c>
      <c r="J7" s="1">
        <v>18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528</v>
      </c>
      <c r="P7" s="1" t="s">
        <v>908</v>
      </c>
    </row>
    <row r="8" spans="1:16" x14ac:dyDescent="0.25">
      <c r="A8" s="15" t="s">
        <v>844</v>
      </c>
      <c r="B8" s="16" t="s">
        <v>810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45978</v>
      </c>
      <c r="G8" s="13">
        <v>0.35416666666666669</v>
      </c>
      <c r="H8" s="1" t="s">
        <v>9</v>
      </c>
      <c r="I8" s="1" t="s">
        <v>10</v>
      </c>
      <c r="J8" s="1">
        <v>40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1</v>
      </c>
      <c r="O8" s="1" t="s">
        <v>528</v>
      </c>
      <c r="P8" s="1">
        <v>910101985</v>
      </c>
    </row>
    <row r="9" spans="1:16" x14ac:dyDescent="0.25">
      <c r="A9" s="15" t="s">
        <v>844</v>
      </c>
      <c r="B9" s="16" t="s">
        <v>811</v>
      </c>
      <c r="C9" s="1" t="s">
        <v>23</v>
      </c>
      <c r="D9" s="1" t="str">
        <f>VLOOKUP($C9,Sheet2!$A$2:$B$10,2,0)</f>
        <v>141185-74670</v>
      </c>
      <c r="E9" s="7" t="s">
        <v>24</v>
      </c>
      <c r="F9" s="12">
        <v>45978</v>
      </c>
      <c r="G9" s="13">
        <v>0.35416666666666669</v>
      </c>
      <c r="H9" s="1" t="s">
        <v>9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528</v>
      </c>
      <c r="P9" s="1" t="s">
        <v>909</v>
      </c>
    </row>
    <row r="10" spans="1:16" x14ac:dyDescent="0.25">
      <c r="A10" s="15" t="s">
        <v>844</v>
      </c>
      <c r="B10" s="16" t="s">
        <v>815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45978</v>
      </c>
      <c r="G10" s="13">
        <v>0.35416666666666669</v>
      </c>
      <c r="H10" s="1" t="s">
        <v>31</v>
      </c>
      <c r="I10" s="1" t="s">
        <v>10</v>
      </c>
      <c r="J10" s="1">
        <v>30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15</v>
      </c>
      <c r="N10" s="1"/>
      <c r="O10" s="1" t="s">
        <v>528</v>
      </c>
      <c r="P10" s="1" t="s">
        <v>1018</v>
      </c>
    </row>
    <row r="11" spans="1:16" x14ac:dyDescent="0.25">
      <c r="A11" s="15" t="s">
        <v>844</v>
      </c>
      <c r="B11" s="16" t="s">
        <v>816</v>
      </c>
      <c r="C11" s="1" t="s">
        <v>29</v>
      </c>
      <c r="D11" s="1" t="str">
        <f>VLOOKUP($C11,Sheet2!$A$2:$B$10,2,0)</f>
        <v>141140-91211</v>
      </c>
      <c r="E11" s="7" t="s">
        <v>30</v>
      </c>
      <c r="F11" s="12">
        <v>45978</v>
      </c>
      <c r="G11" s="13">
        <v>0.35416666666666669</v>
      </c>
      <c r="H11" s="1" t="s">
        <v>31</v>
      </c>
      <c r="I11" s="1" t="s">
        <v>10</v>
      </c>
      <c r="J11" s="1">
        <v>10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ref="M11:M13" si="0">J11/K11</f>
        <v>5</v>
      </c>
      <c r="N11" s="1"/>
      <c r="O11" s="1" t="s">
        <v>528</v>
      </c>
      <c r="P11" s="1" t="s">
        <v>1018</v>
      </c>
    </row>
    <row r="12" spans="1:16" x14ac:dyDescent="0.25">
      <c r="A12" s="15" t="s">
        <v>844</v>
      </c>
      <c r="B12" s="16" t="s">
        <v>820</v>
      </c>
      <c r="C12" s="1" t="s">
        <v>37</v>
      </c>
      <c r="D12" s="1" t="str">
        <f>VLOOKUP($C12,Sheet2!$A$2:$B$10,2,0)</f>
        <v>141150-91211</v>
      </c>
      <c r="E12" s="7" t="s">
        <v>38</v>
      </c>
      <c r="F12" s="12">
        <v>45978</v>
      </c>
      <c r="G12" s="13">
        <v>0.35416666666666669</v>
      </c>
      <c r="H12" s="1" t="s">
        <v>31</v>
      </c>
      <c r="I12" s="1" t="s">
        <v>10</v>
      </c>
      <c r="J12" s="1">
        <v>30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15</v>
      </c>
      <c r="N12" s="1"/>
      <c r="O12" s="1" t="s">
        <v>528</v>
      </c>
      <c r="P12" s="1" t="s">
        <v>1018</v>
      </c>
    </row>
    <row r="13" spans="1:16" x14ac:dyDescent="0.25">
      <c r="A13" s="15" t="s">
        <v>844</v>
      </c>
      <c r="B13" s="16" t="s">
        <v>821</v>
      </c>
      <c r="C13" s="1" t="s">
        <v>37</v>
      </c>
      <c r="D13" s="1" t="str">
        <f>VLOOKUP($C13,Sheet2!$A$2:$B$10,2,0)</f>
        <v>141150-91211</v>
      </c>
      <c r="E13" s="7" t="s">
        <v>38</v>
      </c>
      <c r="F13" s="12">
        <v>45978</v>
      </c>
      <c r="G13" s="13">
        <v>0.35416666666666669</v>
      </c>
      <c r="H13" s="1" t="s">
        <v>31</v>
      </c>
      <c r="I13" s="1" t="s">
        <v>10</v>
      </c>
      <c r="J13" s="1">
        <v>10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si="0"/>
        <v>5</v>
      </c>
      <c r="N13" s="1"/>
      <c r="O13" s="1" t="s">
        <v>528</v>
      </c>
      <c r="P13" s="1" t="s">
        <v>1018</v>
      </c>
    </row>
    <row r="14" spans="1:16" x14ac:dyDescent="0.25">
      <c r="A14" s="15" t="s">
        <v>844</v>
      </c>
      <c r="B14" s="16" t="s">
        <v>825</v>
      </c>
      <c r="C14" s="1" t="s">
        <v>45</v>
      </c>
      <c r="D14" s="1" t="str">
        <f>VLOOKUP($C14,Sheet2!$A$2:$B$10,2,0)</f>
        <v>141186-74360</v>
      </c>
      <c r="E14" s="7" t="s">
        <v>46</v>
      </c>
      <c r="F14" s="12">
        <v>45978</v>
      </c>
      <c r="G14" s="13">
        <v>0.35416666666666669</v>
      </c>
      <c r="H14" s="1" t="s">
        <v>31</v>
      </c>
      <c r="I14" s="1" t="s">
        <v>10</v>
      </c>
      <c r="J14" s="1">
        <v>80</v>
      </c>
      <c r="K14" s="14">
        <f>VLOOKUP($C14,Sheet2!$A$2:$D$10,4,0)</f>
        <v>40</v>
      </c>
      <c r="L14" s="14" t="str">
        <f>VLOOKUP($C14,Sheet2!$A$2:$E$10,5,0)</f>
        <v>Trolley</v>
      </c>
      <c r="M14" s="14"/>
      <c r="N14" s="1">
        <f>J14/K14</f>
        <v>2</v>
      </c>
      <c r="O14" s="1" t="s">
        <v>528</v>
      </c>
      <c r="P14" s="1">
        <v>910102786</v>
      </c>
    </row>
    <row r="15" spans="1:16" x14ac:dyDescent="0.25">
      <c r="A15" s="15" t="s">
        <v>845</v>
      </c>
      <c r="B15" s="16" t="s">
        <v>829</v>
      </c>
      <c r="C15" s="1" t="s">
        <v>50</v>
      </c>
      <c r="D15" s="1" t="str">
        <f>VLOOKUP($C15,Sheet2!$A$2:$B$10,2,0)</f>
        <v>116040-92240</v>
      </c>
      <c r="E15" s="7" t="s">
        <v>51</v>
      </c>
      <c r="F15" s="12">
        <v>45978</v>
      </c>
      <c r="G15" s="13">
        <v>0.35416666666666669</v>
      </c>
      <c r="H15" s="1" t="s">
        <v>52</v>
      </c>
      <c r="I15" s="1" t="s">
        <v>10</v>
      </c>
      <c r="J15" s="1">
        <v>30</v>
      </c>
      <c r="K15" s="14">
        <f>VLOOKUP($C15,Sheet2!$A$2:$D$10,4,0)</f>
        <v>6</v>
      </c>
      <c r="L15" s="14" t="str">
        <f>VLOOKUP($C15,Sheet2!$A$2:$E$10,5,0)</f>
        <v>Bin</v>
      </c>
      <c r="M15" s="14">
        <f t="shared" ref="M15:M20" si="1">J15/K15</f>
        <v>5</v>
      </c>
      <c r="N15" s="1"/>
      <c r="O15" s="1" t="s">
        <v>528</v>
      </c>
      <c r="P15" s="1" t="s">
        <v>591</v>
      </c>
    </row>
    <row r="16" spans="1:16" x14ac:dyDescent="0.25">
      <c r="A16" s="15" t="s">
        <v>845</v>
      </c>
      <c r="B16" s="16" t="s">
        <v>830</v>
      </c>
      <c r="C16" s="1" t="s">
        <v>50</v>
      </c>
      <c r="D16" s="1" t="str">
        <f>VLOOKUP($C16,Sheet2!$A$2:$B$10,2,0)</f>
        <v>116040-92240</v>
      </c>
      <c r="E16" s="7" t="s">
        <v>51</v>
      </c>
      <c r="F16" s="12">
        <v>45978</v>
      </c>
      <c r="G16" s="13">
        <v>0.35416666666666669</v>
      </c>
      <c r="H16" s="1" t="s">
        <v>52</v>
      </c>
      <c r="I16" s="1" t="s">
        <v>10</v>
      </c>
      <c r="J16" s="1">
        <v>6</v>
      </c>
      <c r="K16" s="14">
        <f>VLOOKUP($C16,Sheet2!$A$2:$D$10,4,0)</f>
        <v>6</v>
      </c>
      <c r="L16" s="14" t="str">
        <f>VLOOKUP($C16,Sheet2!$A$2:$E$10,5,0)</f>
        <v>Bin</v>
      </c>
      <c r="M16" s="14">
        <f t="shared" si="1"/>
        <v>1</v>
      </c>
      <c r="N16" s="1"/>
      <c r="O16" s="1" t="s">
        <v>528</v>
      </c>
      <c r="P16" s="1" t="s">
        <v>591</v>
      </c>
    </row>
    <row r="17" spans="1:16" x14ac:dyDescent="0.25">
      <c r="A17" s="15" t="s">
        <v>845</v>
      </c>
      <c r="B17" s="16" t="s">
        <v>834</v>
      </c>
      <c r="C17" s="1" t="s">
        <v>59</v>
      </c>
      <c r="D17" s="1" t="str">
        <f>VLOOKUP($C17,Sheet2!$A$2:$B$10,2,0)</f>
        <v>114010-50820</v>
      </c>
      <c r="E17" s="7" t="s">
        <v>60</v>
      </c>
      <c r="F17" s="12">
        <v>45978</v>
      </c>
      <c r="G17" s="13">
        <v>0.35416666666666669</v>
      </c>
      <c r="H17" s="1" t="s">
        <v>52</v>
      </c>
      <c r="I17" s="1" t="s">
        <v>10</v>
      </c>
      <c r="J17" s="1">
        <v>11</v>
      </c>
      <c r="K17" s="14">
        <f>VLOOKUP($C17,Sheet2!$A$2:$D$10,4,0)</f>
        <v>1</v>
      </c>
      <c r="L17" s="14" t="str">
        <f>VLOOKUP($C17,Sheet2!$A$2:$E$10,5,0)</f>
        <v>Bin</v>
      </c>
      <c r="M17" s="14">
        <f t="shared" si="1"/>
        <v>11</v>
      </c>
      <c r="N17" s="1"/>
      <c r="O17" s="1" t="s">
        <v>528</v>
      </c>
      <c r="P17" s="1" t="s">
        <v>910</v>
      </c>
    </row>
    <row r="18" spans="1:16" x14ac:dyDescent="0.25">
      <c r="A18" s="15" t="s">
        <v>845</v>
      </c>
      <c r="B18" s="16" t="s">
        <v>835</v>
      </c>
      <c r="C18" s="1" t="s">
        <v>59</v>
      </c>
      <c r="D18" s="1" t="str">
        <f>VLOOKUP($C18,Sheet2!$A$2:$B$10,2,0)</f>
        <v>114010-50820</v>
      </c>
      <c r="E18" s="7" t="s">
        <v>60</v>
      </c>
      <c r="F18" s="12">
        <v>45978</v>
      </c>
      <c r="G18" s="13">
        <v>0.35416666666666669</v>
      </c>
      <c r="H18" s="1" t="s">
        <v>52</v>
      </c>
      <c r="I18" s="1" t="s">
        <v>10</v>
      </c>
      <c r="J18" s="1">
        <v>3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1"/>
        <v>3</v>
      </c>
      <c r="N18" s="1"/>
      <c r="O18" s="1" t="s">
        <v>528</v>
      </c>
      <c r="P18" s="1" t="s">
        <v>910</v>
      </c>
    </row>
    <row r="19" spans="1:16" x14ac:dyDescent="0.25">
      <c r="A19" s="15" t="s">
        <v>845</v>
      </c>
      <c r="B19" s="16" t="s">
        <v>839</v>
      </c>
      <c r="C19" s="1" t="s">
        <v>67</v>
      </c>
      <c r="D19" s="1" t="str">
        <f>VLOOKUP($C19,Sheet2!$A$2:$B$10,2,0)</f>
        <v>114010-50830</v>
      </c>
      <c r="E19" s="7" t="s">
        <v>60</v>
      </c>
      <c r="F19" s="12">
        <v>45978</v>
      </c>
      <c r="G19" s="13">
        <v>0.35416666666666669</v>
      </c>
      <c r="H19" s="1" t="s">
        <v>52</v>
      </c>
      <c r="I19" s="1" t="s">
        <v>10</v>
      </c>
      <c r="J19" s="1">
        <v>19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1"/>
        <v>19</v>
      </c>
      <c r="N19" s="1"/>
      <c r="O19" s="1" t="s">
        <v>528</v>
      </c>
      <c r="P19" s="1" t="s">
        <v>587</v>
      </c>
    </row>
    <row r="20" spans="1:16" x14ac:dyDescent="0.25">
      <c r="A20" s="15" t="s">
        <v>845</v>
      </c>
      <c r="B20" s="16" t="s">
        <v>840</v>
      </c>
      <c r="C20" s="1" t="s">
        <v>67</v>
      </c>
      <c r="D20" s="1" t="str">
        <f>VLOOKUP($C20,Sheet2!$A$2:$B$10,2,0)</f>
        <v>114010-50830</v>
      </c>
      <c r="E20" s="7" t="s">
        <v>60</v>
      </c>
      <c r="F20" s="12">
        <v>45978</v>
      </c>
      <c r="G20" s="13">
        <v>0.35416666666666669</v>
      </c>
      <c r="H20" s="1" t="s">
        <v>52</v>
      </c>
      <c r="I20" s="1" t="s">
        <v>10</v>
      </c>
      <c r="J20" s="1">
        <v>6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1"/>
        <v>6</v>
      </c>
      <c r="N20" s="1"/>
      <c r="O20" s="1" t="s">
        <v>528</v>
      </c>
      <c r="P20" s="1" t="s">
        <v>587</v>
      </c>
    </row>
    <row r="21" spans="1:16" s="20" customForma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>
        <v>85</v>
      </c>
      <c r="N21" s="9">
        <v>7</v>
      </c>
      <c r="O21" s="9"/>
      <c r="P21" s="9"/>
    </row>
    <row r="22" spans="1:16" x14ac:dyDescent="0.25">
      <c r="A22" s="15" t="s">
        <v>846</v>
      </c>
      <c r="B22" s="16" t="s">
        <v>802</v>
      </c>
      <c r="C22" s="1" t="s">
        <v>7</v>
      </c>
      <c r="D22" s="1" t="str">
        <f>VLOOKUP($C22,Sheet2!$A$2:$B$10,2,0)</f>
        <v>141110-14600</v>
      </c>
      <c r="E22" s="7" t="s">
        <v>8</v>
      </c>
      <c r="F22" s="12">
        <v>45978</v>
      </c>
      <c r="G22" s="13">
        <v>0.5625</v>
      </c>
      <c r="H22" s="1" t="s">
        <v>9</v>
      </c>
      <c r="I22" s="1" t="s">
        <v>10</v>
      </c>
      <c r="J22" s="1">
        <v>18</v>
      </c>
      <c r="K22" s="14">
        <f>VLOOKUP($C22,Sheet2!$A$2:$D$10,4,0)</f>
        <v>18</v>
      </c>
      <c r="L22" s="14" t="str">
        <f>VLOOKUP($C22,Sheet2!$A$2:$E$10,5,0)</f>
        <v>Trolley (H)</v>
      </c>
      <c r="M22" s="14"/>
      <c r="N22" s="63">
        <v>1</v>
      </c>
      <c r="O22" s="1" t="s">
        <v>171</v>
      </c>
      <c r="P22" s="1" t="s">
        <v>788</v>
      </c>
    </row>
    <row r="23" spans="1:16" x14ac:dyDescent="0.25">
      <c r="A23" s="15" t="s">
        <v>846</v>
      </c>
      <c r="B23" s="16" t="s">
        <v>807</v>
      </c>
      <c r="C23" s="1" t="s">
        <v>16</v>
      </c>
      <c r="D23" s="1" t="str">
        <f>VLOOKUP($C23,Sheet2!$A$2:$B$10,2,0)</f>
        <v>141120-14600</v>
      </c>
      <c r="E23" s="7" t="s">
        <v>17</v>
      </c>
      <c r="F23" s="12">
        <v>45978</v>
      </c>
      <c r="G23" s="13">
        <v>0.5625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4"/>
      <c r="O23" s="1" t="s">
        <v>171</v>
      </c>
      <c r="P23" s="1" t="s">
        <v>908</v>
      </c>
    </row>
    <row r="24" spans="1:16" x14ac:dyDescent="0.25">
      <c r="A24" s="15" t="s">
        <v>846</v>
      </c>
      <c r="B24" s="16" t="s">
        <v>812</v>
      </c>
      <c r="C24" s="1" t="s">
        <v>23</v>
      </c>
      <c r="D24" s="1" t="str">
        <f>VLOOKUP($C24,Sheet2!$A$2:$B$10,2,0)</f>
        <v>141185-74670</v>
      </c>
      <c r="E24" s="7" t="s">
        <v>24</v>
      </c>
      <c r="F24" s="12">
        <v>45978</v>
      </c>
      <c r="G24" s="13">
        <v>0.5625</v>
      </c>
      <c r="H24" s="1" t="s">
        <v>9</v>
      </c>
      <c r="I24" s="1" t="s">
        <v>10</v>
      </c>
      <c r="J24" s="1">
        <v>80</v>
      </c>
      <c r="K24" s="14">
        <f>VLOOKUP($C24,Sheet2!$A$2:$D$10,4,0)</f>
        <v>40</v>
      </c>
      <c r="L24" s="14" t="str">
        <f>VLOOKUP($C24,Sheet2!$A$2:$E$10,5,0)</f>
        <v>Trolley</v>
      </c>
      <c r="M24" s="14"/>
      <c r="N24" s="1">
        <f>J24/K24</f>
        <v>2</v>
      </c>
      <c r="O24" s="1" t="s">
        <v>171</v>
      </c>
      <c r="P24" s="1">
        <v>910101985</v>
      </c>
    </row>
    <row r="25" spans="1:16" x14ac:dyDescent="0.25">
      <c r="A25" s="15" t="s">
        <v>846</v>
      </c>
      <c r="B25" s="16" t="s">
        <v>817</v>
      </c>
      <c r="C25" s="1" t="s">
        <v>29</v>
      </c>
      <c r="D25" s="1" t="str">
        <f>VLOOKUP($C25,Sheet2!$A$2:$B$10,2,0)</f>
        <v>141140-91211</v>
      </c>
      <c r="E25" s="7" t="s">
        <v>30</v>
      </c>
      <c r="F25" s="12">
        <v>45978</v>
      </c>
      <c r="G25" s="13">
        <v>0.5625</v>
      </c>
      <c r="H25" s="1" t="s">
        <v>31</v>
      </c>
      <c r="I25" s="1" t="s">
        <v>10</v>
      </c>
      <c r="J25" s="1">
        <v>30</v>
      </c>
      <c r="K25" s="14">
        <f>VLOOKUP($C25,Sheet2!$A$2:$D$10,4,0)</f>
        <v>2</v>
      </c>
      <c r="L25" s="14" t="str">
        <f>VLOOKUP($C25,Sheet2!$A$2:$E$10,5,0)</f>
        <v>Bin</v>
      </c>
      <c r="M25" s="14">
        <f t="shared" ref="M25:M26" si="2">J25/K25</f>
        <v>15</v>
      </c>
      <c r="N25" s="1"/>
      <c r="O25" s="1" t="s">
        <v>171</v>
      </c>
      <c r="P25" s="1" t="s">
        <v>1018</v>
      </c>
    </row>
    <row r="26" spans="1:16" x14ac:dyDescent="0.25">
      <c r="A26" s="15" t="s">
        <v>846</v>
      </c>
      <c r="B26" s="16" t="s">
        <v>822</v>
      </c>
      <c r="C26" s="1" t="s">
        <v>37</v>
      </c>
      <c r="D26" s="1" t="str">
        <f>VLOOKUP($C26,Sheet2!$A$2:$B$10,2,0)</f>
        <v>141150-91211</v>
      </c>
      <c r="E26" s="7" t="s">
        <v>38</v>
      </c>
      <c r="F26" s="12">
        <v>45978</v>
      </c>
      <c r="G26" s="13">
        <v>0.5625</v>
      </c>
      <c r="H26" s="1" t="s">
        <v>31</v>
      </c>
      <c r="I26" s="1" t="s">
        <v>10</v>
      </c>
      <c r="J26" s="1">
        <v>30</v>
      </c>
      <c r="K26" s="14">
        <f>VLOOKUP($C26,Sheet2!$A$2:$D$10,4,0)</f>
        <v>2</v>
      </c>
      <c r="L26" s="14" t="str">
        <f>VLOOKUP($C26,Sheet2!$A$2:$E$10,5,0)</f>
        <v>Bin</v>
      </c>
      <c r="M26" s="14">
        <f t="shared" si="2"/>
        <v>15</v>
      </c>
      <c r="N26" s="1"/>
      <c r="O26" s="1" t="s">
        <v>171</v>
      </c>
      <c r="P26" s="1" t="s">
        <v>1018</v>
      </c>
    </row>
    <row r="27" spans="1:16" x14ac:dyDescent="0.25">
      <c r="A27" s="15" t="s">
        <v>846</v>
      </c>
      <c r="B27" s="16" t="s">
        <v>826</v>
      </c>
      <c r="C27" s="1" t="s">
        <v>45</v>
      </c>
      <c r="D27" s="1" t="str">
        <f>VLOOKUP($C27,Sheet2!$A$2:$B$10,2,0)</f>
        <v>141186-74360</v>
      </c>
      <c r="E27" s="7" t="s">
        <v>46</v>
      </c>
      <c r="F27" s="12">
        <v>45978</v>
      </c>
      <c r="G27" s="13">
        <v>0.5625</v>
      </c>
      <c r="H27" s="1" t="s">
        <v>31</v>
      </c>
      <c r="I27" s="1" t="s">
        <v>10</v>
      </c>
      <c r="J27" s="1">
        <v>40</v>
      </c>
      <c r="K27" s="14">
        <f>VLOOKUP($C27,Sheet2!$A$2:$D$10,4,0)</f>
        <v>40</v>
      </c>
      <c r="L27" s="14" t="str">
        <f>VLOOKUP($C27,Sheet2!$A$2:$E$10,5,0)</f>
        <v>Trolley</v>
      </c>
      <c r="M27" s="14"/>
      <c r="N27" s="1">
        <f>J27/K27</f>
        <v>1</v>
      </c>
      <c r="O27" s="1" t="s">
        <v>171</v>
      </c>
      <c r="P27" s="1">
        <v>910102786</v>
      </c>
    </row>
    <row r="28" spans="1:16" x14ac:dyDescent="0.25">
      <c r="A28" s="15" t="s">
        <v>847</v>
      </c>
      <c r="B28" s="16" t="s">
        <v>831</v>
      </c>
      <c r="C28" s="1" t="s">
        <v>50</v>
      </c>
      <c r="D28" s="1" t="str">
        <f>VLOOKUP($C28,Sheet2!$A$2:$B$10,2,0)</f>
        <v>116040-92240</v>
      </c>
      <c r="E28" s="7" t="s">
        <v>51</v>
      </c>
      <c r="F28" s="12">
        <v>45978</v>
      </c>
      <c r="G28" s="13">
        <v>0.5625</v>
      </c>
      <c r="H28" s="1" t="s">
        <v>52</v>
      </c>
      <c r="I28" s="1" t="s">
        <v>10</v>
      </c>
      <c r="J28" s="1">
        <v>30</v>
      </c>
      <c r="K28" s="14">
        <f>VLOOKUP($C28,Sheet2!$A$2:$D$10,4,0)</f>
        <v>6</v>
      </c>
      <c r="L28" s="14" t="str">
        <f>VLOOKUP($C28,Sheet2!$A$2:$E$10,5,0)</f>
        <v>Bin</v>
      </c>
      <c r="M28" s="14">
        <f t="shared" ref="M28:M30" si="3">J28/K28</f>
        <v>5</v>
      </c>
      <c r="N28" s="1"/>
      <c r="O28" s="1" t="s">
        <v>171</v>
      </c>
      <c r="P28" s="1" t="s">
        <v>591</v>
      </c>
    </row>
    <row r="29" spans="1:16" x14ac:dyDescent="0.25">
      <c r="A29" s="15" t="s">
        <v>847</v>
      </c>
      <c r="B29" s="16" t="s">
        <v>836</v>
      </c>
      <c r="C29" s="1" t="s">
        <v>59</v>
      </c>
      <c r="D29" s="1" t="str">
        <f>VLOOKUP($C29,Sheet2!$A$2:$B$10,2,0)</f>
        <v>114010-50820</v>
      </c>
      <c r="E29" s="7" t="s">
        <v>60</v>
      </c>
      <c r="F29" s="12">
        <v>45978</v>
      </c>
      <c r="G29" s="13">
        <v>0.5625</v>
      </c>
      <c r="H29" s="1" t="s">
        <v>52</v>
      </c>
      <c r="I29" s="1" t="s">
        <v>10</v>
      </c>
      <c r="J29" s="1">
        <v>9</v>
      </c>
      <c r="K29" s="14">
        <f>VLOOKUP($C29,Sheet2!$A$2:$D$10,4,0)</f>
        <v>1</v>
      </c>
      <c r="L29" s="14" t="str">
        <f>VLOOKUP($C29,Sheet2!$A$2:$E$10,5,0)</f>
        <v>Bin</v>
      </c>
      <c r="M29" s="14">
        <f t="shared" si="3"/>
        <v>9</v>
      </c>
      <c r="N29" s="1"/>
      <c r="O29" s="1" t="s">
        <v>171</v>
      </c>
      <c r="P29" s="1" t="s">
        <v>910</v>
      </c>
    </row>
    <row r="30" spans="1:16" x14ac:dyDescent="0.25">
      <c r="A30" s="15" t="s">
        <v>847</v>
      </c>
      <c r="B30" s="16" t="s">
        <v>841</v>
      </c>
      <c r="C30" s="1" t="s">
        <v>67</v>
      </c>
      <c r="D30" s="1" t="str">
        <f>VLOOKUP($C30,Sheet2!$A$2:$B$10,2,0)</f>
        <v>114010-50830</v>
      </c>
      <c r="E30" s="7" t="s">
        <v>60</v>
      </c>
      <c r="F30" s="12">
        <v>45978</v>
      </c>
      <c r="G30" s="13">
        <v>0.5625</v>
      </c>
      <c r="H30" s="1" t="s">
        <v>52</v>
      </c>
      <c r="I30" s="1" t="s">
        <v>10</v>
      </c>
      <c r="J30" s="1">
        <v>21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si="3"/>
        <v>21</v>
      </c>
      <c r="N30" s="1"/>
      <c r="O30" s="1" t="s">
        <v>171</v>
      </c>
      <c r="P30" s="1" t="s">
        <v>587</v>
      </c>
    </row>
    <row r="31" spans="1:16" s="20" customForma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>
        <v>65</v>
      </c>
      <c r="N31" s="9">
        <v>4</v>
      </c>
      <c r="O31" s="9"/>
      <c r="P31" s="9"/>
    </row>
    <row r="32" spans="1:16" x14ac:dyDescent="0.25">
      <c r="A32" s="15" t="s">
        <v>848</v>
      </c>
      <c r="B32" s="16" t="s">
        <v>803</v>
      </c>
      <c r="C32" s="1" t="s">
        <v>7</v>
      </c>
      <c r="D32" s="1" t="str">
        <f>VLOOKUP($C32,Sheet2!$A$2:$B$10,2,0)</f>
        <v>141110-14600</v>
      </c>
      <c r="E32" s="7" t="s">
        <v>8</v>
      </c>
      <c r="F32" s="12">
        <v>45978</v>
      </c>
      <c r="G32" s="13">
        <v>0.77083333333333337</v>
      </c>
      <c r="H32" s="1" t="s">
        <v>9</v>
      </c>
      <c r="I32" s="1" t="s">
        <v>10</v>
      </c>
      <c r="J32" s="1">
        <v>18</v>
      </c>
      <c r="K32" s="14">
        <f>VLOOKUP($C32,Sheet2!$A$2:$D$10,4,0)</f>
        <v>18</v>
      </c>
      <c r="L32" s="14" t="str">
        <f>VLOOKUP($C32,Sheet2!$A$2:$E$10,5,0)</f>
        <v>Trolley (H)</v>
      </c>
      <c r="M32" s="14"/>
      <c r="N32" s="63">
        <v>1</v>
      </c>
      <c r="O32" s="1" t="s">
        <v>166</v>
      </c>
      <c r="P32" s="1" t="s">
        <v>911</v>
      </c>
    </row>
    <row r="33" spans="1:16" x14ac:dyDescent="0.25">
      <c r="A33" s="15" t="s">
        <v>848</v>
      </c>
      <c r="B33" s="16" t="s">
        <v>808</v>
      </c>
      <c r="C33" s="1" t="s">
        <v>16</v>
      </c>
      <c r="D33" s="1" t="str">
        <f>VLOOKUP($C33,Sheet2!$A$2:$B$10,2,0)</f>
        <v>141120-14600</v>
      </c>
      <c r="E33" s="7" t="s">
        <v>17</v>
      </c>
      <c r="F33" s="12">
        <v>45978</v>
      </c>
      <c r="G33" s="13">
        <v>0.77083333333333337</v>
      </c>
      <c r="H33" s="1" t="s">
        <v>9</v>
      </c>
      <c r="I33" s="1" t="s">
        <v>10</v>
      </c>
      <c r="J33" s="1">
        <v>18</v>
      </c>
      <c r="K33" s="14">
        <f>VLOOKUP($C33,Sheet2!$A$2:$D$10,4,0)</f>
        <v>18</v>
      </c>
      <c r="L33" s="14" t="str">
        <f>VLOOKUP($C33,Sheet2!$A$2:$E$10,5,0)</f>
        <v>Trolley (H)</v>
      </c>
      <c r="M33" s="14"/>
      <c r="N33" s="64"/>
      <c r="O33" s="1" t="s">
        <v>166</v>
      </c>
      <c r="P33" s="1" t="s">
        <v>908</v>
      </c>
    </row>
    <row r="34" spans="1:16" x14ac:dyDescent="0.25">
      <c r="A34" s="15" t="s">
        <v>848</v>
      </c>
      <c r="B34" s="16" t="s">
        <v>813</v>
      </c>
      <c r="C34" s="1" t="s">
        <v>23</v>
      </c>
      <c r="D34" s="1" t="str">
        <f>VLOOKUP($C34,Sheet2!$A$2:$B$10,2,0)</f>
        <v>141185-74670</v>
      </c>
      <c r="E34" s="7" t="s">
        <v>24</v>
      </c>
      <c r="F34" s="12">
        <v>45978</v>
      </c>
      <c r="G34" s="13">
        <v>0.77083333333333337</v>
      </c>
      <c r="H34" s="1" t="s">
        <v>9</v>
      </c>
      <c r="I34" s="1" t="s">
        <v>10</v>
      </c>
      <c r="J34" s="1">
        <v>40</v>
      </c>
      <c r="K34" s="14">
        <f>VLOOKUP($C34,Sheet2!$A$2:$D$10,4,0)</f>
        <v>40</v>
      </c>
      <c r="L34" s="14" t="str">
        <f>VLOOKUP($C34,Sheet2!$A$2:$E$10,5,0)</f>
        <v>Trolley</v>
      </c>
      <c r="M34" s="14"/>
      <c r="N34" s="1">
        <f>J34/K34</f>
        <v>1</v>
      </c>
      <c r="O34" s="1" t="s">
        <v>166</v>
      </c>
      <c r="P34" s="1">
        <v>910101985</v>
      </c>
    </row>
    <row r="35" spans="1:16" x14ac:dyDescent="0.25">
      <c r="A35" s="15" t="s">
        <v>848</v>
      </c>
      <c r="B35" s="16" t="s">
        <v>818</v>
      </c>
      <c r="C35" s="1" t="s">
        <v>29</v>
      </c>
      <c r="D35" s="1" t="str">
        <f>VLOOKUP($C35,Sheet2!$A$2:$B$10,2,0)</f>
        <v>141140-91211</v>
      </c>
      <c r="E35" s="7" t="s">
        <v>30</v>
      </c>
      <c r="F35" s="12">
        <v>45978</v>
      </c>
      <c r="G35" s="13">
        <v>0.77083333333333337</v>
      </c>
      <c r="H35" s="1" t="s">
        <v>31</v>
      </c>
      <c r="I35" s="1" t="s">
        <v>10</v>
      </c>
      <c r="J35" s="1">
        <v>20</v>
      </c>
      <c r="K35" s="14">
        <f>VLOOKUP($C35,Sheet2!$A$2:$D$10,4,0)</f>
        <v>2</v>
      </c>
      <c r="L35" s="14" t="str">
        <f>VLOOKUP($C35,Sheet2!$A$2:$E$10,5,0)</f>
        <v>Bin</v>
      </c>
      <c r="M35" s="14">
        <f t="shared" ref="M35:M36" si="4">J35/K35</f>
        <v>10</v>
      </c>
      <c r="N35" s="1"/>
      <c r="O35" s="1" t="s">
        <v>166</v>
      </c>
      <c r="P35" s="1" t="s">
        <v>1018</v>
      </c>
    </row>
    <row r="36" spans="1:16" x14ac:dyDescent="0.25">
      <c r="A36" s="15" t="s">
        <v>848</v>
      </c>
      <c r="B36" s="16" t="s">
        <v>823</v>
      </c>
      <c r="C36" s="1" t="s">
        <v>37</v>
      </c>
      <c r="D36" s="1" t="str">
        <f>VLOOKUP($C36,Sheet2!$A$2:$B$10,2,0)</f>
        <v>141150-91211</v>
      </c>
      <c r="E36" s="7" t="s">
        <v>38</v>
      </c>
      <c r="F36" s="12">
        <v>45978</v>
      </c>
      <c r="G36" s="13">
        <v>0.77083333333333337</v>
      </c>
      <c r="H36" s="1" t="s">
        <v>31</v>
      </c>
      <c r="I36" s="1" t="s">
        <v>10</v>
      </c>
      <c r="J36" s="1">
        <v>20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si="4"/>
        <v>10</v>
      </c>
      <c r="N36" s="1"/>
      <c r="O36" s="1" t="s">
        <v>166</v>
      </c>
      <c r="P36" s="1" t="s">
        <v>1018</v>
      </c>
    </row>
    <row r="37" spans="1:16" x14ac:dyDescent="0.25">
      <c r="A37" s="15" t="s">
        <v>848</v>
      </c>
      <c r="B37" s="16" t="s">
        <v>827</v>
      </c>
      <c r="C37" s="1" t="s">
        <v>45</v>
      </c>
      <c r="D37" s="1" t="str">
        <f>VLOOKUP($C37,Sheet2!$A$2:$B$10,2,0)</f>
        <v>141186-74360</v>
      </c>
      <c r="E37" s="7" t="s">
        <v>46</v>
      </c>
      <c r="F37" s="12">
        <v>45978</v>
      </c>
      <c r="G37" s="13">
        <v>0.77083333333333337</v>
      </c>
      <c r="H37" s="1" t="s">
        <v>31</v>
      </c>
      <c r="I37" s="1" t="s">
        <v>10</v>
      </c>
      <c r="J37" s="1">
        <v>40</v>
      </c>
      <c r="K37" s="14">
        <f>VLOOKUP($C37,Sheet2!$A$2:$D$10,4,0)</f>
        <v>40</v>
      </c>
      <c r="L37" s="14" t="str">
        <f>VLOOKUP($C37,Sheet2!$A$2:$E$10,5,0)</f>
        <v>Trolley</v>
      </c>
      <c r="M37" s="14"/>
      <c r="N37" s="1">
        <f>J37/K37</f>
        <v>1</v>
      </c>
      <c r="O37" s="1" t="s">
        <v>166</v>
      </c>
      <c r="P37" s="1" t="s">
        <v>912</v>
      </c>
    </row>
    <row r="38" spans="1:16" x14ac:dyDescent="0.25">
      <c r="A38" s="15" t="s">
        <v>849</v>
      </c>
      <c r="B38" s="16" t="s">
        <v>832</v>
      </c>
      <c r="C38" s="1" t="s">
        <v>50</v>
      </c>
      <c r="D38" s="1" t="str">
        <f>VLOOKUP($C38,Sheet2!$A$2:$B$10,2,0)</f>
        <v>116040-92240</v>
      </c>
      <c r="E38" s="7" t="s">
        <v>51</v>
      </c>
      <c r="F38" s="12">
        <v>45978</v>
      </c>
      <c r="G38" s="13">
        <v>0.77083333333333337</v>
      </c>
      <c r="H38" s="1" t="s">
        <v>52</v>
      </c>
      <c r="I38" s="1" t="s">
        <v>10</v>
      </c>
      <c r="J38" s="1">
        <v>24</v>
      </c>
      <c r="K38" s="14">
        <f>VLOOKUP($C38,Sheet2!$A$2:$D$10,4,0)</f>
        <v>6</v>
      </c>
      <c r="L38" s="14" t="str">
        <f>VLOOKUP($C38,Sheet2!$A$2:$E$10,5,0)</f>
        <v>Bin</v>
      </c>
      <c r="M38" s="14">
        <f t="shared" ref="M38:M40" si="5">J38/K38</f>
        <v>4</v>
      </c>
      <c r="N38" s="1"/>
      <c r="O38" s="1" t="s">
        <v>166</v>
      </c>
      <c r="P38" s="1" t="s">
        <v>591</v>
      </c>
    </row>
    <row r="39" spans="1:16" x14ac:dyDescent="0.25">
      <c r="A39" s="15" t="s">
        <v>849</v>
      </c>
      <c r="B39" s="16" t="s">
        <v>837</v>
      </c>
      <c r="C39" s="1" t="s">
        <v>59</v>
      </c>
      <c r="D39" s="1" t="str">
        <f>VLOOKUP($C39,Sheet2!$A$2:$B$10,2,0)</f>
        <v>114010-50820</v>
      </c>
      <c r="E39" s="7" t="s">
        <v>60</v>
      </c>
      <c r="F39" s="12">
        <v>45978</v>
      </c>
      <c r="G39" s="13">
        <v>0.77083333333333337</v>
      </c>
      <c r="H39" s="1" t="s">
        <v>52</v>
      </c>
      <c r="I39" s="1" t="s">
        <v>10</v>
      </c>
      <c r="J39" s="1">
        <v>6</v>
      </c>
      <c r="K39" s="14">
        <f>VLOOKUP($C39,Sheet2!$A$2:$D$10,4,0)</f>
        <v>1</v>
      </c>
      <c r="L39" s="14" t="str">
        <f>VLOOKUP($C39,Sheet2!$A$2:$E$10,5,0)</f>
        <v>Bin</v>
      </c>
      <c r="M39" s="14">
        <f t="shared" si="5"/>
        <v>6</v>
      </c>
      <c r="N39" s="1"/>
      <c r="O39" s="1" t="s">
        <v>166</v>
      </c>
      <c r="P39" s="1" t="s">
        <v>910</v>
      </c>
    </row>
    <row r="40" spans="1:16" ht="15.75" thickBot="1" x14ac:dyDescent="0.3">
      <c r="A40" s="15" t="s">
        <v>849</v>
      </c>
      <c r="B40" s="16" t="s">
        <v>842</v>
      </c>
      <c r="C40" s="1" t="s">
        <v>67</v>
      </c>
      <c r="D40" s="1" t="str">
        <f>VLOOKUP($C40,Sheet2!$A$2:$B$10,2,0)</f>
        <v>114010-50830</v>
      </c>
      <c r="E40" s="7" t="s">
        <v>60</v>
      </c>
      <c r="F40" s="12">
        <v>45978</v>
      </c>
      <c r="G40" s="19">
        <v>0.77083333333333337</v>
      </c>
      <c r="H40" s="1" t="s">
        <v>52</v>
      </c>
      <c r="I40" s="1" t="s">
        <v>10</v>
      </c>
      <c r="J40" s="1">
        <v>13</v>
      </c>
      <c r="K40" s="14">
        <f>VLOOKUP($C40,Sheet2!$A$2:$D$10,4,0)</f>
        <v>1</v>
      </c>
      <c r="L40" s="14" t="str">
        <f>VLOOKUP($C40,Sheet2!$A$2:$E$10,5,0)</f>
        <v>Bin</v>
      </c>
      <c r="M40" s="14">
        <f t="shared" si="5"/>
        <v>13</v>
      </c>
      <c r="N40" s="1"/>
      <c r="O40" s="1" t="s">
        <v>166</v>
      </c>
      <c r="P40" s="1" t="s">
        <v>587</v>
      </c>
    </row>
    <row r="41" spans="1:16" ht="15.75" thickTop="1" x14ac:dyDescent="0.25">
      <c r="A41" s="15" t="s">
        <v>850</v>
      </c>
      <c r="B41" s="16" t="s">
        <v>804</v>
      </c>
      <c r="C41" s="1" t="s">
        <v>7</v>
      </c>
      <c r="D41" s="1" t="str">
        <f>VLOOKUP($C41,Sheet2!$A$2:$B$10,2,0)</f>
        <v>141110-14600</v>
      </c>
      <c r="E41" s="7" t="s">
        <v>8</v>
      </c>
      <c r="F41" s="12">
        <v>45978</v>
      </c>
      <c r="G41" s="18">
        <v>0.97916666666666663</v>
      </c>
      <c r="H41" s="1" t="s">
        <v>9</v>
      </c>
      <c r="I41" s="1" t="s">
        <v>10</v>
      </c>
      <c r="J41" s="1">
        <v>36</v>
      </c>
      <c r="K41" s="14">
        <f>VLOOKUP($C41,Sheet2!$A$2:$D$10,4,0)</f>
        <v>18</v>
      </c>
      <c r="L41" s="14" t="str">
        <f>VLOOKUP($C41,Sheet2!$A$2:$E$10,5,0)</f>
        <v>Trolley (H)</v>
      </c>
      <c r="M41" s="14"/>
      <c r="N41" s="63">
        <v>2</v>
      </c>
      <c r="O41" s="1" t="s">
        <v>166</v>
      </c>
      <c r="P41" s="1" t="s">
        <v>908</v>
      </c>
    </row>
    <row r="42" spans="1:16" x14ac:dyDescent="0.25">
      <c r="A42" s="15" t="s">
        <v>850</v>
      </c>
      <c r="B42" s="16" t="s">
        <v>809</v>
      </c>
      <c r="C42" s="1" t="s">
        <v>16</v>
      </c>
      <c r="D42" s="1" t="str">
        <f>VLOOKUP($C42,Sheet2!$A$2:$B$10,2,0)</f>
        <v>141120-14600</v>
      </c>
      <c r="E42" s="7" t="s">
        <v>17</v>
      </c>
      <c r="F42" s="12">
        <v>45978</v>
      </c>
      <c r="G42" s="13">
        <v>0.97916666666666663</v>
      </c>
      <c r="H42" s="1" t="s">
        <v>9</v>
      </c>
      <c r="I42" s="1" t="s">
        <v>10</v>
      </c>
      <c r="J42" s="1">
        <v>36</v>
      </c>
      <c r="K42" s="14">
        <f>VLOOKUP($C42,Sheet2!$A$2:$D$10,4,0)</f>
        <v>18</v>
      </c>
      <c r="L42" s="14" t="str">
        <f>VLOOKUP($C42,Sheet2!$A$2:$E$10,5,0)</f>
        <v>Trolley (H)</v>
      </c>
      <c r="M42" s="14"/>
      <c r="N42" s="64"/>
      <c r="O42" s="1" t="s">
        <v>166</v>
      </c>
      <c r="P42" s="1" t="s">
        <v>913</v>
      </c>
    </row>
    <row r="43" spans="1:16" x14ac:dyDescent="0.25">
      <c r="A43" s="15" t="s">
        <v>850</v>
      </c>
      <c r="B43" s="16" t="s">
        <v>814</v>
      </c>
      <c r="C43" s="1" t="s">
        <v>23</v>
      </c>
      <c r="D43" s="1" t="str">
        <f>VLOOKUP($C43,Sheet2!$A$2:$B$10,2,0)</f>
        <v>141185-74670</v>
      </c>
      <c r="E43" s="7" t="s">
        <v>24</v>
      </c>
      <c r="F43" s="12">
        <v>45978</v>
      </c>
      <c r="G43" s="13">
        <v>0.97916666666666663</v>
      </c>
      <c r="H43" s="1" t="s">
        <v>9</v>
      </c>
      <c r="I43" s="1" t="s">
        <v>10</v>
      </c>
      <c r="J43" s="1">
        <v>40</v>
      </c>
      <c r="K43" s="14">
        <f>VLOOKUP($C43,Sheet2!$A$2:$D$10,4,0)</f>
        <v>40</v>
      </c>
      <c r="L43" s="14" t="str">
        <f>VLOOKUP($C43,Sheet2!$A$2:$E$10,5,0)</f>
        <v>Trolley</v>
      </c>
      <c r="M43" s="14"/>
      <c r="N43" s="1">
        <f>J43/K43</f>
        <v>1</v>
      </c>
      <c r="O43" s="1" t="s">
        <v>166</v>
      </c>
      <c r="P43" s="1">
        <v>910101985</v>
      </c>
    </row>
    <row r="44" spans="1:16" x14ac:dyDescent="0.25">
      <c r="A44" s="15" t="s">
        <v>850</v>
      </c>
      <c r="B44" s="16" t="s">
        <v>819</v>
      </c>
      <c r="C44" s="1" t="s">
        <v>29</v>
      </c>
      <c r="D44" s="1" t="str">
        <f>VLOOKUP($C44,Sheet2!$A$2:$B$10,2,0)</f>
        <v>141140-91211</v>
      </c>
      <c r="E44" s="7" t="s">
        <v>30</v>
      </c>
      <c r="F44" s="12">
        <v>45978</v>
      </c>
      <c r="G44" s="13">
        <v>0.97916666666666663</v>
      </c>
      <c r="H44" s="1" t="s">
        <v>31</v>
      </c>
      <c r="I44" s="1" t="s">
        <v>10</v>
      </c>
      <c r="J44" s="1">
        <v>24</v>
      </c>
      <c r="K44" s="14">
        <f>VLOOKUP($C44,Sheet2!$A$2:$D$10,4,0)</f>
        <v>2</v>
      </c>
      <c r="L44" s="14" t="str">
        <f>VLOOKUP($C44,Sheet2!$A$2:$E$10,5,0)</f>
        <v>Bin</v>
      </c>
      <c r="M44" s="14">
        <f t="shared" ref="M44:M45" si="6">J44/K44</f>
        <v>12</v>
      </c>
      <c r="N44" s="1"/>
      <c r="O44" s="1" t="s">
        <v>166</v>
      </c>
      <c r="P44" s="1" t="s">
        <v>1018</v>
      </c>
    </row>
    <row r="45" spans="1:16" x14ac:dyDescent="0.25">
      <c r="A45" s="15" t="s">
        <v>850</v>
      </c>
      <c r="B45" s="16" t="s">
        <v>824</v>
      </c>
      <c r="C45" s="1" t="s">
        <v>37</v>
      </c>
      <c r="D45" s="1" t="str">
        <f>VLOOKUP($C45,Sheet2!$A$2:$B$10,2,0)</f>
        <v>141150-91211</v>
      </c>
      <c r="E45" s="7" t="s">
        <v>38</v>
      </c>
      <c r="F45" s="12">
        <v>45978</v>
      </c>
      <c r="G45" s="13">
        <v>0.97916666666666663</v>
      </c>
      <c r="H45" s="1" t="s">
        <v>31</v>
      </c>
      <c r="I45" s="1" t="s">
        <v>10</v>
      </c>
      <c r="J45" s="1">
        <v>24</v>
      </c>
      <c r="K45" s="14">
        <f>VLOOKUP($C45,Sheet2!$A$2:$D$10,4,0)</f>
        <v>2</v>
      </c>
      <c r="L45" s="14" t="str">
        <f>VLOOKUP($C45,Sheet2!$A$2:$E$10,5,0)</f>
        <v>Bin</v>
      </c>
      <c r="M45" s="14">
        <f t="shared" si="6"/>
        <v>12</v>
      </c>
      <c r="N45" s="1"/>
      <c r="O45" s="1" t="s">
        <v>166</v>
      </c>
      <c r="P45" s="1" t="s">
        <v>1018</v>
      </c>
    </row>
    <row r="46" spans="1:16" x14ac:dyDescent="0.25">
      <c r="A46" s="15" t="s">
        <v>850</v>
      </c>
      <c r="B46" s="16" t="s">
        <v>828</v>
      </c>
      <c r="C46" s="1" t="s">
        <v>45</v>
      </c>
      <c r="D46" s="1" t="str">
        <f>VLOOKUP($C46,Sheet2!$A$2:$B$10,2,0)</f>
        <v>141186-74360</v>
      </c>
      <c r="E46" s="7" t="s">
        <v>46</v>
      </c>
      <c r="F46" s="12">
        <v>45978</v>
      </c>
      <c r="G46" s="13">
        <v>0.97916666666666663</v>
      </c>
      <c r="H46" s="1" t="s">
        <v>31</v>
      </c>
      <c r="I46" s="1" t="s">
        <v>10</v>
      </c>
      <c r="J46" s="1">
        <v>40</v>
      </c>
      <c r="K46" s="14">
        <f>VLOOKUP($C46,Sheet2!$A$2:$D$10,4,0)</f>
        <v>40</v>
      </c>
      <c r="L46" s="14" t="str">
        <f>VLOOKUP($C46,Sheet2!$A$2:$E$10,5,0)</f>
        <v>Trolley</v>
      </c>
      <c r="M46" s="14"/>
      <c r="N46" s="1">
        <f>J46/K46</f>
        <v>1</v>
      </c>
      <c r="O46" s="1" t="s">
        <v>166</v>
      </c>
      <c r="P46" s="1" t="s">
        <v>914</v>
      </c>
    </row>
    <row r="47" spans="1:16" x14ac:dyDescent="0.25">
      <c r="A47" s="15" t="s">
        <v>851</v>
      </c>
      <c r="B47" s="16" t="s">
        <v>833</v>
      </c>
      <c r="C47" s="1" t="s">
        <v>50</v>
      </c>
      <c r="D47" s="1" t="str">
        <f>VLOOKUP($C47,Sheet2!$A$2:$B$10,2,0)</f>
        <v>116040-92240</v>
      </c>
      <c r="E47" s="7" t="s">
        <v>51</v>
      </c>
      <c r="F47" s="12">
        <v>45978</v>
      </c>
      <c r="G47" s="13">
        <v>0.97916666666666663</v>
      </c>
      <c r="H47" s="1" t="s">
        <v>52</v>
      </c>
      <c r="I47" s="1" t="s">
        <v>10</v>
      </c>
      <c r="J47" s="1">
        <v>24</v>
      </c>
      <c r="K47" s="14">
        <f>VLOOKUP($C47,Sheet2!$A$2:$D$10,4,0)</f>
        <v>6</v>
      </c>
      <c r="L47" s="14" t="str">
        <f>VLOOKUP($C47,Sheet2!$A$2:$E$10,5,0)</f>
        <v>Bin</v>
      </c>
      <c r="M47" s="14">
        <f t="shared" ref="M47:M49" si="7">J47/K47</f>
        <v>4</v>
      </c>
      <c r="N47" s="1"/>
      <c r="O47" s="1" t="s">
        <v>166</v>
      </c>
      <c r="P47" s="1" t="s">
        <v>591</v>
      </c>
    </row>
    <row r="48" spans="1:16" x14ac:dyDescent="0.25">
      <c r="A48" s="15" t="s">
        <v>851</v>
      </c>
      <c r="B48" s="16" t="s">
        <v>838</v>
      </c>
      <c r="C48" s="1" t="s">
        <v>59</v>
      </c>
      <c r="D48" s="1" t="str">
        <f>VLOOKUP($C48,Sheet2!$A$2:$B$10,2,0)</f>
        <v>114010-50820</v>
      </c>
      <c r="E48" s="7" t="s">
        <v>60</v>
      </c>
      <c r="F48" s="12">
        <v>45978</v>
      </c>
      <c r="G48" s="13">
        <v>0.97916666666666663</v>
      </c>
      <c r="H48" s="1" t="s">
        <v>52</v>
      </c>
      <c r="I48" s="1" t="s">
        <v>10</v>
      </c>
      <c r="J48" s="1">
        <v>6</v>
      </c>
      <c r="K48" s="14">
        <f>VLOOKUP($C48,Sheet2!$A$2:$D$10,4,0)</f>
        <v>1</v>
      </c>
      <c r="L48" s="14" t="str">
        <f>VLOOKUP($C48,Sheet2!$A$2:$E$10,5,0)</f>
        <v>Bin</v>
      </c>
      <c r="M48" s="14">
        <f t="shared" si="7"/>
        <v>6</v>
      </c>
      <c r="N48" s="1"/>
      <c r="O48" s="1" t="s">
        <v>166</v>
      </c>
      <c r="P48" s="1" t="s">
        <v>915</v>
      </c>
    </row>
    <row r="49" spans="1:16" x14ac:dyDescent="0.25">
      <c r="A49" s="15" t="s">
        <v>851</v>
      </c>
      <c r="B49" s="16" t="s">
        <v>843</v>
      </c>
      <c r="C49" s="1" t="s">
        <v>67</v>
      </c>
      <c r="D49" s="1" t="str">
        <f>VLOOKUP($C49,Sheet2!$A$2:$B$10,2,0)</f>
        <v>114010-50830</v>
      </c>
      <c r="E49" s="7" t="s">
        <v>60</v>
      </c>
      <c r="F49" s="12">
        <v>45978</v>
      </c>
      <c r="G49" s="13">
        <v>0.97916666666666663</v>
      </c>
      <c r="H49" s="1" t="s">
        <v>52</v>
      </c>
      <c r="I49" s="1" t="s">
        <v>10</v>
      </c>
      <c r="J49" s="1">
        <v>19</v>
      </c>
      <c r="K49" s="14">
        <f>VLOOKUP($C49,Sheet2!$A$2:$D$10,4,0)</f>
        <v>1</v>
      </c>
      <c r="L49" s="14" t="str">
        <f>VLOOKUP($C49,Sheet2!$A$2:$E$10,5,0)</f>
        <v>Bin</v>
      </c>
      <c r="M49" s="14">
        <f t="shared" si="7"/>
        <v>19</v>
      </c>
      <c r="N49" s="1"/>
      <c r="O49" s="1" t="s">
        <v>166</v>
      </c>
      <c r="P49" s="1" t="s">
        <v>587</v>
      </c>
    </row>
    <row r="50" spans="1:16" s="20" customForma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>
        <v>96</v>
      </c>
      <c r="N50" s="9">
        <v>7</v>
      </c>
      <c r="O50" s="9"/>
      <c r="P50" s="9"/>
    </row>
  </sheetData>
  <autoFilter ref="A3:P50" xr:uid="{588197FE-7465-4E35-B7CE-4A7684EA27FF}"/>
  <mergeCells count="8">
    <mergeCell ref="N41:N42"/>
    <mergeCell ref="A1:F1"/>
    <mergeCell ref="J1:N1"/>
    <mergeCell ref="L2:N2"/>
    <mergeCell ref="N4:N5"/>
    <mergeCell ref="N6:N7"/>
    <mergeCell ref="N22:N23"/>
    <mergeCell ref="N32:N33"/>
  </mergeCells>
  <conditionalFormatting sqref="B2">
    <cfRule type="duplicateValues" dxfId="508" priority="42"/>
    <cfRule type="duplicateValues" dxfId="507" priority="41"/>
  </conditionalFormatting>
  <conditionalFormatting sqref="B4:B20 B22:B30 B32:B49">
    <cfRule type="duplicateValues" dxfId="506" priority="112"/>
  </conditionalFormatting>
  <conditionalFormatting sqref="C2:D2">
    <cfRule type="duplicateValues" dxfId="505" priority="44"/>
    <cfRule type="duplicateValues" dxfId="504" priority="43"/>
  </conditionalFormatting>
  <conditionalFormatting sqref="D3">
    <cfRule type="duplicateValues" dxfId="501" priority="40"/>
    <cfRule type="duplicateValues" dxfId="500" priority="39"/>
  </conditionalFormatting>
  <conditionalFormatting sqref="D21">
    <cfRule type="duplicateValues" dxfId="495" priority="23"/>
    <cfRule type="duplicateValues" dxfId="494" priority="22"/>
  </conditionalFormatting>
  <conditionalFormatting sqref="D31">
    <cfRule type="duplicateValues" dxfId="493" priority="16"/>
    <cfRule type="duplicateValues" dxfId="491" priority="17"/>
  </conditionalFormatting>
  <conditionalFormatting sqref="D50">
    <cfRule type="duplicateValues" dxfId="490" priority="4"/>
    <cfRule type="duplicateValues" dxfId="489" priority="5"/>
  </conditionalFormatting>
  <pageMargins left="0.17" right="0.17" top="0.17" bottom="0.17" header="0.17" footer="0.17"/>
  <pageSetup paperSize="9" scale="6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3" operator="containsText" text="17521M68PA0" id="{5CF936B4-AE31-4952-9EA6-97AD8ABA35C7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C4:D20 C22:D30 C32:D49</xm:sqref>
        </x14:conditionalFormatting>
        <x14:conditionalFormatting xmlns:xm="http://schemas.microsoft.com/office/excel/2006/main">
          <x14:cfRule type="containsText" priority="49" operator="containsText" text="17521M68PA0" id="{386C7492-D2C5-4D62-A0F7-A99ED64514A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25" operator="containsText" text="17521M74T00" id="{49AC3238-7F8B-4293-8132-E1D015B66FF6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26" operator="containsText" text="17521M68PA0" id="{AD91272C-20AD-4B94-AD7D-9C8CCC4B3DE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7" operator="containsText" text="17521M74T00" id="{7DB68042-FDC3-400B-A1F2-38BE46B0E4CA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D4:D20 D22:D30 D32:D49</xm:sqref>
        </x14:conditionalFormatting>
        <x14:conditionalFormatting xmlns:xm="http://schemas.microsoft.com/office/excel/2006/main">
          <x14:cfRule type="containsText" priority="24" operator="containsText" text="17521M68PA0" id="{93A6443A-11D3-4CED-9750-A457BCB4AAF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containsText" priority="18" operator="containsText" text="17521M68PA0" id="{0ECF1D53-64D2-46E8-A9CC-D3E31872421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containsText" priority="6" operator="containsText" text="17521M68PA0" id="{136A5CA3-82AC-4327-B2DF-B65ED4B8995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D50</xm:sqref>
        </x14:conditionalFormatting>
        <x14:conditionalFormatting xmlns:xm="http://schemas.microsoft.com/office/excel/2006/main">
          <x14:cfRule type="containsText" priority="45" operator="containsText" text="17521M68PA0" id="{B6C700E9-140B-48F6-B671-312B996F21B1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6" operator="containsText" text="17521M74T00" id="{C5B3E1DC-5D82-420B-991C-F5307C811D09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36" operator="containsText" text="BELT,WATER PUMP - 7PK 975" id="{88855993-4AE1-4727-B7B0-6C97500EEF9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35" operator="containsText" text="BELT,WATER PUMP - 5PK 913" id="{6C89B940-EBAE-435A-990B-8E1E5BED5202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E3:E50</xm:sqref>
        </x14:conditionalFormatting>
        <x14:conditionalFormatting xmlns:xm="http://schemas.microsoft.com/office/excel/2006/main">
          <x14:cfRule type="containsText" priority="19" operator="containsText" text="BELT,WATER PUMP - 7PK 975" id="{25C474CB-FCAE-4D8B-8A2E-1B0D7F7A5FF0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containsText" priority="13" operator="containsText" text="BELT,WATER PUMP - 7PK 975" id="{28963089-76AC-48E1-AAC6-8828B645ADE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E31</xm:sqref>
        </x14:conditionalFormatting>
        <x14:conditionalFormatting xmlns:xm="http://schemas.microsoft.com/office/excel/2006/main">
          <x14:cfRule type="containsText" priority="1" operator="containsText" text="BELT,WATER PUMP - 7PK 975" id="{A313ABB2-B829-4949-BA3E-4D1F60B29692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E50</xm:sqref>
        </x14:conditionalFormatting>
        <x14:conditionalFormatting xmlns:xm="http://schemas.microsoft.com/office/excel/2006/main">
          <x14:cfRule type="containsText" priority="47" operator="containsText" text="BELT,WATER PUMP - 5PK 913" id="{4880A60C-2DF5-4060-B53C-A7304803062A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8" operator="containsText" text="BELT,WATER PUMP - 7PK 975" id="{DF968140-E9D4-42C5-A8B1-4736B15FBFA7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37" operator="containsText" text="5PK 913" id="{4A82393A-6343-4635-A141-26FA8ED197FF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8" operator="containsText" text="7PK 975" id="{3160CBA6-C243-4A77-A675-E1FC825CD44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1" operator="containsText" text="7PK 975" id="{8CAAB19A-FFB9-4FAA-9E03-3758B17AB718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text="5PK 913" id="{39E1A21D-63DC-45F6-9BEE-6FC02BBC1B6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P21</xm:sqref>
        </x14:conditionalFormatting>
        <x14:conditionalFormatting xmlns:xm="http://schemas.microsoft.com/office/excel/2006/main">
          <x14:cfRule type="containsText" priority="14" operator="containsText" text="5PK 913" id="{6A98D489-3510-4CD3-BCCB-A1DDC7FD3E8A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5" operator="containsText" text="7PK 975" id="{2D5BD864-8B03-4500-AA7C-2352E4B353A5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P31</xm:sqref>
        </x14:conditionalFormatting>
        <x14:conditionalFormatting xmlns:xm="http://schemas.microsoft.com/office/excel/2006/main">
          <x14:cfRule type="containsText" priority="2" operator="containsText" text="5PK 913" id="{CCA12930-2CE4-40D6-A8C0-01E066CF6499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7PK 975" id="{F0A736F8-440E-402B-87CA-2CC7862DF512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P50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AD01-D992-46E2-AFF0-92995D50AD12}">
  <dimension ref="A1:Q4"/>
  <sheetViews>
    <sheetView workbookViewId="0">
      <selection activeCell="E8" sqref="E8"/>
    </sheetView>
  </sheetViews>
  <sheetFormatPr defaultColWidth="69.5703125" defaultRowHeight="15" x14ac:dyDescent="0.25"/>
  <cols>
    <col min="1" max="1" width="9.140625" bestFit="1" customWidth="1"/>
    <col min="2" max="2" width="17.85546875" bestFit="1" customWidth="1"/>
    <col min="3" max="3" width="18" bestFit="1" customWidth="1"/>
    <col min="4" max="4" width="14.7109375" bestFit="1" customWidth="1"/>
    <col min="5" max="5" width="16.7109375" bestFit="1" customWidth="1"/>
    <col min="6" max="6" width="16.140625" bestFit="1" customWidth="1"/>
    <col min="7" max="7" width="22" bestFit="1" customWidth="1"/>
    <col min="8" max="8" width="20.28515625" customWidth="1"/>
    <col min="9" max="9" width="20.5703125" customWidth="1"/>
    <col min="10" max="10" width="10.140625" customWidth="1"/>
    <col min="11" max="11" width="11" bestFit="1" customWidth="1"/>
    <col min="12" max="12" width="20.140625" bestFit="1" customWidth="1"/>
    <col min="13" max="13" width="20.5703125" bestFit="1" customWidth="1"/>
    <col min="14" max="14" width="8.42578125" bestFit="1" customWidth="1"/>
    <col min="15" max="15" width="15.140625" customWidth="1"/>
    <col min="16" max="16" width="10.140625" bestFit="1" customWidth="1"/>
    <col min="17" max="17" width="26.140625" bestFit="1" customWidth="1"/>
  </cols>
  <sheetData>
    <row r="1" spans="1:17" ht="15.75" thickBot="1" x14ac:dyDescent="0.3">
      <c r="A1" s="41" t="s">
        <v>733</v>
      </c>
      <c r="B1" s="41" t="s">
        <v>654</v>
      </c>
      <c r="C1" s="9" t="s">
        <v>75</v>
      </c>
      <c r="D1" s="41" t="s">
        <v>656</v>
      </c>
      <c r="E1" s="41" t="s">
        <v>661</v>
      </c>
      <c r="F1" s="41" t="s">
        <v>657</v>
      </c>
      <c r="G1" s="41" t="s">
        <v>658</v>
      </c>
      <c r="H1" s="9" t="s">
        <v>79</v>
      </c>
      <c r="I1" s="41" t="s">
        <v>659</v>
      </c>
      <c r="J1" s="41" t="s">
        <v>660</v>
      </c>
      <c r="K1" s="41" t="s">
        <v>662</v>
      </c>
      <c r="L1" s="41" t="s">
        <v>663</v>
      </c>
      <c r="M1" s="41" t="s">
        <v>664</v>
      </c>
      <c r="N1" s="41" t="s">
        <v>665</v>
      </c>
      <c r="O1" s="9" t="s">
        <v>83</v>
      </c>
      <c r="P1" s="41" t="s">
        <v>667</v>
      </c>
      <c r="Q1" s="41" t="s">
        <v>668</v>
      </c>
    </row>
    <row r="2" spans="1:17" ht="15.75" thickBot="1" x14ac:dyDescent="0.3">
      <c r="A2" s="42" t="s">
        <v>734</v>
      </c>
      <c r="B2" s="43">
        <v>45978</v>
      </c>
      <c r="C2" s="15" t="s">
        <v>970</v>
      </c>
      <c r="D2" s="42" t="s">
        <v>669</v>
      </c>
      <c r="E2" s="48" t="s">
        <v>852</v>
      </c>
      <c r="F2" s="42" t="s">
        <v>747</v>
      </c>
      <c r="G2" s="42">
        <v>10</v>
      </c>
      <c r="H2" s="42">
        <v>10</v>
      </c>
      <c r="I2" s="42">
        <v>0</v>
      </c>
      <c r="J2" s="42" t="s">
        <v>735</v>
      </c>
      <c r="K2" s="42" t="s">
        <v>671</v>
      </c>
      <c r="L2" s="42" t="s">
        <v>737</v>
      </c>
      <c r="M2" s="42" t="s">
        <v>738</v>
      </c>
      <c r="N2" s="42">
        <v>3917.5</v>
      </c>
      <c r="O2" s="42" t="s">
        <v>856</v>
      </c>
      <c r="P2" s="42"/>
      <c r="Q2" s="44" t="s">
        <v>739</v>
      </c>
    </row>
    <row r="3" spans="1:17" ht="15.75" thickBot="1" x14ac:dyDescent="0.3">
      <c r="A3" s="42" t="s">
        <v>734</v>
      </c>
      <c r="B3" s="43">
        <v>45978</v>
      </c>
      <c r="C3" s="15" t="s">
        <v>970</v>
      </c>
      <c r="D3" s="42" t="s">
        <v>669</v>
      </c>
      <c r="E3" s="48" t="s">
        <v>854</v>
      </c>
      <c r="F3" s="42" t="s">
        <v>853</v>
      </c>
      <c r="G3" s="42">
        <v>100</v>
      </c>
      <c r="H3" s="42">
        <v>10</v>
      </c>
      <c r="I3" s="42">
        <v>0</v>
      </c>
      <c r="J3" s="42" t="s">
        <v>735</v>
      </c>
      <c r="K3" s="42" t="s">
        <v>671</v>
      </c>
      <c r="L3" s="42" t="s">
        <v>737</v>
      </c>
      <c r="M3" s="42" t="s">
        <v>738</v>
      </c>
      <c r="N3" s="42">
        <v>920.5</v>
      </c>
      <c r="O3" s="42" t="s">
        <v>856</v>
      </c>
      <c r="P3" s="42"/>
      <c r="Q3" s="44" t="s">
        <v>739</v>
      </c>
    </row>
    <row r="4" spans="1:17" ht="15" customHeight="1" x14ac:dyDescent="0.25">
      <c r="A4" s="45" t="s">
        <v>855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7"/>
    </row>
  </sheetData>
  <hyperlinks>
    <hyperlink ref="A4" r:id="rId1" display="http://192.168.1.249/downloads/temp/X53920251117Spares.log" xr:uid="{35CE3D32-3F70-40CE-A1BD-C21CC3CFED8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2C71-A7A1-4172-96BD-6C9EA2271F2E}">
  <sheetPr>
    <pageSetUpPr fitToPage="1"/>
  </sheetPr>
  <dimension ref="A1:P43"/>
  <sheetViews>
    <sheetView workbookViewId="0">
      <selection activeCell="J2" sqref="J1:J1048576"/>
    </sheetView>
  </sheetViews>
  <sheetFormatPr defaultColWidth="52.140625" defaultRowHeight="15" x14ac:dyDescent="0.25"/>
  <cols>
    <col min="1" max="1" width="15.425781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0" bestFit="1" customWidth="1"/>
    <col min="7" max="7" width="7.7109375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28515625" bestFit="1" customWidth="1"/>
    <col min="16" max="16" width="37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45979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30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902</v>
      </c>
      <c r="B4" s="16" t="s">
        <v>857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45979</v>
      </c>
      <c r="G4" s="13">
        <v>0.35416666666666669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528</v>
      </c>
      <c r="P4" s="1" t="s">
        <v>908</v>
      </c>
    </row>
    <row r="5" spans="1:16" x14ac:dyDescent="0.25">
      <c r="A5" s="15" t="s">
        <v>902</v>
      </c>
      <c r="B5" s="16" t="s">
        <v>862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45979</v>
      </c>
      <c r="G5" s="13">
        <v>0.35416666666666669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528</v>
      </c>
      <c r="P5" s="1" t="s">
        <v>788</v>
      </c>
    </row>
    <row r="6" spans="1:16" x14ac:dyDescent="0.25">
      <c r="A6" s="15" t="s">
        <v>902</v>
      </c>
      <c r="B6" s="16" t="s">
        <v>858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45979</v>
      </c>
      <c r="G6" s="13">
        <v>0.35416666666666669</v>
      </c>
      <c r="H6" s="1" t="s">
        <v>9</v>
      </c>
      <c r="I6" s="1" t="s">
        <v>10</v>
      </c>
      <c r="J6" s="1">
        <v>18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1</v>
      </c>
      <c r="O6" s="1" t="s">
        <v>528</v>
      </c>
      <c r="P6" s="1" t="s">
        <v>908</v>
      </c>
    </row>
    <row r="7" spans="1:16" x14ac:dyDescent="0.25">
      <c r="A7" s="15" t="s">
        <v>902</v>
      </c>
      <c r="B7" s="16" t="s">
        <v>863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45979</v>
      </c>
      <c r="G7" s="13">
        <v>0.35416666666666669</v>
      </c>
      <c r="H7" s="1" t="s">
        <v>9</v>
      </c>
      <c r="I7" s="1" t="s">
        <v>10</v>
      </c>
      <c r="J7" s="1">
        <v>18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528</v>
      </c>
      <c r="P7" s="1" t="s">
        <v>788</v>
      </c>
    </row>
    <row r="8" spans="1:16" x14ac:dyDescent="0.25">
      <c r="A8" s="15" t="s">
        <v>902</v>
      </c>
      <c r="B8" s="16" t="s">
        <v>867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45979</v>
      </c>
      <c r="G8" s="13">
        <v>0.35416666666666669</v>
      </c>
      <c r="H8" s="1" t="s">
        <v>9</v>
      </c>
      <c r="I8" s="1" t="s">
        <v>10</v>
      </c>
      <c r="J8" s="1">
        <v>40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1</v>
      </c>
      <c r="O8" s="1" t="s">
        <v>528</v>
      </c>
      <c r="P8" s="1">
        <v>910101985</v>
      </c>
    </row>
    <row r="9" spans="1:16" x14ac:dyDescent="0.25">
      <c r="A9" s="15" t="s">
        <v>902</v>
      </c>
      <c r="B9" s="16" t="s">
        <v>868</v>
      </c>
      <c r="C9" s="1" t="s">
        <v>23</v>
      </c>
      <c r="D9" s="1" t="str">
        <f>VLOOKUP($C9,Sheet2!$A$2:$B$10,2,0)</f>
        <v>141185-74670</v>
      </c>
      <c r="E9" s="7" t="s">
        <v>24</v>
      </c>
      <c r="F9" s="12">
        <v>45979</v>
      </c>
      <c r="G9" s="13">
        <v>0.35416666666666669</v>
      </c>
      <c r="H9" s="1" t="s">
        <v>9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528</v>
      </c>
      <c r="P9" s="1">
        <v>910101985</v>
      </c>
    </row>
    <row r="10" spans="1:16" x14ac:dyDescent="0.25">
      <c r="A10" s="15" t="s">
        <v>902</v>
      </c>
      <c r="B10" s="16" t="s">
        <v>872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45979</v>
      </c>
      <c r="G10" s="13">
        <v>0.35416666666666669</v>
      </c>
      <c r="H10" s="1" t="s">
        <v>31</v>
      </c>
      <c r="I10" s="1" t="s">
        <v>10</v>
      </c>
      <c r="J10" s="1">
        <v>20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10</v>
      </c>
      <c r="N10" s="1"/>
      <c r="O10" s="1" t="s">
        <v>528</v>
      </c>
      <c r="P10" s="1" t="s">
        <v>1018</v>
      </c>
    </row>
    <row r="11" spans="1:16" x14ac:dyDescent="0.25">
      <c r="A11" s="15" t="s">
        <v>902</v>
      </c>
      <c r="B11" s="16" t="s">
        <v>873</v>
      </c>
      <c r="C11" s="1" t="s">
        <v>29</v>
      </c>
      <c r="D11" s="1" t="str">
        <f>VLOOKUP($C11,Sheet2!$A$2:$B$10,2,0)</f>
        <v>141140-91211</v>
      </c>
      <c r="E11" s="7" t="s">
        <v>30</v>
      </c>
      <c r="F11" s="12">
        <v>45979</v>
      </c>
      <c r="G11" s="13">
        <v>0.35416666666666669</v>
      </c>
      <c r="H11" s="1" t="s">
        <v>31</v>
      </c>
      <c r="I11" s="1" t="s">
        <v>10</v>
      </c>
      <c r="J11" s="1">
        <v>8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ref="M11:M13" si="0">J11/K11</f>
        <v>4</v>
      </c>
      <c r="N11" s="1"/>
      <c r="O11" s="1" t="s">
        <v>528</v>
      </c>
      <c r="P11" s="1" t="s">
        <v>1018</v>
      </c>
    </row>
    <row r="12" spans="1:16" x14ac:dyDescent="0.25">
      <c r="A12" s="15" t="s">
        <v>902</v>
      </c>
      <c r="B12" s="16" t="s">
        <v>877</v>
      </c>
      <c r="C12" s="1" t="s">
        <v>37</v>
      </c>
      <c r="D12" s="1" t="str">
        <f>VLOOKUP($C12,Sheet2!$A$2:$B$10,2,0)</f>
        <v>141150-91211</v>
      </c>
      <c r="E12" s="7" t="s">
        <v>38</v>
      </c>
      <c r="F12" s="12">
        <v>45979</v>
      </c>
      <c r="G12" s="13">
        <v>0.35416666666666669</v>
      </c>
      <c r="H12" s="1" t="s">
        <v>31</v>
      </c>
      <c r="I12" s="1" t="s">
        <v>10</v>
      </c>
      <c r="J12" s="1">
        <v>20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10</v>
      </c>
      <c r="N12" s="1"/>
      <c r="O12" s="1" t="s">
        <v>528</v>
      </c>
      <c r="P12" s="1" t="s">
        <v>1018</v>
      </c>
    </row>
    <row r="13" spans="1:16" x14ac:dyDescent="0.25">
      <c r="A13" s="15" t="s">
        <v>902</v>
      </c>
      <c r="B13" s="16" t="s">
        <v>878</v>
      </c>
      <c r="C13" s="1" t="s">
        <v>37</v>
      </c>
      <c r="D13" s="1" t="str">
        <f>VLOOKUP($C13,Sheet2!$A$2:$B$10,2,0)</f>
        <v>141150-91211</v>
      </c>
      <c r="E13" s="7" t="s">
        <v>38</v>
      </c>
      <c r="F13" s="12">
        <v>45979</v>
      </c>
      <c r="G13" s="13">
        <v>0.35416666666666669</v>
      </c>
      <c r="H13" s="1" t="s">
        <v>31</v>
      </c>
      <c r="I13" s="1" t="s">
        <v>10</v>
      </c>
      <c r="J13" s="1">
        <v>8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si="0"/>
        <v>4</v>
      </c>
      <c r="N13" s="1"/>
      <c r="O13" s="1" t="s">
        <v>528</v>
      </c>
      <c r="P13" s="1" t="s">
        <v>1018</v>
      </c>
    </row>
    <row r="14" spans="1:16" x14ac:dyDescent="0.25">
      <c r="A14" s="15" t="s">
        <v>902</v>
      </c>
      <c r="B14" s="16" t="s">
        <v>882</v>
      </c>
      <c r="C14" s="1" t="s">
        <v>45</v>
      </c>
      <c r="D14" s="1" t="str">
        <f>VLOOKUP($C14,Sheet2!$A$2:$B$10,2,0)</f>
        <v>141186-74360</v>
      </c>
      <c r="E14" s="7" t="s">
        <v>46</v>
      </c>
      <c r="F14" s="12">
        <v>45979</v>
      </c>
      <c r="G14" s="13">
        <v>0.35416666666666669</v>
      </c>
      <c r="H14" s="1" t="s">
        <v>31</v>
      </c>
      <c r="I14" s="1" t="s">
        <v>10</v>
      </c>
      <c r="J14" s="1">
        <v>40</v>
      </c>
      <c r="K14" s="14">
        <f>VLOOKUP($C14,Sheet2!$A$2:$D$10,4,0)</f>
        <v>40</v>
      </c>
      <c r="L14" s="14" t="str">
        <f>VLOOKUP($C14,Sheet2!$A$2:$E$10,5,0)</f>
        <v>Trolley</v>
      </c>
      <c r="M14" s="14"/>
      <c r="N14" s="1">
        <f t="shared" ref="N14:N15" si="1">J14/K14</f>
        <v>1</v>
      </c>
      <c r="O14" s="1" t="s">
        <v>528</v>
      </c>
      <c r="P14" s="1">
        <v>910102649</v>
      </c>
    </row>
    <row r="15" spans="1:16" x14ac:dyDescent="0.25">
      <c r="A15" s="15" t="s">
        <v>902</v>
      </c>
      <c r="B15" s="16" t="s">
        <v>883</v>
      </c>
      <c r="C15" s="1" t="s">
        <v>45</v>
      </c>
      <c r="D15" s="1" t="str">
        <f>VLOOKUP($C15,Sheet2!$A$2:$B$10,2,0)</f>
        <v>141186-74360</v>
      </c>
      <c r="E15" s="7" t="s">
        <v>46</v>
      </c>
      <c r="F15" s="12">
        <v>45979</v>
      </c>
      <c r="G15" s="13">
        <v>0.35416666666666669</v>
      </c>
      <c r="H15" s="1" t="s">
        <v>31</v>
      </c>
      <c r="I15" s="1" t="s">
        <v>10</v>
      </c>
      <c r="J15" s="1">
        <v>40</v>
      </c>
      <c r="K15" s="14">
        <f>VLOOKUP($C15,Sheet2!$A$2:$D$10,4,0)</f>
        <v>40</v>
      </c>
      <c r="L15" s="14" t="str">
        <f>VLOOKUP($C15,Sheet2!$A$2:$E$10,5,0)</f>
        <v>Trolley</v>
      </c>
      <c r="M15" s="14"/>
      <c r="N15" s="1">
        <f t="shared" si="1"/>
        <v>1</v>
      </c>
      <c r="O15" s="1" t="s">
        <v>528</v>
      </c>
      <c r="P15" s="1">
        <v>910102649</v>
      </c>
    </row>
    <row r="16" spans="1:16" x14ac:dyDescent="0.25">
      <c r="A16" s="15" t="s">
        <v>903</v>
      </c>
      <c r="B16" s="16" t="s">
        <v>887</v>
      </c>
      <c r="C16" s="1" t="s">
        <v>50</v>
      </c>
      <c r="D16" s="1" t="str">
        <f>VLOOKUP($C16,Sheet2!$A$2:$B$10,2,0)</f>
        <v>116040-92240</v>
      </c>
      <c r="E16" s="7" t="s">
        <v>51</v>
      </c>
      <c r="F16" s="12">
        <v>45979</v>
      </c>
      <c r="G16" s="13">
        <v>0.35416666666666669</v>
      </c>
      <c r="H16" s="1" t="s">
        <v>52</v>
      </c>
      <c r="I16" s="1" t="s">
        <v>10</v>
      </c>
      <c r="J16" s="1">
        <v>18</v>
      </c>
      <c r="K16" s="14">
        <f>VLOOKUP($C16,Sheet2!$A$2:$D$10,4,0)</f>
        <v>6</v>
      </c>
      <c r="L16" s="14" t="str">
        <f>VLOOKUP($C16,Sheet2!$A$2:$E$10,5,0)</f>
        <v>Bin</v>
      </c>
      <c r="M16" s="14">
        <f t="shared" ref="M16:M21" si="2">J16/K16</f>
        <v>3</v>
      </c>
      <c r="N16" s="1"/>
      <c r="O16" s="1" t="s">
        <v>528</v>
      </c>
      <c r="P16" s="1" t="s">
        <v>591</v>
      </c>
    </row>
    <row r="17" spans="1:16" x14ac:dyDescent="0.25">
      <c r="A17" s="15" t="s">
        <v>903</v>
      </c>
      <c r="B17" s="16" t="s">
        <v>888</v>
      </c>
      <c r="C17" s="1" t="s">
        <v>50</v>
      </c>
      <c r="D17" s="1" t="str">
        <f>VLOOKUP($C17,Sheet2!$A$2:$B$10,2,0)</f>
        <v>116040-92240</v>
      </c>
      <c r="E17" s="7" t="s">
        <v>51</v>
      </c>
      <c r="F17" s="12">
        <v>45979</v>
      </c>
      <c r="G17" s="13">
        <v>0.35416666666666669</v>
      </c>
      <c r="H17" s="1" t="s">
        <v>52</v>
      </c>
      <c r="I17" s="1" t="s">
        <v>10</v>
      </c>
      <c r="J17" s="1">
        <v>12</v>
      </c>
      <c r="K17" s="14">
        <f>VLOOKUP($C17,Sheet2!$A$2:$D$10,4,0)</f>
        <v>6</v>
      </c>
      <c r="L17" s="14" t="str">
        <f>VLOOKUP($C17,Sheet2!$A$2:$E$10,5,0)</f>
        <v>Bin</v>
      </c>
      <c r="M17" s="14">
        <f t="shared" si="2"/>
        <v>2</v>
      </c>
      <c r="N17" s="1"/>
      <c r="O17" s="1" t="s">
        <v>528</v>
      </c>
      <c r="P17" s="1" t="s">
        <v>591</v>
      </c>
    </row>
    <row r="18" spans="1:16" x14ac:dyDescent="0.25">
      <c r="A18" s="15" t="s">
        <v>903</v>
      </c>
      <c r="B18" s="16" t="s">
        <v>892</v>
      </c>
      <c r="C18" s="1" t="s">
        <v>59</v>
      </c>
      <c r="D18" s="1" t="str">
        <f>VLOOKUP($C18,Sheet2!$A$2:$B$10,2,0)</f>
        <v>114010-50820</v>
      </c>
      <c r="E18" s="7" t="s">
        <v>60</v>
      </c>
      <c r="F18" s="12">
        <v>45979</v>
      </c>
      <c r="G18" s="13">
        <v>0.35416666666666669</v>
      </c>
      <c r="H18" s="1" t="s">
        <v>52</v>
      </c>
      <c r="I18" s="1" t="s">
        <v>10</v>
      </c>
      <c r="J18" s="1">
        <v>4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2"/>
        <v>4</v>
      </c>
      <c r="N18" s="1"/>
      <c r="O18" s="1" t="s">
        <v>528</v>
      </c>
      <c r="P18" s="1" t="s">
        <v>1019</v>
      </c>
    </row>
    <row r="19" spans="1:16" x14ac:dyDescent="0.25">
      <c r="A19" s="15" t="s">
        <v>903</v>
      </c>
      <c r="B19" s="16" t="s">
        <v>893</v>
      </c>
      <c r="C19" s="1" t="s">
        <v>59</v>
      </c>
      <c r="D19" s="1" t="str">
        <f>VLOOKUP($C19,Sheet2!$A$2:$B$10,2,0)</f>
        <v>114010-50820</v>
      </c>
      <c r="E19" s="7" t="s">
        <v>60</v>
      </c>
      <c r="F19" s="12">
        <v>45979</v>
      </c>
      <c r="G19" s="13">
        <v>0.35416666666666669</v>
      </c>
      <c r="H19" s="1" t="s">
        <v>52</v>
      </c>
      <c r="I19" s="1" t="s">
        <v>10</v>
      </c>
      <c r="J19" s="1">
        <v>1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2"/>
        <v>1</v>
      </c>
      <c r="N19" s="1"/>
      <c r="O19" s="1" t="s">
        <v>528</v>
      </c>
      <c r="P19" s="1" t="s">
        <v>1019</v>
      </c>
    </row>
    <row r="20" spans="1:16" x14ac:dyDescent="0.25">
      <c r="A20" s="15" t="s">
        <v>903</v>
      </c>
      <c r="B20" s="16" t="s">
        <v>897</v>
      </c>
      <c r="C20" s="1" t="s">
        <v>67</v>
      </c>
      <c r="D20" s="1" t="str">
        <f>VLOOKUP($C20,Sheet2!$A$2:$B$10,2,0)</f>
        <v>114010-50830</v>
      </c>
      <c r="E20" s="7" t="s">
        <v>60</v>
      </c>
      <c r="F20" s="12">
        <v>45979</v>
      </c>
      <c r="G20" s="13">
        <v>0.35416666666666669</v>
      </c>
      <c r="H20" s="1" t="s">
        <v>52</v>
      </c>
      <c r="I20" s="1" t="s">
        <v>10</v>
      </c>
      <c r="J20" s="1">
        <v>16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2"/>
        <v>16</v>
      </c>
      <c r="N20" s="1"/>
      <c r="O20" s="1" t="s">
        <v>528</v>
      </c>
      <c r="P20" s="1" t="s">
        <v>587</v>
      </c>
    </row>
    <row r="21" spans="1:16" x14ac:dyDescent="0.25">
      <c r="A21" s="15" t="s">
        <v>903</v>
      </c>
      <c r="B21" s="16" t="s">
        <v>898</v>
      </c>
      <c r="C21" s="1" t="s">
        <v>67</v>
      </c>
      <c r="D21" s="1" t="str">
        <f>VLOOKUP($C21,Sheet2!$A$2:$B$10,2,0)</f>
        <v>114010-50830</v>
      </c>
      <c r="E21" s="7" t="s">
        <v>60</v>
      </c>
      <c r="F21" s="12">
        <v>45979</v>
      </c>
      <c r="G21" s="13">
        <v>0.35416666666666669</v>
      </c>
      <c r="H21" s="1" t="s">
        <v>52</v>
      </c>
      <c r="I21" s="1" t="s">
        <v>10</v>
      </c>
      <c r="J21" s="1">
        <v>8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8</v>
      </c>
      <c r="N21" s="1"/>
      <c r="O21" s="1" t="s">
        <v>528</v>
      </c>
      <c r="P21" s="1" t="s">
        <v>587</v>
      </c>
    </row>
    <row r="22" spans="1:16" s="20" customForma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>
        <v>62</v>
      </c>
      <c r="N22" s="9">
        <v>6</v>
      </c>
      <c r="O22" s="9"/>
      <c r="P22" s="9"/>
    </row>
    <row r="23" spans="1:16" x14ac:dyDescent="0.25">
      <c r="A23" s="15" t="s">
        <v>904</v>
      </c>
      <c r="B23" s="16" t="s">
        <v>859</v>
      </c>
      <c r="C23" s="1" t="s">
        <v>7</v>
      </c>
      <c r="D23" s="1" t="str">
        <f>VLOOKUP($C23,Sheet2!$A$2:$B$10,2,0)</f>
        <v>141110-14600</v>
      </c>
      <c r="E23" s="7" t="s">
        <v>8</v>
      </c>
      <c r="F23" s="12">
        <v>45979</v>
      </c>
      <c r="G23" s="13">
        <v>0.5625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3">
        <v>1</v>
      </c>
      <c r="O23" s="1" t="s">
        <v>171</v>
      </c>
      <c r="P23" s="1" t="s">
        <v>908</v>
      </c>
    </row>
    <row r="24" spans="1:16" x14ac:dyDescent="0.25">
      <c r="A24" s="15" t="s">
        <v>904</v>
      </c>
      <c r="B24" s="16" t="s">
        <v>864</v>
      </c>
      <c r="C24" s="1" t="s">
        <v>16</v>
      </c>
      <c r="D24" s="1" t="str">
        <f>VLOOKUP($C24,Sheet2!$A$2:$B$10,2,0)</f>
        <v>141120-14600</v>
      </c>
      <c r="E24" s="7" t="s">
        <v>17</v>
      </c>
      <c r="F24" s="12">
        <v>45979</v>
      </c>
      <c r="G24" s="13">
        <v>0.5625</v>
      </c>
      <c r="H24" s="1" t="s">
        <v>9</v>
      </c>
      <c r="I24" s="1" t="s">
        <v>10</v>
      </c>
      <c r="J24" s="1">
        <v>18</v>
      </c>
      <c r="K24" s="14">
        <f>VLOOKUP($C24,Sheet2!$A$2:$D$10,4,0)</f>
        <v>18</v>
      </c>
      <c r="L24" s="14" t="str">
        <f>VLOOKUP($C24,Sheet2!$A$2:$E$10,5,0)</f>
        <v>Trolley (H)</v>
      </c>
      <c r="M24" s="14"/>
      <c r="N24" s="64"/>
      <c r="O24" s="1" t="s">
        <v>171</v>
      </c>
      <c r="P24" s="1" t="s">
        <v>788</v>
      </c>
    </row>
    <row r="25" spans="1:16" x14ac:dyDescent="0.25">
      <c r="A25" s="15" t="s">
        <v>904</v>
      </c>
      <c r="B25" s="16" t="s">
        <v>869</v>
      </c>
      <c r="C25" s="1" t="s">
        <v>23</v>
      </c>
      <c r="D25" s="1" t="str">
        <f>VLOOKUP($C25,Sheet2!$A$2:$B$10,2,0)</f>
        <v>141185-74670</v>
      </c>
      <c r="E25" s="7" t="s">
        <v>24</v>
      </c>
      <c r="F25" s="12">
        <v>45979</v>
      </c>
      <c r="G25" s="13">
        <v>0.5625</v>
      </c>
      <c r="H25" s="1" t="s">
        <v>9</v>
      </c>
      <c r="I25" s="1" t="s">
        <v>10</v>
      </c>
      <c r="J25" s="1">
        <v>40</v>
      </c>
      <c r="K25" s="14">
        <f>VLOOKUP($C25,Sheet2!$A$2:$D$10,4,0)</f>
        <v>40</v>
      </c>
      <c r="L25" s="14" t="str">
        <f>VLOOKUP($C25,Sheet2!$A$2:$E$10,5,0)</f>
        <v>Trolley</v>
      </c>
      <c r="M25" s="14"/>
      <c r="N25" s="1">
        <f>J25/K25</f>
        <v>1</v>
      </c>
      <c r="O25" s="1" t="s">
        <v>171</v>
      </c>
      <c r="P25" s="1">
        <v>910101985</v>
      </c>
    </row>
    <row r="26" spans="1:16" x14ac:dyDescent="0.25">
      <c r="A26" s="15" t="s">
        <v>904</v>
      </c>
      <c r="B26" s="16" t="s">
        <v>874</v>
      </c>
      <c r="C26" s="1" t="s">
        <v>29</v>
      </c>
      <c r="D26" s="1" t="str">
        <f>VLOOKUP($C26,Sheet2!$A$2:$B$10,2,0)</f>
        <v>141140-91211</v>
      </c>
      <c r="E26" s="7" t="s">
        <v>30</v>
      </c>
      <c r="F26" s="12">
        <v>45979</v>
      </c>
      <c r="G26" s="13">
        <v>0.5625</v>
      </c>
      <c r="H26" s="1" t="s">
        <v>31</v>
      </c>
      <c r="I26" s="1" t="s">
        <v>10</v>
      </c>
      <c r="J26" s="1">
        <v>20</v>
      </c>
      <c r="K26" s="14">
        <f>VLOOKUP($C26,Sheet2!$A$2:$D$10,4,0)</f>
        <v>2</v>
      </c>
      <c r="L26" s="14" t="str">
        <f>VLOOKUP($C26,Sheet2!$A$2:$E$10,5,0)</f>
        <v>Bin</v>
      </c>
      <c r="M26" s="14">
        <f t="shared" ref="M26:M27" si="3">J26/K26</f>
        <v>10</v>
      </c>
      <c r="N26" s="1"/>
      <c r="O26" s="1" t="s">
        <v>171</v>
      </c>
      <c r="P26" s="1" t="s">
        <v>1018</v>
      </c>
    </row>
    <row r="27" spans="1:16" x14ac:dyDescent="0.25">
      <c r="A27" s="15" t="s">
        <v>904</v>
      </c>
      <c r="B27" s="16" t="s">
        <v>879</v>
      </c>
      <c r="C27" s="1" t="s">
        <v>37</v>
      </c>
      <c r="D27" s="1" t="str">
        <f>VLOOKUP($C27,Sheet2!$A$2:$B$10,2,0)</f>
        <v>141150-91211</v>
      </c>
      <c r="E27" s="7" t="s">
        <v>38</v>
      </c>
      <c r="F27" s="12">
        <v>45979</v>
      </c>
      <c r="G27" s="13">
        <v>0.5625</v>
      </c>
      <c r="H27" s="1" t="s">
        <v>31</v>
      </c>
      <c r="I27" s="1" t="s">
        <v>10</v>
      </c>
      <c r="J27" s="1">
        <v>20</v>
      </c>
      <c r="K27" s="14">
        <f>VLOOKUP($C27,Sheet2!$A$2:$D$10,4,0)</f>
        <v>2</v>
      </c>
      <c r="L27" s="14" t="str">
        <f>VLOOKUP($C27,Sheet2!$A$2:$E$10,5,0)</f>
        <v>Bin</v>
      </c>
      <c r="M27" s="14">
        <f t="shared" si="3"/>
        <v>10</v>
      </c>
      <c r="N27" s="1"/>
      <c r="O27" s="1" t="s">
        <v>171</v>
      </c>
      <c r="P27" s="1" t="s">
        <v>1018</v>
      </c>
    </row>
    <row r="28" spans="1:16" x14ac:dyDescent="0.25">
      <c r="A28" s="15" t="s">
        <v>904</v>
      </c>
      <c r="B28" s="16" t="s">
        <v>884</v>
      </c>
      <c r="C28" s="1" t="s">
        <v>45</v>
      </c>
      <c r="D28" s="1" t="str">
        <f>VLOOKUP($C28,Sheet2!$A$2:$B$10,2,0)</f>
        <v>141186-74360</v>
      </c>
      <c r="E28" s="7" t="s">
        <v>46</v>
      </c>
      <c r="F28" s="12">
        <v>45979</v>
      </c>
      <c r="G28" s="13">
        <v>0.5625</v>
      </c>
      <c r="H28" s="1" t="s">
        <v>31</v>
      </c>
      <c r="I28" s="1" t="s">
        <v>10</v>
      </c>
      <c r="J28" s="1">
        <v>40</v>
      </c>
      <c r="K28" s="14">
        <f>VLOOKUP($C28,Sheet2!$A$2:$D$10,4,0)</f>
        <v>40</v>
      </c>
      <c r="L28" s="14" t="str">
        <f>VLOOKUP($C28,Sheet2!$A$2:$E$10,5,0)</f>
        <v>Trolley</v>
      </c>
      <c r="M28" s="14"/>
      <c r="N28" s="1">
        <f>J28/K28</f>
        <v>1</v>
      </c>
      <c r="O28" s="1" t="s">
        <v>171</v>
      </c>
      <c r="P28" s="1">
        <v>910102786</v>
      </c>
    </row>
    <row r="29" spans="1:16" x14ac:dyDescent="0.25">
      <c r="A29" s="15" t="s">
        <v>905</v>
      </c>
      <c r="B29" s="16" t="s">
        <v>889</v>
      </c>
      <c r="C29" s="1" t="s">
        <v>50</v>
      </c>
      <c r="D29" s="1" t="str">
        <f>VLOOKUP($C29,Sheet2!$A$2:$B$10,2,0)</f>
        <v>116040-92240</v>
      </c>
      <c r="E29" s="7" t="s">
        <v>51</v>
      </c>
      <c r="F29" s="12">
        <v>45979</v>
      </c>
      <c r="G29" s="13">
        <v>0.5625</v>
      </c>
      <c r="H29" s="1" t="s">
        <v>52</v>
      </c>
      <c r="I29" s="1" t="s">
        <v>10</v>
      </c>
      <c r="J29" s="1">
        <v>18</v>
      </c>
      <c r="K29" s="14">
        <f>VLOOKUP($C29,Sheet2!$A$2:$D$10,4,0)</f>
        <v>6</v>
      </c>
      <c r="L29" s="14" t="str">
        <f>VLOOKUP($C29,Sheet2!$A$2:$E$10,5,0)</f>
        <v>Bin</v>
      </c>
      <c r="M29" s="14">
        <f t="shared" ref="M29:M31" si="4">J29/K29</f>
        <v>3</v>
      </c>
      <c r="N29" s="1"/>
      <c r="O29" s="1" t="s">
        <v>171</v>
      </c>
      <c r="P29" s="1" t="s">
        <v>591</v>
      </c>
    </row>
    <row r="30" spans="1:16" x14ac:dyDescent="0.25">
      <c r="A30" s="15" t="s">
        <v>905</v>
      </c>
      <c r="B30" s="16" t="s">
        <v>894</v>
      </c>
      <c r="C30" s="1" t="s">
        <v>59</v>
      </c>
      <c r="D30" s="1" t="str">
        <f>VLOOKUP($C30,Sheet2!$A$2:$B$10,2,0)</f>
        <v>114010-50820</v>
      </c>
      <c r="E30" s="7" t="s">
        <v>60</v>
      </c>
      <c r="F30" s="12">
        <v>45979</v>
      </c>
      <c r="G30" s="13">
        <v>0.5625</v>
      </c>
      <c r="H30" s="1" t="s">
        <v>52</v>
      </c>
      <c r="I30" s="1" t="s">
        <v>10</v>
      </c>
      <c r="J30" s="1">
        <v>10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si="4"/>
        <v>10</v>
      </c>
      <c r="N30" s="1"/>
      <c r="O30" s="1" t="s">
        <v>171</v>
      </c>
      <c r="P30" s="1" t="s">
        <v>1019</v>
      </c>
    </row>
    <row r="31" spans="1:16" x14ac:dyDescent="0.25">
      <c r="A31" s="15" t="s">
        <v>905</v>
      </c>
      <c r="B31" s="16" t="s">
        <v>899</v>
      </c>
      <c r="C31" s="1" t="s">
        <v>67</v>
      </c>
      <c r="D31" s="1" t="str">
        <f>VLOOKUP($C31,Sheet2!$A$2:$B$10,2,0)</f>
        <v>114010-50830</v>
      </c>
      <c r="E31" s="7" t="s">
        <v>60</v>
      </c>
      <c r="F31" s="12">
        <v>45979</v>
      </c>
      <c r="G31" s="13">
        <v>0.5625</v>
      </c>
      <c r="H31" s="1" t="s">
        <v>52</v>
      </c>
      <c r="I31" s="1" t="s">
        <v>10</v>
      </c>
      <c r="J31" s="1">
        <v>10</v>
      </c>
      <c r="K31" s="14">
        <f>VLOOKUP($C31,Sheet2!$A$2:$D$10,4,0)</f>
        <v>1</v>
      </c>
      <c r="L31" s="14" t="str">
        <f>VLOOKUP($C31,Sheet2!$A$2:$E$10,5,0)</f>
        <v>Bin</v>
      </c>
      <c r="M31" s="14">
        <f t="shared" si="4"/>
        <v>10</v>
      </c>
      <c r="N31" s="1"/>
      <c r="O31" s="1" t="s">
        <v>171</v>
      </c>
      <c r="P31" s="1" t="s">
        <v>587</v>
      </c>
    </row>
    <row r="32" spans="1:16" s="20" customForma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>
        <v>43</v>
      </c>
      <c r="N32" s="9">
        <v>3</v>
      </c>
      <c r="O32" s="9"/>
      <c r="P32" s="9"/>
    </row>
    <row r="33" spans="1:16" x14ac:dyDescent="0.25">
      <c r="A33" s="15" t="s">
        <v>906</v>
      </c>
      <c r="B33" s="16" t="s">
        <v>860</v>
      </c>
      <c r="C33" s="1" t="s">
        <v>7</v>
      </c>
      <c r="D33" s="1" t="str">
        <f>VLOOKUP($C33,Sheet2!$A$2:$B$10,2,0)</f>
        <v>141110-14600</v>
      </c>
      <c r="E33" s="7" t="s">
        <v>8</v>
      </c>
      <c r="F33" s="12">
        <v>45979</v>
      </c>
      <c r="G33" s="13">
        <v>0.77083333333333337</v>
      </c>
      <c r="H33" s="1" t="s">
        <v>9</v>
      </c>
      <c r="I33" s="1" t="s">
        <v>10</v>
      </c>
      <c r="J33" s="1">
        <v>18</v>
      </c>
      <c r="K33" s="14">
        <f>VLOOKUP($C33,Sheet2!$A$2:$D$10,4,0)</f>
        <v>18</v>
      </c>
      <c r="L33" s="14" t="str">
        <f>VLOOKUP($C33,Sheet2!$A$2:$E$10,5,0)</f>
        <v>Trolley (H)</v>
      </c>
      <c r="M33" s="14"/>
      <c r="N33" s="63">
        <v>1</v>
      </c>
      <c r="O33" s="1" t="s">
        <v>166</v>
      </c>
      <c r="P33" s="1" t="s">
        <v>1017</v>
      </c>
    </row>
    <row r="34" spans="1:16" x14ac:dyDescent="0.25">
      <c r="A34" s="15" t="s">
        <v>906</v>
      </c>
      <c r="B34" s="16" t="s">
        <v>865</v>
      </c>
      <c r="C34" s="1" t="s">
        <v>16</v>
      </c>
      <c r="D34" s="1" t="str">
        <f>VLOOKUP($C34,Sheet2!$A$2:$B$10,2,0)</f>
        <v>141120-14600</v>
      </c>
      <c r="E34" s="7" t="s">
        <v>17</v>
      </c>
      <c r="F34" s="12">
        <v>45979</v>
      </c>
      <c r="G34" s="13">
        <v>0.77083333333333337</v>
      </c>
      <c r="H34" s="1" t="s">
        <v>9</v>
      </c>
      <c r="I34" s="1" t="s">
        <v>10</v>
      </c>
      <c r="J34" s="1">
        <v>18</v>
      </c>
      <c r="K34" s="14">
        <f>VLOOKUP($C34,Sheet2!$A$2:$D$10,4,0)</f>
        <v>18</v>
      </c>
      <c r="L34" s="14" t="str">
        <f>VLOOKUP($C34,Sheet2!$A$2:$E$10,5,0)</f>
        <v>Trolley (H)</v>
      </c>
      <c r="M34" s="14"/>
      <c r="N34" s="64"/>
      <c r="O34" s="1" t="s">
        <v>166</v>
      </c>
      <c r="P34" s="1" t="s">
        <v>788</v>
      </c>
    </row>
    <row r="35" spans="1:16" x14ac:dyDescent="0.25">
      <c r="A35" s="15" t="s">
        <v>906</v>
      </c>
      <c r="B35" s="16" t="s">
        <v>870</v>
      </c>
      <c r="C35" s="1" t="s">
        <v>23</v>
      </c>
      <c r="D35" s="1" t="str">
        <f>VLOOKUP($C35,Sheet2!$A$2:$B$10,2,0)</f>
        <v>141185-74670</v>
      </c>
      <c r="E35" s="7" t="s">
        <v>24</v>
      </c>
      <c r="F35" s="12">
        <v>45979</v>
      </c>
      <c r="G35" s="13">
        <v>0.77083333333333337</v>
      </c>
      <c r="H35" s="1" t="s">
        <v>9</v>
      </c>
      <c r="I35" s="1" t="s">
        <v>10</v>
      </c>
      <c r="J35" s="1">
        <v>40</v>
      </c>
      <c r="K35" s="14">
        <f>VLOOKUP($C35,Sheet2!$A$2:$D$10,4,0)</f>
        <v>40</v>
      </c>
      <c r="L35" s="14" t="str">
        <f>VLOOKUP($C35,Sheet2!$A$2:$E$10,5,0)</f>
        <v>Trolley</v>
      </c>
      <c r="M35" s="14"/>
      <c r="N35" s="1">
        <f>J35/K35</f>
        <v>1</v>
      </c>
      <c r="O35" s="1" t="s">
        <v>166</v>
      </c>
      <c r="P35" s="1">
        <v>910101985</v>
      </c>
    </row>
    <row r="36" spans="1:16" x14ac:dyDescent="0.25">
      <c r="A36" s="15" t="s">
        <v>906</v>
      </c>
      <c r="B36" s="16" t="s">
        <v>875</v>
      </c>
      <c r="C36" s="1" t="s">
        <v>29</v>
      </c>
      <c r="D36" s="1" t="str">
        <f>VLOOKUP($C36,Sheet2!$A$2:$B$10,2,0)</f>
        <v>141140-91211</v>
      </c>
      <c r="E36" s="7" t="s">
        <v>30</v>
      </c>
      <c r="F36" s="12">
        <v>45979</v>
      </c>
      <c r="G36" s="13">
        <v>0.77083333333333337</v>
      </c>
      <c r="H36" s="1" t="s">
        <v>31</v>
      </c>
      <c r="I36" s="1" t="s">
        <v>10</v>
      </c>
      <c r="J36" s="1">
        <v>20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ref="M36:M37" si="5">J36/K36</f>
        <v>10</v>
      </c>
      <c r="N36" s="1"/>
      <c r="O36" s="1" t="s">
        <v>166</v>
      </c>
      <c r="P36" s="1" t="s">
        <v>1018</v>
      </c>
    </row>
    <row r="37" spans="1:16" x14ac:dyDescent="0.25">
      <c r="A37" s="15" t="s">
        <v>906</v>
      </c>
      <c r="B37" s="16" t="s">
        <v>880</v>
      </c>
      <c r="C37" s="1" t="s">
        <v>37</v>
      </c>
      <c r="D37" s="1" t="str">
        <f>VLOOKUP($C37,Sheet2!$A$2:$B$10,2,0)</f>
        <v>141150-91211</v>
      </c>
      <c r="E37" s="7" t="s">
        <v>38</v>
      </c>
      <c r="F37" s="12">
        <v>45979</v>
      </c>
      <c r="G37" s="13">
        <v>0.77083333333333337</v>
      </c>
      <c r="H37" s="1" t="s">
        <v>31</v>
      </c>
      <c r="I37" s="1" t="s">
        <v>10</v>
      </c>
      <c r="J37" s="1">
        <v>20</v>
      </c>
      <c r="K37" s="14">
        <f>VLOOKUP($C37,Sheet2!$A$2:$D$10,4,0)</f>
        <v>2</v>
      </c>
      <c r="L37" s="14" t="str">
        <f>VLOOKUP($C37,Sheet2!$A$2:$E$10,5,0)</f>
        <v>Bin</v>
      </c>
      <c r="M37" s="14">
        <f t="shared" si="5"/>
        <v>10</v>
      </c>
      <c r="N37" s="1"/>
      <c r="O37" s="1" t="s">
        <v>166</v>
      </c>
      <c r="P37" s="1" t="s">
        <v>1018</v>
      </c>
    </row>
    <row r="38" spans="1:16" x14ac:dyDescent="0.25">
      <c r="A38" s="15" t="s">
        <v>906</v>
      </c>
      <c r="B38" s="16" t="s">
        <v>885</v>
      </c>
      <c r="C38" s="1" t="s">
        <v>45</v>
      </c>
      <c r="D38" s="1" t="str">
        <f>VLOOKUP($C38,Sheet2!$A$2:$B$10,2,0)</f>
        <v>141186-74360</v>
      </c>
      <c r="E38" s="7" t="s">
        <v>46</v>
      </c>
      <c r="F38" s="12">
        <v>45979</v>
      </c>
      <c r="G38" s="13">
        <v>0.77083333333333337</v>
      </c>
      <c r="H38" s="1" t="s">
        <v>31</v>
      </c>
      <c r="I38" s="1" t="s">
        <v>10</v>
      </c>
      <c r="J38" s="1">
        <v>40</v>
      </c>
      <c r="K38" s="14">
        <f>VLOOKUP($C38,Sheet2!$A$2:$D$10,4,0)</f>
        <v>40</v>
      </c>
      <c r="L38" s="14" t="str">
        <f>VLOOKUP($C38,Sheet2!$A$2:$E$10,5,0)</f>
        <v>Trolley</v>
      </c>
      <c r="M38" s="14"/>
      <c r="N38" s="1">
        <f>J38/K38</f>
        <v>1</v>
      </c>
      <c r="O38" s="1" t="s">
        <v>166</v>
      </c>
      <c r="P38" s="1">
        <v>910102786</v>
      </c>
    </row>
    <row r="39" spans="1:16" x14ac:dyDescent="0.25">
      <c r="A39" s="15" t="s">
        <v>907</v>
      </c>
      <c r="B39" s="16" t="s">
        <v>890</v>
      </c>
      <c r="C39" s="1" t="s">
        <v>50</v>
      </c>
      <c r="D39" s="1" t="str">
        <f>VLOOKUP($C39,Sheet2!$A$2:$B$10,2,0)</f>
        <v>116040-92240</v>
      </c>
      <c r="E39" s="7" t="s">
        <v>51</v>
      </c>
      <c r="F39" s="12">
        <v>45979</v>
      </c>
      <c r="G39" s="13">
        <v>0.77083333333333337</v>
      </c>
      <c r="H39" s="1" t="s">
        <v>52</v>
      </c>
      <c r="I39" s="1" t="s">
        <v>10</v>
      </c>
      <c r="J39" s="1">
        <v>24</v>
      </c>
      <c r="K39" s="14">
        <f>VLOOKUP($C39,Sheet2!$A$2:$D$10,4,0)</f>
        <v>6</v>
      </c>
      <c r="L39" s="14" t="str">
        <f>VLOOKUP($C39,Sheet2!$A$2:$E$10,5,0)</f>
        <v>Bin</v>
      </c>
      <c r="M39" s="14">
        <f t="shared" ref="M39:M41" si="6">J39/K39</f>
        <v>4</v>
      </c>
      <c r="N39" s="1"/>
      <c r="O39" s="1" t="s">
        <v>166</v>
      </c>
      <c r="P39" s="1" t="s">
        <v>591</v>
      </c>
    </row>
    <row r="40" spans="1:16" x14ac:dyDescent="0.25">
      <c r="A40" s="15" t="s">
        <v>907</v>
      </c>
      <c r="B40" s="16" t="s">
        <v>895</v>
      </c>
      <c r="C40" s="1" t="s">
        <v>59</v>
      </c>
      <c r="D40" s="1" t="str">
        <f>VLOOKUP($C40,Sheet2!$A$2:$B$10,2,0)</f>
        <v>114010-50820</v>
      </c>
      <c r="E40" s="7" t="s">
        <v>60</v>
      </c>
      <c r="F40" s="12">
        <v>45979</v>
      </c>
      <c r="G40" s="13">
        <v>0.77083333333333337</v>
      </c>
      <c r="H40" s="1" t="s">
        <v>52</v>
      </c>
      <c r="I40" s="1" t="s">
        <v>10</v>
      </c>
      <c r="J40" s="1">
        <v>5</v>
      </c>
      <c r="K40" s="14">
        <f>VLOOKUP($C40,Sheet2!$A$2:$D$10,4,0)</f>
        <v>1</v>
      </c>
      <c r="L40" s="14" t="str">
        <f>VLOOKUP($C40,Sheet2!$A$2:$E$10,5,0)</f>
        <v>Bin</v>
      </c>
      <c r="M40" s="14">
        <f t="shared" si="6"/>
        <v>5</v>
      </c>
      <c r="N40" s="1"/>
      <c r="O40" s="1" t="s">
        <v>166</v>
      </c>
      <c r="P40" s="1" t="s">
        <v>1019</v>
      </c>
    </row>
    <row r="41" spans="1:16" ht="15.75" thickBot="1" x14ac:dyDescent="0.3">
      <c r="A41" s="15" t="s">
        <v>907</v>
      </c>
      <c r="B41" s="16" t="s">
        <v>900</v>
      </c>
      <c r="C41" s="1" t="s">
        <v>67</v>
      </c>
      <c r="D41" s="1" t="str">
        <f>VLOOKUP($C41,Sheet2!$A$2:$B$10,2,0)</f>
        <v>114010-50830</v>
      </c>
      <c r="E41" s="7" t="s">
        <v>60</v>
      </c>
      <c r="F41" s="12">
        <v>45979</v>
      </c>
      <c r="G41" s="19">
        <v>0.77083333333333337</v>
      </c>
      <c r="H41" s="1" t="s">
        <v>52</v>
      </c>
      <c r="I41" s="1" t="s">
        <v>10</v>
      </c>
      <c r="J41" s="1">
        <v>15</v>
      </c>
      <c r="K41" s="14">
        <f>VLOOKUP($C41,Sheet2!$A$2:$D$10,4,0)</f>
        <v>1</v>
      </c>
      <c r="L41" s="14" t="str">
        <f>VLOOKUP($C41,Sheet2!$A$2:$E$10,5,0)</f>
        <v>Bin</v>
      </c>
      <c r="M41" s="14">
        <f t="shared" si="6"/>
        <v>15</v>
      </c>
      <c r="N41" s="1"/>
      <c r="O41" s="1" t="s">
        <v>166</v>
      </c>
      <c r="P41" s="1" t="s">
        <v>587</v>
      </c>
    </row>
    <row r="42" spans="1:16" ht="15.75" thickTop="1" x14ac:dyDescent="0.25">
      <c r="A42" s="15" t="s">
        <v>969</v>
      </c>
      <c r="B42" s="16" t="s">
        <v>896</v>
      </c>
      <c r="C42" s="1" t="s">
        <v>59</v>
      </c>
      <c r="D42" s="1" t="str">
        <f>VLOOKUP($C42,Sheet2!$A$2:$B$10,2,0)</f>
        <v>114010-50820</v>
      </c>
      <c r="E42" s="7" t="s">
        <v>60</v>
      </c>
      <c r="F42" s="12">
        <v>45979</v>
      </c>
      <c r="G42" s="13">
        <v>0.8125</v>
      </c>
      <c r="H42" s="1" t="s">
        <v>52</v>
      </c>
      <c r="I42" s="1" t="s">
        <v>10</v>
      </c>
      <c r="J42" s="1">
        <v>10</v>
      </c>
      <c r="K42" s="14">
        <f>VLOOKUP($C42,Sheet2!$A$2:$D$10,4,0)</f>
        <v>1</v>
      </c>
      <c r="L42" s="14" t="str">
        <f>VLOOKUP($C42,Sheet2!$A$2:$E$10,5,0)</f>
        <v>Bin</v>
      </c>
      <c r="M42" s="14">
        <f t="shared" ref="M42" si="7">J42/K42</f>
        <v>10</v>
      </c>
      <c r="N42" s="1"/>
      <c r="O42" s="1" t="s">
        <v>166</v>
      </c>
      <c r="P42" s="1" t="s">
        <v>1019</v>
      </c>
    </row>
    <row r="43" spans="1:16" s="20" customForma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>
        <v>54</v>
      </c>
      <c r="N43" s="9">
        <v>3</v>
      </c>
      <c r="O43" s="9"/>
      <c r="P43" s="9"/>
    </row>
  </sheetData>
  <mergeCells count="7">
    <mergeCell ref="N33:N34"/>
    <mergeCell ref="A1:F1"/>
    <mergeCell ref="J1:N1"/>
    <mergeCell ref="L2:N2"/>
    <mergeCell ref="N4:N5"/>
    <mergeCell ref="N6:N7"/>
    <mergeCell ref="N23:N24"/>
  </mergeCells>
  <conditionalFormatting sqref="B2">
    <cfRule type="duplicateValues" dxfId="470" priority="42"/>
    <cfRule type="duplicateValues" dxfId="469" priority="41"/>
  </conditionalFormatting>
  <conditionalFormatting sqref="B4:B21 B23:B31 B33:B42">
    <cfRule type="duplicateValues" dxfId="468" priority="114"/>
  </conditionalFormatting>
  <conditionalFormatting sqref="C2:D2">
    <cfRule type="duplicateValues" dxfId="467" priority="44"/>
    <cfRule type="duplicateValues" dxfId="466" priority="43"/>
  </conditionalFormatting>
  <conditionalFormatting sqref="D3">
    <cfRule type="duplicateValues" dxfId="463" priority="40"/>
    <cfRule type="duplicateValues" dxfId="462" priority="39"/>
  </conditionalFormatting>
  <conditionalFormatting sqref="D22">
    <cfRule type="duplicateValues" dxfId="457" priority="23"/>
    <cfRule type="duplicateValues" dxfId="456" priority="22"/>
  </conditionalFormatting>
  <conditionalFormatting sqref="D32">
    <cfRule type="duplicateValues" dxfId="455" priority="16"/>
    <cfRule type="duplicateValues" dxfId="453" priority="17"/>
  </conditionalFormatting>
  <conditionalFormatting sqref="D43">
    <cfRule type="duplicateValues" dxfId="452" priority="4"/>
    <cfRule type="duplicateValues" dxfId="451" priority="5"/>
  </conditionalFormatting>
  <pageMargins left="0.17" right="0.17" top="0.17" bottom="0.21" header="0.3" footer="0.3"/>
  <pageSetup paperSize="9" scale="66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operator="containsText" text="17521M68PA0" id="{E11D8FB0-A914-4903-B69E-604BFCF0E181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C4:D21 C23:D31 C33:D42</xm:sqref>
        </x14:conditionalFormatting>
        <x14:conditionalFormatting xmlns:xm="http://schemas.microsoft.com/office/excel/2006/main">
          <x14:cfRule type="containsText" priority="49" operator="containsText" text="17521M68PA0" id="{BDAB4A6D-C900-4226-92DB-A5FAD54251F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29" operator="containsText" text="17521M74T00" id="{173F65BF-C58F-4F35-89C5-20932FA7EC3B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17521M68PA0" id="{22216F81-CD47-49F5-BE06-A583FD25FA15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1" operator="containsText" text="17521M74T00" id="{0D4CDF16-28F6-4360-937A-4223E1678CCA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D4:D21 D23:D31 D33:D42</xm:sqref>
        </x14:conditionalFormatting>
        <x14:conditionalFormatting xmlns:xm="http://schemas.microsoft.com/office/excel/2006/main">
          <x14:cfRule type="containsText" priority="24" operator="containsText" text="17521M68PA0" id="{F1A46196-C572-4FEA-9BAF-C0367B55897F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ontainsText" priority="18" operator="containsText" text="17521M68PA0" id="{8A0C21F6-531B-4220-9B93-B0352B8E54C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containsText" priority="6" operator="containsText" text="17521M68PA0" id="{7580B759-1576-4F34-809B-06A2F49354C3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D43</xm:sqref>
        </x14:conditionalFormatting>
        <x14:conditionalFormatting xmlns:xm="http://schemas.microsoft.com/office/excel/2006/main">
          <x14:cfRule type="containsText" priority="45" operator="containsText" text="17521M68PA0" id="{B2B6BAED-6A54-4C87-B4DB-BF7CD838F74D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6" operator="containsText" text="17521M74T00" id="{04CFB9B8-34CA-4A54-ACD1-CA102FD3008D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36" operator="containsText" text="BELT,WATER PUMP - 7PK 975" id="{7A467384-3AB2-46D4-8BE2-2C9DC8A5CE4D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35" operator="containsText" text="BELT,WATER PUMP - 5PK 913" id="{81890F45-EE07-49EA-88DD-55BD6AA4E6A6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E3:E43</xm:sqref>
        </x14:conditionalFormatting>
        <x14:conditionalFormatting xmlns:xm="http://schemas.microsoft.com/office/excel/2006/main">
          <x14:cfRule type="containsText" priority="19" operator="containsText" text="BELT,WATER PUMP - 7PK 975" id="{52B7ED6B-EEA9-4976-BD13-69BB91EA1F35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13" operator="containsText" text="BELT,WATER PUMP - 7PK 975" id="{82C36C6D-0F1E-450E-8809-66876DF3769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E32</xm:sqref>
        </x14:conditionalFormatting>
        <x14:conditionalFormatting xmlns:xm="http://schemas.microsoft.com/office/excel/2006/main">
          <x14:cfRule type="containsText" priority="1" operator="containsText" text="BELT,WATER PUMP - 7PK 975" id="{5B38784A-D573-49DE-A797-091DB04563F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containsText" priority="47" operator="containsText" text="BELT,WATER PUMP - 5PK 913" id="{9D251077-A627-4C15-A37E-7C09BAD6BEB2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8" operator="containsText" text="BELT,WATER PUMP - 7PK 975" id="{05FB5B3C-C97E-4298-9640-7FCD91824DD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37" operator="containsText" text="5PK 913" id="{8FD78884-8C6D-41DE-AD67-49B6A542C2D1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8" operator="containsText" text="7PK 975" id="{2CFB969D-2E88-4A1B-8248-2E9A8EE49A7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1" operator="containsText" text="7PK 975" id="{BC986284-2A5B-4449-A332-2CD9800D68B2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text="5PK 913" id="{F19CE017-F10F-4B37-8578-AA3634D29B9A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P22</xm:sqref>
        </x14:conditionalFormatting>
        <x14:conditionalFormatting xmlns:xm="http://schemas.microsoft.com/office/excel/2006/main">
          <x14:cfRule type="containsText" priority="14" operator="containsText" text="5PK 913" id="{33A45D34-4D23-4FBE-9048-C43FCE8FA948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5" operator="containsText" text="7PK 975" id="{B7A145CE-52DF-4663-85EA-E4DF3FF2AF91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P32</xm:sqref>
        </x14:conditionalFormatting>
        <x14:conditionalFormatting xmlns:xm="http://schemas.microsoft.com/office/excel/2006/main">
          <x14:cfRule type="containsText" priority="2" operator="containsText" text="5PK 913" id="{1D2CB4AE-0117-428E-9DE3-3A8D596ACB00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7PK 975" id="{41A1F700-A171-44B3-BD81-ADB03C4ECA4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3D32-AD7F-4E69-A405-E20616A62C3C}">
  <sheetPr>
    <pageSetUpPr fitToPage="1"/>
  </sheetPr>
  <dimension ref="A1:P57"/>
  <sheetViews>
    <sheetView topLeftCell="A25" workbookViewId="0">
      <selection activeCell="A4" sqref="A4:XFD57"/>
    </sheetView>
  </sheetViews>
  <sheetFormatPr defaultColWidth="42.85546875" defaultRowHeight="15" x14ac:dyDescent="0.25"/>
  <cols>
    <col min="1" max="1" width="15.425781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0" bestFit="1" customWidth="1"/>
    <col min="7" max="7" width="7.7109375" bestFit="1" customWidth="1"/>
    <col min="8" max="8" width="16.14062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28515625" bestFit="1" customWidth="1"/>
    <col min="16" max="16" width="42.42578125" bestFit="1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45980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 t="s">
        <v>528</v>
      </c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959</v>
      </c>
      <c r="B4" s="16" t="s">
        <v>861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45980</v>
      </c>
      <c r="G4" s="13">
        <v>0.27083333333333331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166</v>
      </c>
      <c r="P4" s="1" t="s">
        <v>1020</v>
      </c>
    </row>
    <row r="5" spans="1:16" x14ac:dyDescent="0.25">
      <c r="A5" s="15" t="s">
        <v>959</v>
      </c>
      <c r="B5" s="16" t="s">
        <v>866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45980</v>
      </c>
      <c r="G5" s="13">
        <v>0.27083333333333331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1021</v>
      </c>
    </row>
    <row r="6" spans="1:16" x14ac:dyDescent="0.25">
      <c r="A6" s="15" t="s">
        <v>959</v>
      </c>
      <c r="B6" s="16" t="s">
        <v>871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45980</v>
      </c>
      <c r="G6" s="13">
        <v>0.27083333333333331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166</v>
      </c>
      <c r="P6" s="1">
        <v>910101985</v>
      </c>
    </row>
    <row r="7" spans="1:16" x14ac:dyDescent="0.25">
      <c r="A7" s="15" t="s">
        <v>959</v>
      </c>
      <c r="B7" s="16" t="s">
        <v>876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45980</v>
      </c>
      <c r="G7" s="13">
        <v>0.27083333333333331</v>
      </c>
      <c r="H7" s="1" t="s">
        <v>31</v>
      </c>
      <c r="I7" s="1" t="s">
        <v>10</v>
      </c>
      <c r="J7" s="1">
        <v>24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12</v>
      </c>
      <c r="N7" s="1"/>
      <c r="O7" s="1" t="s">
        <v>166</v>
      </c>
      <c r="P7" s="1" t="s">
        <v>1022</v>
      </c>
    </row>
    <row r="8" spans="1:16" x14ac:dyDescent="0.25">
      <c r="A8" s="15" t="s">
        <v>959</v>
      </c>
      <c r="B8" s="16" t="s">
        <v>881</v>
      </c>
      <c r="C8" s="1" t="s">
        <v>37</v>
      </c>
      <c r="D8" s="1" t="str">
        <f>VLOOKUP($C8,Sheet2!$A$2:$B$10,2,0)</f>
        <v>141150-91211</v>
      </c>
      <c r="E8" s="7" t="s">
        <v>38</v>
      </c>
      <c r="F8" s="12">
        <v>45980</v>
      </c>
      <c r="G8" s="13">
        <v>0.27083333333333331</v>
      </c>
      <c r="H8" s="1" t="s">
        <v>31</v>
      </c>
      <c r="I8" s="1" t="s">
        <v>10</v>
      </c>
      <c r="J8" s="1">
        <v>24</v>
      </c>
      <c r="K8" s="14">
        <f>VLOOKUP($C8,Sheet2!$A$2:$D$10,4,0)</f>
        <v>2</v>
      </c>
      <c r="L8" s="14" t="str">
        <f>VLOOKUP($C8,Sheet2!$A$2:$E$10,5,0)</f>
        <v>Bin</v>
      </c>
      <c r="M8" s="14">
        <f>J8/K8</f>
        <v>12</v>
      </c>
      <c r="N8" s="1"/>
      <c r="O8" s="1" t="s">
        <v>166</v>
      </c>
      <c r="P8" s="1" t="s">
        <v>1023</v>
      </c>
    </row>
    <row r="9" spans="1:16" x14ac:dyDescent="0.25">
      <c r="A9" s="15" t="s">
        <v>959</v>
      </c>
      <c r="B9" s="16" t="s">
        <v>886</v>
      </c>
      <c r="C9" s="1" t="s">
        <v>45</v>
      </c>
      <c r="D9" s="1" t="str">
        <f>VLOOKUP($C9,Sheet2!$A$2:$B$10,2,0)</f>
        <v>141186-74360</v>
      </c>
      <c r="E9" s="7" t="s">
        <v>46</v>
      </c>
      <c r="F9" s="12">
        <v>45980</v>
      </c>
      <c r="G9" s="13">
        <v>0.27083333333333331</v>
      </c>
      <c r="H9" s="1" t="s">
        <v>31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166</v>
      </c>
      <c r="P9" s="1">
        <v>910102786</v>
      </c>
    </row>
    <row r="10" spans="1:16" x14ac:dyDescent="0.25">
      <c r="A10" s="15" t="s">
        <v>960</v>
      </c>
      <c r="B10" s="16" t="s">
        <v>891</v>
      </c>
      <c r="C10" s="1" t="s">
        <v>50</v>
      </c>
      <c r="D10" s="1" t="str">
        <f>VLOOKUP($C10,Sheet2!$A$2:$B$10,2,0)</f>
        <v>116040-92240</v>
      </c>
      <c r="E10" s="7" t="s">
        <v>51</v>
      </c>
      <c r="F10" s="12">
        <v>45980</v>
      </c>
      <c r="G10" s="13">
        <v>0.27083333333333331</v>
      </c>
      <c r="H10" s="1" t="s">
        <v>52</v>
      </c>
      <c r="I10" s="1" t="s">
        <v>10</v>
      </c>
      <c r="J10" s="1">
        <v>24</v>
      </c>
      <c r="K10" s="14">
        <f>VLOOKUP($C10,Sheet2!$A$2:$D$10,4,0)</f>
        <v>6</v>
      </c>
      <c r="L10" s="14" t="str">
        <f>VLOOKUP($C10,Sheet2!$A$2:$E$10,5,0)</f>
        <v>Bin</v>
      </c>
      <c r="M10" s="14">
        <f t="shared" ref="M10:M11" si="0">J10/K10</f>
        <v>4</v>
      </c>
      <c r="N10" s="1"/>
      <c r="O10" s="1" t="s">
        <v>166</v>
      </c>
      <c r="P10" s="1" t="s">
        <v>591</v>
      </c>
    </row>
    <row r="11" spans="1:16" x14ac:dyDescent="0.25">
      <c r="A11" s="15" t="s">
        <v>960</v>
      </c>
      <c r="B11" s="16" t="s">
        <v>901</v>
      </c>
      <c r="C11" s="1" t="s">
        <v>67</v>
      </c>
      <c r="D11" s="1" t="str">
        <f>VLOOKUP($C11,Sheet2!$A$2:$B$10,2,0)</f>
        <v>114010-50830</v>
      </c>
      <c r="E11" s="7" t="s">
        <v>60</v>
      </c>
      <c r="F11" s="12">
        <v>45980</v>
      </c>
      <c r="G11" s="13">
        <v>0.27083333333333331</v>
      </c>
      <c r="H11" s="1" t="s">
        <v>52</v>
      </c>
      <c r="I11" s="1" t="s">
        <v>10</v>
      </c>
      <c r="J11" s="1">
        <v>14</v>
      </c>
      <c r="K11" s="14">
        <f>VLOOKUP($C11,Sheet2!$A$2:$D$10,4,0)</f>
        <v>1</v>
      </c>
      <c r="L11" s="14" t="str">
        <f>VLOOKUP($C11,Sheet2!$A$2:$E$10,5,0)</f>
        <v>Bin</v>
      </c>
      <c r="M11" s="14">
        <f t="shared" si="0"/>
        <v>14</v>
      </c>
      <c r="N11" s="1"/>
      <c r="O11" s="1" t="s">
        <v>166</v>
      </c>
      <c r="P11" s="1" t="s">
        <v>1027</v>
      </c>
    </row>
    <row r="12" spans="1:16" s="20" customForma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>
        <v>42</v>
      </c>
      <c r="N12" s="9">
        <v>3</v>
      </c>
      <c r="O12" s="9"/>
      <c r="P12" s="9"/>
    </row>
    <row r="13" spans="1:16" x14ac:dyDescent="0.25">
      <c r="A13" s="15" t="s">
        <v>961</v>
      </c>
      <c r="B13" s="16" t="s">
        <v>916</v>
      </c>
      <c r="C13" s="1" t="s">
        <v>7</v>
      </c>
      <c r="D13" s="1" t="str">
        <f>VLOOKUP($C13,Sheet2!$A$2:$B$10,2,0)</f>
        <v>141110-14600</v>
      </c>
      <c r="E13" s="7" t="s">
        <v>8</v>
      </c>
      <c r="F13" s="12">
        <v>45980</v>
      </c>
      <c r="G13" s="13">
        <v>0.35416666666666669</v>
      </c>
      <c r="H13" s="1" t="s">
        <v>9</v>
      </c>
      <c r="I13" s="1" t="s">
        <v>10</v>
      </c>
      <c r="J13" s="1">
        <v>18</v>
      </c>
      <c r="K13" s="14">
        <f>VLOOKUP($C13,Sheet2!$A$2:$D$10,4,0)</f>
        <v>18</v>
      </c>
      <c r="L13" s="14" t="str">
        <f>VLOOKUP($C13,Sheet2!$A$2:$E$10,5,0)</f>
        <v>Trolley (H)</v>
      </c>
      <c r="M13" s="14"/>
      <c r="N13" s="63">
        <v>1</v>
      </c>
      <c r="O13" s="1" t="s">
        <v>171</v>
      </c>
      <c r="P13" s="1" t="s">
        <v>1020</v>
      </c>
    </row>
    <row r="14" spans="1:16" x14ac:dyDescent="0.25">
      <c r="A14" s="15" t="s">
        <v>961</v>
      </c>
      <c r="B14" s="16" t="s">
        <v>921</v>
      </c>
      <c r="C14" s="1" t="s">
        <v>16</v>
      </c>
      <c r="D14" s="1" t="str">
        <f>VLOOKUP($C14,Sheet2!$A$2:$B$10,2,0)</f>
        <v>141120-14600</v>
      </c>
      <c r="E14" s="7" t="s">
        <v>17</v>
      </c>
      <c r="F14" s="12">
        <v>45980</v>
      </c>
      <c r="G14" s="13">
        <v>0.35416666666666669</v>
      </c>
      <c r="H14" s="1" t="s">
        <v>9</v>
      </c>
      <c r="I14" s="1" t="s">
        <v>10</v>
      </c>
      <c r="J14" s="1">
        <v>18</v>
      </c>
      <c r="K14" s="14">
        <f>VLOOKUP($C14,Sheet2!$A$2:$D$10,4,0)</f>
        <v>18</v>
      </c>
      <c r="L14" s="14" t="str">
        <f>VLOOKUP($C14,Sheet2!$A$2:$E$10,5,0)</f>
        <v>Trolley (H)</v>
      </c>
      <c r="M14" s="14"/>
      <c r="N14" s="64"/>
      <c r="O14" s="1" t="s">
        <v>171</v>
      </c>
      <c r="P14" s="1" t="s">
        <v>1024</v>
      </c>
    </row>
    <row r="15" spans="1:16" x14ac:dyDescent="0.25">
      <c r="A15" s="15" t="s">
        <v>961</v>
      </c>
      <c r="B15" s="16" t="s">
        <v>917</v>
      </c>
      <c r="C15" s="1" t="s">
        <v>7</v>
      </c>
      <c r="D15" s="1" t="str">
        <f>VLOOKUP($C15,Sheet2!$A$2:$B$10,2,0)</f>
        <v>141110-14600</v>
      </c>
      <c r="E15" s="7" t="s">
        <v>8</v>
      </c>
      <c r="F15" s="12">
        <v>45980</v>
      </c>
      <c r="G15" s="13">
        <v>0.35416666666666669</v>
      </c>
      <c r="H15" s="1" t="s">
        <v>9</v>
      </c>
      <c r="I15" s="1" t="s">
        <v>10</v>
      </c>
      <c r="J15" s="1">
        <v>18</v>
      </c>
      <c r="K15" s="14">
        <f>VLOOKUP($C15,Sheet2!$A$2:$D$10,4,0)</f>
        <v>18</v>
      </c>
      <c r="L15" s="14" t="str">
        <f>VLOOKUP($C15,Sheet2!$A$2:$E$10,5,0)</f>
        <v>Trolley (H)</v>
      </c>
      <c r="M15" s="14"/>
      <c r="N15" s="63">
        <v>1</v>
      </c>
      <c r="O15" s="1" t="s">
        <v>171</v>
      </c>
      <c r="P15" s="1" t="s">
        <v>1020</v>
      </c>
    </row>
    <row r="16" spans="1:16" x14ac:dyDescent="0.25">
      <c r="A16" s="15" t="s">
        <v>961</v>
      </c>
      <c r="B16" s="16" t="s">
        <v>922</v>
      </c>
      <c r="C16" s="1" t="s">
        <v>16</v>
      </c>
      <c r="D16" s="1" t="str">
        <f>VLOOKUP($C16,Sheet2!$A$2:$B$10,2,0)</f>
        <v>141120-14600</v>
      </c>
      <c r="E16" s="7" t="s">
        <v>17</v>
      </c>
      <c r="F16" s="12">
        <v>45980</v>
      </c>
      <c r="G16" s="13">
        <v>0.35416666666666669</v>
      </c>
      <c r="H16" s="1" t="s">
        <v>9</v>
      </c>
      <c r="I16" s="1" t="s">
        <v>10</v>
      </c>
      <c r="J16" s="1">
        <v>18</v>
      </c>
      <c r="K16" s="14">
        <f>VLOOKUP($C16,Sheet2!$A$2:$D$10,4,0)</f>
        <v>18</v>
      </c>
      <c r="L16" s="14" t="str">
        <f>VLOOKUP($C16,Sheet2!$A$2:$E$10,5,0)</f>
        <v>Trolley (H)</v>
      </c>
      <c r="M16" s="14"/>
      <c r="N16" s="64"/>
      <c r="O16" s="1" t="s">
        <v>171</v>
      </c>
      <c r="P16" s="1" t="s">
        <v>1020</v>
      </c>
    </row>
    <row r="17" spans="1:16" x14ac:dyDescent="0.25">
      <c r="A17" s="15" t="s">
        <v>961</v>
      </c>
      <c r="B17" s="16" t="s">
        <v>926</v>
      </c>
      <c r="C17" s="1" t="s">
        <v>23</v>
      </c>
      <c r="D17" s="1" t="str">
        <f>VLOOKUP($C17,Sheet2!$A$2:$B$10,2,0)</f>
        <v>141185-74670</v>
      </c>
      <c r="E17" s="7" t="s">
        <v>24</v>
      </c>
      <c r="F17" s="12">
        <v>45980</v>
      </c>
      <c r="G17" s="13">
        <v>0.35416666666666669</v>
      </c>
      <c r="H17" s="1" t="s">
        <v>9</v>
      </c>
      <c r="I17" s="1" t="s">
        <v>10</v>
      </c>
      <c r="J17" s="1">
        <v>40</v>
      </c>
      <c r="K17" s="14">
        <f>VLOOKUP($C17,Sheet2!$A$2:$D$10,4,0)</f>
        <v>40</v>
      </c>
      <c r="L17" s="14" t="str">
        <f>VLOOKUP($C17,Sheet2!$A$2:$E$10,5,0)</f>
        <v>Trolley</v>
      </c>
      <c r="M17" s="14"/>
      <c r="N17" s="1">
        <f t="shared" ref="N17:N18" si="1">J17/K17</f>
        <v>1</v>
      </c>
      <c r="O17" s="1" t="s">
        <v>171</v>
      </c>
      <c r="P17" s="1">
        <v>910101985</v>
      </c>
    </row>
    <row r="18" spans="1:16" x14ac:dyDescent="0.25">
      <c r="A18" s="15" t="s">
        <v>961</v>
      </c>
      <c r="B18" s="16" t="s">
        <v>927</v>
      </c>
      <c r="C18" s="1" t="s">
        <v>23</v>
      </c>
      <c r="D18" s="1" t="str">
        <f>VLOOKUP($C18,Sheet2!$A$2:$B$10,2,0)</f>
        <v>141185-74670</v>
      </c>
      <c r="E18" s="7" t="s">
        <v>24</v>
      </c>
      <c r="F18" s="12">
        <v>45980</v>
      </c>
      <c r="G18" s="13">
        <v>0.35416666666666669</v>
      </c>
      <c r="H18" s="1" t="s">
        <v>9</v>
      </c>
      <c r="I18" s="1" t="s">
        <v>10</v>
      </c>
      <c r="J18" s="1">
        <v>40</v>
      </c>
      <c r="K18" s="14">
        <f>VLOOKUP($C18,Sheet2!$A$2:$D$10,4,0)</f>
        <v>40</v>
      </c>
      <c r="L18" s="14" t="str">
        <f>VLOOKUP($C18,Sheet2!$A$2:$E$10,5,0)</f>
        <v>Trolley</v>
      </c>
      <c r="M18" s="14"/>
      <c r="N18" s="1">
        <f t="shared" si="1"/>
        <v>1</v>
      </c>
      <c r="O18" s="1" t="s">
        <v>171</v>
      </c>
      <c r="P18" s="1">
        <v>910101985</v>
      </c>
    </row>
    <row r="19" spans="1:16" x14ac:dyDescent="0.25">
      <c r="A19" s="15" t="s">
        <v>961</v>
      </c>
      <c r="B19" s="16" t="s">
        <v>930</v>
      </c>
      <c r="C19" s="1" t="s">
        <v>29</v>
      </c>
      <c r="D19" s="1" t="str">
        <f>VLOOKUP($C19,Sheet2!$A$2:$B$10,2,0)</f>
        <v>141140-91211</v>
      </c>
      <c r="E19" s="7" t="s">
        <v>30</v>
      </c>
      <c r="F19" s="12">
        <v>45980</v>
      </c>
      <c r="G19" s="13">
        <v>0.35416666666666669</v>
      </c>
      <c r="H19" s="1" t="s">
        <v>31</v>
      </c>
      <c r="I19" s="1" t="s">
        <v>10</v>
      </c>
      <c r="J19" s="1">
        <v>20</v>
      </c>
      <c r="K19" s="14">
        <f>VLOOKUP($C19,Sheet2!$A$2:$D$10,4,0)</f>
        <v>2</v>
      </c>
      <c r="L19" s="14" t="str">
        <f>VLOOKUP($C19,Sheet2!$A$2:$E$10,5,0)</f>
        <v>Bin</v>
      </c>
      <c r="M19" s="14">
        <f t="shared" ref="M19:M22" si="2">J19/K19</f>
        <v>10</v>
      </c>
      <c r="N19" s="1"/>
      <c r="O19" s="1" t="s">
        <v>171</v>
      </c>
      <c r="P19" s="1" t="s">
        <v>1023</v>
      </c>
    </row>
    <row r="20" spans="1:16" x14ac:dyDescent="0.25">
      <c r="A20" s="15" t="s">
        <v>961</v>
      </c>
      <c r="B20" s="16" t="s">
        <v>931</v>
      </c>
      <c r="C20" s="1" t="s">
        <v>29</v>
      </c>
      <c r="D20" s="1" t="str">
        <f>VLOOKUP($C20,Sheet2!$A$2:$B$10,2,0)</f>
        <v>141140-91211</v>
      </c>
      <c r="E20" s="7" t="s">
        <v>30</v>
      </c>
      <c r="F20" s="12">
        <v>45980</v>
      </c>
      <c r="G20" s="13">
        <v>0.35416666666666669</v>
      </c>
      <c r="H20" s="1" t="s">
        <v>31</v>
      </c>
      <c r="I20" s="1" t="s">
        <v>10</v>
      </c>
      <c r="J20" s="1">
        <v>18</v>
      </c>
      <c r="K20" s="14">
        <f>VLOOKUP($C20,Sheet2!$A$2:$D$10,4,0)</f>
        <v>2</v>
      </c>
      <c r="L20" s="14" t="str">
        <f>VLOOKUP($C20,Sheet2!$A$2:$E$10,5,0)</f>
        <v>Bin</v>
      </c>
      <c r="M20" s="14">
        <f t="shared" si="2"/>
        <v>9</v>
      </c>
      <c r="N20" s="1"/>
      <c r="O20" s="1" t="s">
        <v>171</v>
      </c>
      <c r="P20" s="1" t="s">
        <v>1023</v>
      </c>
    </row>
    <row r="21" spans="1:16" x14ac:dyDescent="0.25">
      <c r="A21" s="15" t="s">
        <v>961</v>
      </c>
      <c r="B21" s="16" t="s">
        <v>935</v>
      </c>
      <c r="C21" s="1" t="s">
        <v>37</v>
      </c>
      <c r="D21" s="1" t="str">
        <f>VLOOKUP($C21,Sheet2!$A$2:$B$10,2,0)</f>
        <v>141150-91211</v>
      </c>
      <c r="E21" s="7" t="s">
        <v>38</v>
      </c>
      <c r="F21" s="12">
        <v>45980</v>
      </c>
      <c r="G21" s="13">
        <v>0.35416666666666669</v>
      </c>
      <c r="H21" s="1" t="s">
        <v>31</v>
      </c>
      <c r="I21" s="1" t="s">
        <v>10</v>
      </c>
      <c r="J21" s="1">
        <v>20</v>
      </c>
      <c r="K21" s="14">
        <f>VLOOKUP($C21,Sheet2!$A$2:$D$10,4,0)</f>
        <v>2</v>
      </c>
      <c r="L21" s="14" t="str">
        <f>VLOOKUP($C21,Sheet2!$A$2:$E$10,5,0)</f>
        <v>Bin</v>
      </c>
      <c r="M21" s="14">
        <f t="shared" si="2"/>
        <v>10</v>
      </c>
      <c r="N21" s="1"/>
      <c r="O21" s="1" t="s">
        <v>171</v>
      </c>
      <c r="P21" s="1" t="s">
        <v>1023</v>
      </c>
    </row>
    <row r="22" spans="1:16" x14ac:dyDescent="0.25">
      <c r="A22" s="15" t="s">
        <v>961</v>
      </c>
      <c r="B22" s="16" t="s">
        <v>936</v>
      </c>
      <c r="C22" s="1" t="s">
        <v>37</v>
      </c>
      <c r="D22" s="1" t="str">
        <f>VLOOKUP($C22,Sheet2!$A$2:$B$10,2,0)</f>
        <v>141150-91211</v>
      </c>
      <c r="E22" s="7" t="s">
        <v>38</v>
      </c>
      <c r="F22" s="12">
        <v>45980</v>
      </c>
      <c r="G22" s="13">
        <v>0.35416666666666669</v>
      </c>
      <c r="H22" s="1" t="s">
        <v>31</v>
      </c>
      <c r="I22" s="1" t="s">
        <v>10</v>
      </c>
      <c r="J22" s="1">
        <v>18</v>
      </c>
      <c r="K22" s="14">
        <f>VLOOKUP($C22,Sheet2!$A$2:$D$10,4,0)</f>
        <v>2</v>
      </c>
      <c r="L22" s="14" t="str">
        <f>VLOOKUP($C22,Sheet2!$A$2:$E$10,5,0)</f>
        <v>Bin</v>
      </c>
      <c r="M22" s="14">
        <f t="shared" si="2"/>
        <v>9</v>
      </c>
      <c r="N22" s="1"/>
      <c r="O22" s="1" t="s">
        <v>171</v>
      </c>
      <c r="P22" s="1" t="s">
        <v>1023</v>
      </c>
    </row>
    <row r="23" spans="1:16" x14ac:dyDescent="0.25">
      <c r="A23" s="15" t="s">
        <v>961</v>
      </c>
      <c r="B23" s="16" t="s">
        <v>940</v>
      </c>
      <c r="C23" s="1" t="s">
        <v>45</v>
      </c>
      <c r="D23" s="1" t="str">
        <f>VLOOKUP($C23,Sheet2!$A$2:$B$10,2,0)</f>
        <v>141186-74360</v>
      </c>
      <c r="E23" s="7" t="s">
        <v>46</v>
      </c>
      <c r="F23" s="12">
        <v>45980</v>
      </c>
      <c r="G23" s="13">
        <v>0.35416666666666669</v>
      </c>
      <c r="H23" s="1" t="s">
        <v>31</v>
      </c>
      <c r="I23" s="1" t="s">
        <v>10</v>
      </c>
      <c r="J23" s="1">
        <v>40</v>
      </c>
      <c r="K23" s="14">
        <f>VLOOKUP($C23,Sheet2!$A$2:$D$10,4,0)</f>
        <v>40</v>
      </c>
      <c r="L23" s="14" t="str">
        <f>VLOOKUP($C23,Sheet2!$A$2:$E$10,5,0)</f>
        <v>Trolley</v>
      </c>
      <c r="M23" s="14"/>
      <c r="N23" s="1">
        <f t="shared" ref="N23:N24" si="3">J23/K23</f>
        <v>1</v>
      </c>
      <c r="O23" s="1" t="s">
        <v>171</v>
      </c>
      <c r="P23" s="1">
        <v>910102786</v>
      </c>
    </row>
    <row r="24" spans="1:16" x14ac:dyDescent="0.25">
      <c r="A24" s="15" t="s">
        <v>961</v>
      </c>
      <c r="B24" s="16" t="s">
        <v>941</v>
      </c>
      <c r="C24" s="1" t="s">
        <v>45</v>
      </c>
      <c r="D24" s="1" t="str">
        <f>VLOOKUP($C24,Sheet2!$A$2:$B$10,2,0)</f>
        <v>141186-74360</v>
      </c>
      <c r="E24" s="7" t="s">
        <v>46</v>
      </c>
      <c r="F24" s="12">
        <v>45980</v>
      </c>
      <c r="G24" s="13">
        <v>0.35416666666666669</v>
      </c>
      <c r="H24" s="1" t="s">
        <v>31</v>
      </c>
      <c r="I24" s="1" t="s">
        <v>10</v>
      </c>
      <c r="J24" s="1">
        <v>40</v>
      </c>
      <c r="K24" s="14">
        <f>VLOOKUP($C24,Sheet2!$A$2:$D$10,4,0)</f>
        <v>40</v>
      </c>
      <c r="L24" s="14" t="str">
        <f>VLOOKUP($C24,Sheet2!$A$2:$E$10,5,0)</f>
        <v>Trolley</v>
      </c>
      <c r="M24" s="14"/>
      <c r="N24" s="1">
        <f t="shared" si="3"/>
        <v>1</v>
      </c>
      <c r="O24" s="1" t="s">
        <v>171</v>
      </c>
      <c r="P24" s="1">
        <v>910102863</v>
      </c>
    </row>
    <row r="25" spans="1:16" x14ac:dyDescent="0.25">
      <c r="A25" s="15" t="s">
        <v>962</v>
      </c>
      <c r="B25" s="16" t="s">
        <v>944</v>
      </c>
      <c r="C25" s="1" t="s">
        <v>50</v>
      </c>
      <c r="D25" s="1" t="str">
        <f>VLOOKUP($C25,Sheet2!$A$2:$B$10,2,0)</f>
        <v>116040-92240</v>
      </c>
      <c r="E25" s="7" t="s">
        <v>51</v>
      </c>
      <c r="F25" s="12">
        <v>45980</v>
      </c>
      <c r="G25" s="13">
        <v>0.35416666666666669</v>
      </c>
      <c r="H25" s="1" t="s">
        <v>52</v>
      </c>
      <c r="I25" s="1" t="s">
        <v>10</v>
      </c>
      <c r="J25" s="1">
        <v>18</v>
      </c>
      <c r="K25" s="14">
        <f>VLOOKUP($C25,Sheet2!$A$2:$D$10,4,0)</f>
        <v>6</v>
      </c>
      <c r="L25" s="14" t="str">
        <f>VLOOKUP($C25,Sheet2!$A$2:$E$10,5,0)</f>
        <v>Bin</v>
      </c>
      <c r="M25" s="14">
        <f t="shared" ref="M25:M30" si="4">J25/K25</f>
        <v>3</v>
      </c>
      <c r="N25" s="1"/>
      <c r="O25" s="1" t="s">
        <v>171</v>
      </c>
      <c r="P25" s="1" t="s">
        <v>591</v>
      </c>
    </row>
    <row r="26" spans="1:16" x14ac:dyDescent="0.25">
      <c r="A26" s="15" t="s">
        <v>962</v>
      </c>
      <c r="B26" s="16" t="s">
        <v>945</v>
      </c>
      <c r="C26" s="1" t="s">
        <v>50</v>
      </c>
      <c r="D26" s="1" t="str">
        <f>VLOOKUP($C26,Sheet2!$A$2:$B$10,2,0)</f>
        <v>116040-92240</v>
      </c>
      <c r="E26" s="7" t="s">
        <v>51</v>
      </c>
      <c r="F26" s="12">
        <v>45980</v>
      </c>
      <c r="G26" s="13">
        <v>0.35416666666666669</v>
      </c>
      <c r="H26" s="1" t="s">
        <v>52</v>
      </c>
      <c r="I26" s="1" t="s">
        <v>10</v>
      </c>
      <c r="J26" s="1">
        <v>18</v>
      </c>
      <c r="K26" s="14">
        <f>VLOOKUP($C26,Sheet2!$A$2:$D$10,4,0)</f>
        <v>6</v>
      </c>
      <c r="L26" s="14" t="str">
        <f>VLOOKUP($C26,Sheet2!$A$2:$E$10,5,0)</f>
        <v>Bin</v>
      </c>
      <c r="M26" s="14">
        <f t="shared" si="4"/>
        <v>3</v>
      </c>
      <c r="N26" s="1"/>
      <c r="O26" s="1" t="s">
        <v>171</v>
      </c>
      <c r="P26" s="1" t="s">
        <v>591</v>
      </c>
    </row>
    <row r="27" spans="1:16" x14ac:dyDescent="0.25">
      <c r="A27" s="15" t="s">
        <v>962</v>
      </c>
      <c r="B27" s="16" t="s">
        <v>949</v>
      </c>
      <c r="C27" s="1" t="s">
        <v>59</v>
      </c>
      <c r="D27" s="1" t="str">
        <f>VLOOKUP($C27,Sheet2!$A$2:$B$10,2,0)</f>
        <v>114010-50820</v>
      </c>
      <c r="E27" s="7" t="s">
        <v>60</v>
      </c>
      <c r="F27" s="12">
        <v>45980</v>
      </c>
      <c r="G27" s="13">
        <v>0.35416666666666669</v>
      </c>
      <c r="H27" s="1" t="s">
        <v>52</v>
      </c>
      <c r="I27" s="1" t="s">
        <v>10</v>
      </c>
      <c r="J27" s="1">
        <v>3</v>
      </c>
      <c r="K27" s="14">
        <f>VLOOKUP($C27,Sheet2!$A$2:$D$10,4,0)</f>
        <v>1</v>
      </c>
      <c r="L27" s="14" t="str">
        <f>VLOOKUP($C27,Sheet2!$A$2:$E$10,5,0)</f>
        <v>Bin</v>
      </c>
      <c r="M27" s="14">
        <f t="shared" si="4"/>
        <v>3</v>
      </c>
      <c r="N27" s="1"/>
      <c r="O27" s="1" t="s">
        <v>171</v>
      </c>
      <c r="P27" s="1" t="s">
        <v>1019</v>
      </c>
    </row>
    <row r="28" spans="1:16" x14ac:dyDescent="0.25">
      <c r="A28" s="15" t="s">
        <v>962</v>
      </c>
      <c r="B28" s="16" t="s">
        <v>950</v>
      </c>
      <c r="C28" s="1" t="s">
        <v>59</v>
      </c>
      <c r="D28" s="1" t="str">
        <f>VLOOKUP($C28,Sheet2!$A$2:$B$10,2,0)</f>
        <v>114010-50820</v>
      </c>
      <c r="E28" s="7" t="s">
        <v>60</v>
      </c>
      <c r="F28" s="12">
        <v>45980</v>
      </c>
      <c r="G28" s="13">
        <v>0.35416666666666669</v>
      </c>
      <c r="H28" s="1" t="s">
        <v>52</v>
      </c>
      <c r="I28" s="1" t="s">
        <v>10</v>
      </c>
      <c r="J28" s="1">
        <v>7</v>
      </c>
      <c r="K28" s="14">
        <f>VLOOKUP($C28,Sheet2!$A$2:$D$10,4,0)</f>
        <v>1</v>
      </c>
      <c r="L28" s="14" t="str">
        <f>VLOOKUP($C28,Sheet2!$A$2:$E$10,5,0)</f>
        <v>Bin</v>
      </c>
      <c r="M28" s="14">
        <f t="shared" si="4"/>
        <v>7</v>
      </c>
      <c r="N28" s="1"/>
      <c r="O28" s="1" t="s">
        <v>171</v>
      </c>
      <c r="P28" s="1" t="s">
        <v>1019</v>
      </c>
    </row>
    <row r="29" spans="1:16" x14ac:dyDescent="0.25">
      <c r="A29" s="15" t="s">
        <v>962</v>
      </c>
      <c r="B29" s="16" t="s">
        <v>954</v>
      </c>
      <c r="C29" s="1" t="s">
        <v>67</v>
      </c>
      <c r="D29" s="1" t="str">
        <f>VLOOKUP($C29,Sheet2!$A$2:$B$10,2,0)</f>
        <v>114010-50830</v>
      </c>
      <c r="E29" s="7" t="s">
        <v>60</v>
      </c>
      <c r="F29" s="12">
        <v>45980</v>
      </c>
      <c r="G29" s="13">
        <v>0.35416666666666669</v>
      </c>
      <c r="H29" s="1" t="s">
        <v>52</v>
      </c>
      <c r="I29" s="1" t="s">
        <v>10</v>
      </c>
      <c r="J29" s="1">
        <v>17</v>
      </c>
      <c r="K29" s="14">
        <f>VLOOKUP($C29,Sheet2!$A$2:$D$10,4,0)</f>
        <v>1</v>
      </c>
      <c r="L29" s="14" t="str">
        <f>VLOOKUP($C29,Sheet2!$A$2:$E$10,5,0)</f>
        <v>Bin</v>
      </c>
      <c r="M29" s="14">
        <f t="shared" si="4"/>
        <v>17</v>
      </c>
      <c r="N29" s="1"/>
      <c r="O29" s="1" t="s">
        <v>171</v>
      </c>
      <c r="P29" s="1" t="s">
        <v>587</v>
      </c>
    </row>
    <row r="30" spans="1:16" x14ac:dyDescent="0.25">
      <c r="A30" s="15" t="s">
        <v>962</v>
      </c>
      <c r="B30" s="16" t="s">
        <v>955</v>
      </c>
      <c r="C30" s="1" t="s">
        <v>67</v>
      </c>
      <c r="D30" s="1" t="str">
        <f>VLOOKUP($C30,Sheet2!$A$2:$B$10,2,0)</f>
        <v>114010-50830</v>
      </c>
      <c r="E30" s="7" t="s">
        <v>60</v>
      </c>
      <c r="F30" s="12">
        <v>45980</v>
      </c>
      <c r="G30" s="13">
        <v>0.35416666666666669</v>
      </c>
      <c r="H30" s="1" t="s">
        <v>52</v>
      </c>
      <c r="I30" s="1" t="s">
        <v>10</v>
      </c>
      <c r="J30" s="1">
        <v>12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si="4"/>
        <v>12</v>
      </c>
      <c r="N30" s="1"/>
      <c r="O30" s="1" t="s">
        <v>171</v>
      </c>
      <c r="P30" s="1" t="s">
        <v>587</v>
      </c>
    </row>
    <row r="31" spans="1:16" s="20" customForma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>
        <v>83</v>
      </c>
      <c r="N31" s="9">
        <v>6</v>
      </c>
      <c r="O31" s="9"/>
      <c r="P31" s="9"/>
    </row>
    <row r="32" spans="1:16" x14ac:dyDescent="0.25">
      <c r="A32" s="15" t="s">
        <v>963</v>
      </c>
      <c r="B32" s="16" t="s">
        <v>918</v>
      </c>
      <c r="C32" s="1" t="s">
        <v>7</v>
      </c>
      <c r="D32" s="1" t="str">
        <f>VLOOKUP($C32,Sheet2!$A$2:$B$10,2,0)</f>
        <v>141110-14600</v>
      </c>
      <c r="E32" s="7" t="s">
        <v>8</v>
      </c>
      <c r="F32" s="12">
        <v>45980</v>
      </c>
      <c r="G32" s="13">
        <v>0.5625</v>
      </c>
      <c r="H32" s="1" t="s">
        <v>9</v>
      </c>
      <c r="I32" s="1" t="s">
        <v>10</v>
      </c>
      <c r="J32" s="1">
        <v>18</v>
      </c>
      <c r="K32" s="14">
        <f>VLOOKUP($C32,Sheet2!$A$2:$D$10,4,0)</f>
        <v>18</v>
      </c>
      <c r="L32" s="14" t="str">
        <f>VLOOKUP($C32,Sheet2!$A$2:$E$10,5,0)</f>
        <v>Trolley (H)</v>
      </c>
      <c r="M32" s="14"/>
      <c r="N32" s="63">
        <v>1</v>
      </c>
      <c r="O32" s="1" t="s">
        <v>528</v>
      </c>
      <c r="P32" s="1" t="s">
        <v>1020</v>
      </c>
    </row>
    <row r="33" spans="1:16" x14ac:dyDescent="0.25">
      <c r="A33" s="15" t="s">
        <v>963</v>
      </c>
      <c r="B33" s="16" t="s">
        <v>923</v>
      </c>
      <c r="C33" s="1" t="s">
        <v>16</v>
      </c>
      <c r="D33" s="1" t="str">
        <f>VLOOKUP($C33,Sheet2!$A$2:$B$10,2,0)</f>
        <v>141120-14600</v>
      </c>
      <c r="E33" s="7" t="s">
        <v>17</v>
      </c>
      <c r="F33" s="12">
        <v>45980</v>
      </c>
      <c r="G33" s="13">
        <v>0.5625</v>
      </c>
      <c r="H33" s="1" t="s">
        <v>9</v>
      </c>
      <c r="I33" s="1" t="s">
        <v>10</v>
      </c>
      <c r="J33" s="1">
        <v>18</v>
      </c>
      <c r="K33" s="14">
        <f>VLOOKUP($C33,Sheet2!$A$2:$D$10,4,0)</f>
        <v>18</v>
      </c>
      <c r="L33" s="14" t="str">
        <f>VLOOKUP($C33,Sheet2!$A$2:$E$10,5,0)</f>
        <v>Trolley (H)</v>
      </c>
      <c r="M33" s="14"/>
      <c r="N33" s="64"/>
      <c r="O33" s="1" t="s">
        <v>528</v>
      </c>
      <c r="P33" s="1" t="s">
        <v>1020</v>
      </c>
    </row>
    <row r="34" spans="1:16" x14ac:dyDescent="0.25">
      <c r="A34" s="15" t="s">
        <v>963</v>
      </c>
      <c r="B34" s="16" t="s">
        <v>928</v>
      </c>
      <c r="C34" s="1" t="s">
        <v>23</v>
      </c>
      <c r="D34" s="1" t="str">
        <f>VLOOKUP($C34,Sheet2!$A$2:$B$10,2,0)</f>
        <v>141185-74670</v>
      </c>
      <c r="E34" s="7" t="s">
        <v>24</v>
      </c>
      <c r="F34" s="12">
        <v>45980</v>
      </c>
      <c r="G34" s="13">
        <v>0.5625</v>
      </c>
      <c r="H34" s="1" t="s">
        <v>9</v>
      </c>
      <c r="I34" s="1" t="s">
        <v>10</v>
      </c>
      <c r="J34" s="1">
        <v>40</v>
      </c>
      <c r="K34" s="14">
        <f>VLOOKUP($C34,Sheet2!$A$2:$D$10,4,0)</f>
        <v>40</v>
      </c>
      <c r="L34" s="14" t="str">
        <f>VLOOKUP($C34,Sheet2!$A$2:$E$10,5,0)</f>
        <v>Trolley</v>
      </c>
      <c r="M34" s="14"/>
      <c r="N34" s="1">
        <f>J34/K34</f>
        <v>1</v>
      </c>
      <c r="O34" s="1" t="s">
        <v>528</v>
      </c>
      <c r="P34" s="1">
        <v>910101985</v>
      </c>
    </row>
    <row r="35" spans="1:16" x14ac:dyDescent="0.25">
      <c r="A35" s="15" t="s">
        <v>963</v>
      </c>
      <c r="B35" s="16" t="s">
        <v>932</v>
      </c>
      <c r="C35" s="1" t="s">
        <v>29</v>
      </c>
      <c r="D35" s="1" t="str">
        <f>VLOOKUP($C35,Sheet2!$A$2:$B$10,2,0)</f>
        <v>141140-91211</v>
      </c>
      <c r="E35" s="7" t="s">
        <v>30</v>
      </c>
      <c r="F35" s="12">
        <v>45980</v>
      </c>
      <c r="G35" s="13">
        <v>0.5625</v>
      </c>
      <c r="H35" s="1" t="s">
        <v>31</v>
      </c>
      <c r="I35" s="1" t="s">
        <v>10</v>
      </c>
      <c r="J35" s="1">
        <v>20</v>
      </c>
      <c r="K35" s="14">
        <f>VLOOKUP($C35,Sheet2!$A$2:$D$10,4,0)</f>
        <v>2</v>
      </c>
      <c r="L35" s="14" t="str">
        <f>VLOOKUP($C35,Sheet2!$A$2:$E$10,5,0)</f>
        <v>Bin</v>
      </c>
      <c r="M35" s="14">
        <f t="shared" ref="M35:M36" si="5">J35/K35</f>
        <v>10</v>
      </c>
      <c r="N35" s="1"/>
      <c r="O35" s="1" t="s">
        <v>528</v>
      </c>
      <c r="P35" s="1" t="s">
        <v>1023</v>
      </c>
    </row>
    <row r="36" spans="1:16" x14ac:dyDescent="0.25">
      <c r="A36" s="15" t="s">
        <v>963</v>
      </c>
      <c r="B36" s="16" t="s">
        <v>937</v>
      </c>
      <c r="C36" s="1" t="s">
        <v>37</v>
      </c>
      <c r="D36" s="1" t="str">
        <f>VLOOKUP($C36,Sheet2!$A$2:$B$10,2,0)</f>
        <v>141150-91211</v>
      </c>
      <c r="E36" s="7" t="s">
        <v>38</v>
      </c>
      <c r="F36" s="12">
        <v>45980</v>
      </c>
      <c r="G36" s="13">
        <v>0.5625</v>
      </c>
      <c r="H36" s="1" t="s">
        <v>31</v>
      </c>
      <c r="I36" s="1" t="s">
        <v>10</v>
      </c>
      <c r="J36" s="1">
        <v>20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si="5"/>
        <v>10</v>
      </c>
      <c r="N36" s="1"/>
      <c r="O36" s="1" t="s">
        <v>528</v>
      </c>
      <c r="P36" s="1" t="s">
        <v>1023</v>
      </c>
    </row>
    <row r="37" spans="1:16" x14ac:dyDescent="0.25">
      <c r="A37" s="15" t="s">
        <v>963</v>
      </c>
      <c r="B37" s="16" t="s">
        <v>942</v>
      </c>
      <c r="C37" s="1" t="s">
        <v>45</v>
      </c>
      <c r="D37" s="1" t="str">
        <f>VLOOKUP($C37,Sheet2!$A$2:$B$10,2,0)</f>
        <v>141186-74360</v>
      </c>
      <c r="E37" s="7" t="s">
        <v>46</v>
      </c>
      <c r="F37" s="12">
        <v>45980</v>
      </c>
      <c r="G37" s="13">
        <v>0.5625</v>
      </c>
      <c r="H37" s="1" t="s">
        <v>31</v>
      </c>
      <c r="I37" s="1" t="s">
        <v>10</v>
      </c>
      <c r="J37" s="1">
        <v>40</v>
      </c>
      <c r="K37" s="14">
        <f>VLOOKUP($C37,Sheet2!$A$2:$D$10,4,0)</f>
        <v>40</v>
      </c>
      <c r="L37" s="14" t="str">
        <f>VLOOKUP($C37,Sheet2!$A$2:$E$10,5,0)</f>
        <v>Trolley</v>
      </c>
      <c r="M37" s="14"/>
      <c r="N37" s="1">
        <f>J37/K37</f>
        <v>1</v>
      </c>
      <c r="O37" s="1" t="s">
        <v>528</v>
      </c>
      <c r="P37" s="1" t="s">
        <v>1025</v>
      </c>
    </row>
    <row r="38" spans="1:16" x14ac:dyDescent="0.25">
      <c r="A38" s="15" t="s">
        <v>964</v>
      </c>
      <c r="B38" s="16" t="s">
        <v>946</v>
      </c>
      <c r="C38" s="1" t="s">
        <v>50</v>
      </c>
      <c r="D38" s="1" t="str">
        <f>VLOOKUP($C38,Sheet2!$A$2:$B$10,2,0)</f>
        <v>116040-92240</v>
      </c>
      <c r="E38" s="7" t="s">
        <v>51</v>
      </c>
      <c r="F38" s="12">
        <v>45980</v>
      </c>
      <c r="G38" s="13">
        <v>0.5625</v>
      </c>
      <c r="H38" s="1" t="s">
        <v>52</v>
      </c>
      <c r="I38" s="1" t="s">
        <v>10</v>
      </c>
      <c r="J38" s="1">
        <v>24</v>
      </c>
      <c r="K38" s="14">
        <f>VLOOKUP($C38,Sheet2!$A$2:$D$10,4,0)</f>
        <v>6</v>
      </c>
      <c r="L38" s="14" t="str">
        <f>VLOOKUP($C38,Sheet2!$A$2:$E$10,5,0)</f>
        <v>Bin</v>
      </c>
      <c r="M38" s="14">
        <f t="shared" ref="M38:M40" si="6">J38/K38</f>
        <v>4</v>
      </c>
      <c r="N38" s="1"/>
      <c r="O38" s="1" t="s">
        <v>528</v>
      </c>
      <c r="P38" s="1" t="s">
        <v>591</v>
      </c>
    </row>
    <row r="39" spans="1:16" x14ac:dyDescent="0.25">
      <c r="A39" s="15" t="s">
        <v>964</v>
      </c>
      <c r="B39" s="16" t="s">
        <v>951</v>
      </c>
      <c r="C39" s="1" t="s">
        <v>59</v>
      </c>
      <c r="D39" s="1" t="str">
        <f>VLOOKUP($C39,Sheet2!$A$2:$B$10,2,0)</f>
        <v>114010-50820</v>
      </c>
      <c r="E39" s="7" t="s">
        <v>60</v>
      </c>
      <c r="F39" s="12">
        <v>45980</v>
      </c>
      <c r="G39" s="13">
        <v>0.5625</v>
      </c>
      <c r="H39" s="1" t="s">
        <v>52</v>
      </c>
      <c r="I39" s="1" t="s">
        <v>10</v>
      </c>
      <c r="J39" s="1">
        <v>5</v>
      </c>
      <c r="K39" s="14">
        <f>VLOOKUP($C39,Sheet2!$A$2:$D$10,4,0)</f>
        <v>1</v>
      </c>
      <c r="L39" s="14" t="str">
        <f>VLOOKUP($C39,Sheet2!$A$2:$E$10,5,0)</f>
        <v>Bin</v>
      </c>
      <c r="M39" s="14">
        <f t="shared" si="6"/>
        <v>5</v>
      </c>
      <c r="N39" s="1"/>
      <c r="O39" s="1" t="s">
        <v>528</v>
      </c>
      <c r="P39" s="1" t="s">
        <v>1019</v>
      </c>
    </row>
    <row r="40" spans="1:16" ht="15.75" thickBot="1" x14ac:dyDescent="0.3">
      <c r="A40" s="15" t="s">
        <v>964</v>
      </c>
      <c r="B40" s="16" t="s">
        <v>956</v>
      </c>
      <c r="C40" s="1" t="s">
        <v>67</v>
      </c>
      <c r="D40" s="1" t="str">
        <f>VLOOKUP($C40,Sheet2!$A$2:$B$10,2,0)</f>
        <v>114010-50830</v>
      </c>
      <c r="E40" s="7" t="s">
        <v>60</v>
      </c>
      <c r="F40" s="12">
        <v>45980</v>
      </c>
      <c r="G40" s="19">
        <v>0.5625</v>
      </c>
      <c r="H40" s="1" t="s">
        <v>52</v>
      </c>
      <c r="I40" s="1" t="s">
        <v>10</v>
      </c>
      <c r="J40" s="1">
        <v>15</v>
      </c>
      <c r="K40" s="14">
        <f>VLOOKUP($C40,Sheet2!$A$2:$D$10,4,0)</f>
        <v>1</v>
      </c>
      <c r="L40" s="14" t="str">
        <f>VLOOKUP($C40,Sheet2!$A$2:$E$10,5,0)</f>
        <v>Bin</v>
      </c>
      <c r="M40" s="14">
        <f t="shared" si="6"/>
        <v>15</v>
      </c>
      <c r="N40" s="1"/>
      <c r="O40" s="1" t="s">
        <v>528</v>
      </c>
      <c r="P40" s="1" t="s">
        <v>1026</v>
      </c>
    </row>
    <row r="41" spans="1:16" ht="15.75" thickTop="1" x14ac:dyDescent="0.25">
      <c r="A41" s="15" t="s">
        <v>965</v>
      </c>
      <c r="B41" s="16" t="s">
        <v>919</v>
      </c>
      <c r="C41" s="1" t="s">
        <v>7</v>
      </c>
      <c r="D41" s="1" t="str">
        <f>VLOOKUP($C41,Sheet2!$A$2:$B$10,2,0)</f>
        <v>141110-14600</v>
      </c>
      <c r="E41" s="7" t="s">
        <v>8</v>
      </c>
      <c r="F41" s="12">
        <v>45980</v>
      </c>
      <c r="G41" s="13">
        <v>0.77083333333333337</v>
      </c>
      <c r="H41" s="1" t="s">
        <v>9</v>
      </c>
      <c r="I41" s="1" t="s">
        <v>10</v>
      </c>
      <c r="J41" s="1">
        <v>18</v>
      </c>
      <c r="K41" s="14">
        <f>VLOOKUP($C41,Sheet2!$A$2:$D$10,4,0)</f>
        <v>18</v>
      </c>
      <c r="L41" s="14" t="str">
        <f>VLOOKUP($C41,Sheet2!$A$2:$E$10,5,0)</f>
        <v>Trolley (H)</v>
      </c>
      <c r="M41" s="14"/>
      <c r="N41" s="63">
        <v>1</v>
      </c>
      <c r="O41" s="1" t="s">
        <v>528</v>
      </c>
      <c r="P41" s="1" t="s">
        <v>1020</v>
      </c>
    </row>
    <row r="42" spans="1:16" x14ac:dyDescent="0.25">
      <c r="A42" s="15" t="s">
        <v>965</v>
      </c>
      <c r="B42" s="16" t="s">
        <v>924</v>
      </c>
      <c r="C42" s="1" t="s">
        <v>16</v>
      </c>
      <c r="D42" s="1" t="str">
        <f>VLOOKUP($C42,Sheet2!$A$2:$B$10,2,0)</f>
        <v>141120-14600</v>
      </c>
      <c r="E42" s="7" t="s">
        <v>17</v>
      </c>
      <c r="F42" s="12">
        <v>45980</v>
      </c>
      <c r="G42" s="13">
        <v>0.77083333333333337</v>
      </c>
      <c r="H42" s="1" t="s">
        <v>9</v>
      </c>
      <c r="I42" s="1" t="s">
        <v>10</v>
      </c>
      <c r="J42" s="1">
        <v>18</v>
      </c>
      <c r="K42" s="14">
        <f>VLOOKUP($C42,Sheet2!$A$2:$D$10,4,0)</f>
        <v>18</v>
      </c>
      <c r="L42" s="14" t="str">
        <f>VLOOKUP($C42,Sheet2!$A$2:$E$10,5,0)</f>
        <v>Trolley (H)</v>
      </c>
      <c r="M42" s="14"/>
      <c r="N42" s="64"/>
      <c r="O42" s="1" t="s">
        <v>528</v>
      </c>
      <c r="P42" s="1" t="s">
        <v>1020</v>
      </c>
    </row>
    <row r="43" spans="1:16" x14ac:dyDescent="0.25">
      <c r="A43" s="15" t="s">
        <v>965</v>
      </c>
      <c r="B43" s="16" t="s">
        <v>929</v>
      </c>
      <c r="C43" s="1" t="s">
        <v>23</v>
      </c>
      <c r="D43" s="1" t="str">
        <f>VLOOKUP($C43,Sheet2!$A$2:$B$10,2,0)</f>
        <v>141185-74670</v>
      </c>
      <c r="E43" s="7" t="s">
        <v>24</v>
      </c>
      <c r="F43" s="12">
        <v>45980</v>
      </c>
      <c r="G43" s="13">
        <v>0.77083333333333337</v>
      </c>
      <c r="H43" s="1" t="s">
        <v>9</v>
      </c>
      <c r="I43" s="1" t="s">
        <v>10</v>
      </c>
      <c r="J43" s="1">
        <v>40</v>
      </c>
      <c r="K43" s="14">
        <f>VLOOKUP($C43,Sheet2!$A$2:$D$10,4,0)</f>
        <v>40</v>
      </c>
      <c r="L43" s="14" t="str">
        <f>VLOOKUP($C43,Sheet2!$A$2:$E$10,5,0)</f>
        <v>Trolley</v>
      </c>
      <c r="M43" s="14"/>
      <c r="N43" s="1">
        <f>J43/K43</f>
        <v>1</v>
      </c>
      <c r="O43" s="1" t="s">
        <v>528</v>
      </c>
      <c r="P43" s="1">
        <v>910101985</v>
      </c>
    </row>
    <row r="44" spans="1:16" x14ac:dyDescent="0.25">
      <c r="A44" s="15" t="s">
        <v>965</v>
      </c>
      <c r="B44" s="16" t="s">
        <v>933</v>
      </c>
      <c r="C44" s="1" t="s">
        <v>29</v>
      </c>
      <c r="D44" s="1" t="str">
        <f>VLOOKUP($C44,Sheet2!$A$2:$B$10,2,0)</f>
        <v>141140-91211</v>
      </c>
      <c r="E44" s="7" t="s">
        <v>30</v>
      </c>
      <c r="F44" s="12">
        <v>45980</v>
      </c>
      <c r="G44" s="13">
        <v>0.77083333333333337</v>
      </c>
      <c r="H44" s="1" t="s">
        <v>31</v>
      </c>
      <c r="I44" s="1" t="s">
        <v>10</v>
      </c>
      <c r="J44" s="1">
        <v>16</v>
      </c>
      <c r="K44" s="14">
        <f>VLOOKUP($C44,Sheet2!$A$2:$D$10,4,0)</f>
        <v>2</v>
      </c>
      <c r="L44" s="14" t="str">
        <f>VLOOKUP($C44,Sheet2!$A$2:$E$10,5,0)</f>
        <v>Bin</v>
      </c>
      <c r="M44" s="14">
        <f t="shared" ref="M44:M45" si="7">J44/K44</f>
        <v>8</v>
      </c>
      <c r="N44" s="1"/>
      <c r="O44" s="1" t="s">
        <v>528</v>
      </c>
      <c r="P44" s="1" t="s">
        <v>1023</v>
      </c>
    </row>
    <row r="45" spans="1:16" x14ac:dyDescent="0.25">
      <c r="A45" s="15" t="s">
        <v>965</v>
      </c>
      <c r="B45" s="16" t="s">
        <v>938</v>
      </c>
      <c r="C45" s="1" t="s">
        <v>37</v>
      </c>
      <c r="D45" s="1" t="str">
        <f>VLOOKUP($C45,Sheet2!$A$2:$B$10,2,0)</f>
        <v>141150-91211</v>
      </c>
      <c r="E45" s="7" t="s">
        <v>38</v>
      </c>
      <c r="F45" s="12">
        <v>45980</v>
      </c>
      <c r="G45" s="13">
        <v>0.77083333333333337</v>
      </c>
      <c r="H45" s="1" t="s">
        <v>31</v>
      </c>
      <c r="I45" s="1" t="s">
        <v>10</v>
      </c>
      <c r="J45" s="1">
        <v>16</v>
      </c>
      <c r="K45" s="14">
        <f>VLOOKUP($C45,Sheet2!$A$2:$D$10,4,0)</f>
        <v>2</v>
      </c>
      <c r="L45" s="14" t="str">
        <f>VLOOKUP($C45,Sheet2!$A$2:$E$10,5,0)</f>
        <v>Bin</v>
      </c>
      <c r="M45" s="14">
        <f t="shared" si="7"/>
        <v>8</v>
      </c>
      <c r="N45" s="1"/>
      <c r="O45" s="1" t="s">
        <v>528</v>
      </c>
      <c r="P45" s="1" t="s">
        <v>1023</v>
      </c>
    </row>
    <row r="46" spans="1:16" x14ac:dyDescent="0.25">
      <c r="A46" s="15" t="s">
        <v>965</v>
      </c>
      <c r="B46" s="16" t="s">
        <v>943</v>
      </c>
      <c r="C46" s="1" t="s">
        <v>45</v>
      </c>
      <c r="D46" s="1" t="str">
        <f>VLOOKUP($C46,Sheet2!$A$2:$B$10,2,0)</f>
        <v>141186-74360</v>
      </c>
      <c r="E46" s="7" t="s">
        <v>46</v>
      </c>
      <c r="F46" s="12">
        <v>45980</v>
      </c>
      <c r="G46" s="13">
        <v>0.77083333333333337</v>
      </c>
      <c r="H46" s="1" t="s">
        <v>31</v>
      </c>
      <c r="I46" s="1" t="s">
        <v>10</v>
      </c>
      <c r="J46" s="1">
        <v>40</v>
      </c>
      <c r="K46" s="14">
        <f>VLOOKUP($C46,Sheet2!$A$2:$D$10,4,0)</f>
        <v>40</v>
      </c>
      <c r="L46" s="14" t="str">
        <f>VLOOKUP($C46,Sheet2!$A$2:$E$10,5,0)</f>
        <v>Trolley</v>
      </c>
      <c r="M46" s="14"/>
      <c r="N46" s="1">
        <f>J46/K46</f>
        <v>1</v>
      </c>
      <c r="O46" s="1" t="s">
        <v>528</v>
      </c>
      <c r="P46" s="1">
        <v>910102863</v>
      </c>
    </row>
    <row r="47" spans="1:16" x14ac:dyDescent="0.25">
      <c r="A47" s="15" t="s">
        <v>966</v>
      </c>
      <c r="B47" s="16" t="s">
        <v>947</v>
      </c>
      <c r="C47" s="1" t="s">
        <v>50</v>
      </c>
      <c r="D47" s="1" t="str">
        <f>VLOOKUP($C47,Sheet2!$A$2:$B$10,2,0)</f>
        <v>116040-92240</v>
      </c>
      <c r="E47" s="7" t="s">
        <v>51</v>
      </c>
      <c r="F47" s="12">
        <v>45980</v>
      </c>
      <c r="G47" s="13">
        <v>0.77083333333333337</v>
      </c>
      <c r="H47" s="1" t="s">
        <v>52</v>
      </c>
      <c r="I47" s="1" t="s">
        <v>10</v>
      </c>
      <c r="J47" s="1">
        <v>12</v>
      </c>
      <c r="K47" s="14">
        <f>VLOOKUP($C47,Sheet2!$A$2:$D$10,4,0)</f>
        <v>6</v>
      </c>
      <c r="L47" s="14" t="str">
        <f>VLOOKUP($C47,Sheet2!$A$2:$E$10,5,0)</f>
        <v>Bin</v>
      </c>
      <c r="M47" s="14">
        <f t="shared" ref="M47:M49" si="8">J47/K47</f>
        <v>2</v>
      </c>
      <c r="N47" s="1"/>
      <c r="O47" s="1" t="s">
        <v>528</v>
      </c>
      <c r="P47" s="1" t="s">
        <v>591</v>
      </c>
    </row>
    <row r="48" spans="1:16" x14ac:dyDescent="0.25">
      <c r="A48" s="15" t="s">
        <v>966</v>
      </c>
      <c r="B48" s="16" t="s">
        <v>952</v>
      </c>
      <c r="C48" s="1" t="s">
        <v>59</v>
      </c>
      <c r="D48" s="1" t="str">
        <f>VLOOKUP($C48,Sheet2!$A$2:$B$10,2,0)</f>
        <v>114010-50820</v>
      </c>
      <c r="E48" s="7" t="s">
        <v>60</v>
      </c>
      <c r="F48" s="12">
        <v>45980</v>
      </c>
      <c r="G48" s="13">
        <v>0.77083333333333337</v>
      </c>
      <c r="H48" s="1" t="s">
        <v>52</v>
      </c>
      <c r="I48" s="1" t="s">
        <v>10</v>
      </c>
      <c r="J48" s="1">
        <v>6</v>
      </c>
      <c r="K48" s="14">
        <f>VLOOKUP($C48,Sheet2!$A$2:$D$10,4,0)</f>
        <v>1</v>
      </c>
      <c r="L48" s="14" t="str">
        <f>VLOOKUP($C48,Sheet2!$A$2:$E$10,5,0)</f>
        <v>Bin</v>
      </c>
      <c r="M48" s="14">
        <f t="shared" si="8"/>
        <v>6</v>
      </c>
      <c r="N48" s="1"/>
      <c r="O48" s="1" t="s">
        <v>528</v>
      </c>
      <c r="P48" s="1" t="s">
        <v>1019</v>
      </c>
    </row>
    <row r="49" spans="1:16" ht="15.75" thickBot="1" x14ac:dyDescent="0.3">
      <c r="A49" s="15" t="s">
        <v>966</v>
      </c>
      <c r="B49" s="16" t="s">
        <v>957</v>
      </c>
      <c r="C49" s="1" t="s">
        <v>67</v>
      </c>
      <c r="D49" s="1" t="str">
        <f>VLOOKUP($C49,Sheet2!$A$2:$B$10,2,0)</f>
        <v>114010-50830</v>
      </c>
      <c r="E49" s="7" t="s">
        <v>60</v>
      </c>
      <c r="F49" s="12">
        <v>45980</v>
      </c>
      <c r="G49" s="19">
        <v>0.77083333333333337</v>
      </c>
      <c r="H49" s="1" t="s">
        <v>52</v>
      </c>
      <c r="I49" s="1" t="s">
        <v>10</v>
      </c>
      <c r="J49" s="1">
        <v>9</v>
      </c>
      <c r="K49" s="14">
        <f>VLOOKUP($C49,Sheet2!$A$2:$D$10,4,0)</f>
        <v>1</v>
      </c>
      <c r="L49" s="14" t="str">
        <f>VLOOKUP($C49,Sheet2!$A$2:$E$10,5,0)</f>
        <v>Bin</v>
      </c>
      <c r="M49" s="14">
        <f t="shared" si="8"/>
        <v>9</v>
      </c>
      <c r="N49" s="1"/>
      <c r="O49" s="1" t="s">
        <v>528</v>
      </c>
      <c r="P49" s="1" t="s">
        <v>1026</v>
      </c>
    </row>
    <row r="50" spans="1:16" ht="15.75" thickTop="1" x14ac:dyDescent="0.25">
      <c r="A50" s="15" t="s">
        <v>967</v>
      </c>
      <c r="B50" s="16" t="s">
        <v>920</v>
      </c>
      <c r="C50" s="1" t="s">
        <v>7</v>
      </c>
      <c r="D50" s="1" t="str">
        <f>VLOOKUP($C50,Sheet2!$A$2:$B$10,2,0)</f>
        <v>141110-14600</v>
      </c>
      <c r="E50" s="7" t="s">
        <v>8</v>
      </c>
      <c r="F50" s="12">
        <v>45980</v>
      </c>
      <c r="G50" s="18">
        <v>0.8125</v>
      </c>
      <c r="H50" s="1" t="s">
        <v>9</v>
      </c>
      <c r="I50" s="1" t="s">
        <v>10</v>
      </c>
      <c r="J50" s="1">
        <v>18</v>
      </c>
      <c r="K50" s="14">
        <f>VLOOKUP($C50,Sheet2!$A$2:$D$10,4,0)</f>
        <v>18</v>
      </c>
      <c r="L50" s="14" t="str">
        <f>VLOOKUP($C50,Sheet2!$A$2:$E$10,5,0)</f>
        <v>Trolley (H)</v>
      </c>
      <c r="M50" s="14"/>
      <c r="N50" s="63">
        <v>1</v>
      </c>
      <c r="O50" s="1" t="s">
        <v>528</v>
      </c>
      <c r="P50" s="1" t="s">
        <v>1020</v>
      </c>
    </row>
    <row r="51" spans="1:16" x14ac:dyDescent="0.25">
      <c r="A51" s="15" t="s">
        <v>967</v>
      </c>
      <c r="B51" s="16" t="s">
        <v>925</v>
      </c>
      <c r="C51" s="1" t="s">
        <v>16</v>
      </c>
      <c r="D51" s="1" t="str">
        <f>VLOOKUP($C51,Sheet2!$A$2:$B$10,2,0)</f>
        <v>141120-14600</v>
      </c>
      <c r="E51" s="7" t="s">
        <v>17</v>
      </c>
      <c r="F51" s="12">
        <v>45980</v>
      </c>
      <c r="G51" s="13">
        <v>0.8125</v>
      </c>
      <c r="H51" s="1" t="s">
        <v>9</v>
      </c>
      <c r="I51" s="1" t="s">
        <v>10</v>
      </c>
      <c r="J51" s="1">
        <v>18</v>
      </c>
      <c r="K51" s="14">
        <f>VLOOKUP($C51,Sheet2!$A$2:$D$10,4,0)</f>
        <v>18</v>
      </c>
      <c r="L51" s="14" t="str">
        <f>VLOOKUP($C51,Sheet2!$A$2:$E$10,5,0)</f>
        <v>Trolley (H)</v>
      </c>
      <c r="M51" s="14"/>
      <c r="N51" s="64"/>
      <c r="O51" s="1" t="s">
        <v>528</v>
      </c>
      <c r="P51" s="1" t="s">
        <v>1020</v>
      </c>
    </row>
    <row r="52" spans="1:16" x14ac:dyDescent="0.25">
      <c r="A52" s="15" t="s">
        <v>967</v>
      </c>
      <c r="B52" s="16" t="s">
        <v>934</v>
      </c>
      <c r="C52" s="1" t="s">
        <v>29</v>
      </c>
      <c r="D52" s="1" t="str">
        <f>VLOOKUP($C52,Sheet2!$A$2:$B$10,2,0)</f>
        <v>141140-91211</v>
      </c>
      <c r="E52" s="7" t="s">
        <v>30</v>
      </c>
      <c r="F52" s="12">
        <v>45980</v>
      </c>
      <c r="G52" s="13">
        <v>0.8125</v>
      </c>
      <c r="H52" s="1" t="s">
        <v>31</v>
      </c>
      <c r="I52" s="1" t="s">
        <v>10</v>
      </c>
      <c r="J52" s="1">
        <v>12</v>
      </c>
      <c r="K52" s="14">
        <f>VLOOKUP($C52,Sheet2!$A$2:$D$10,4,0)</f>
        <v>2</v>
      </c>
      <c r="L52" s="14" t="str">
        <f>VLOOKUP($C52,Sheet2!$A$2:$E$10,5,0)</f>
        <v>Bin</v>
      </c>
      <c r="M52" s="14">
        <f t="shared" ref="M52:M56" si="9">J52/K52</f>
        <v>6</v>
      </c>
      <c r="N52" s="1"/>
      <c r="O52" s="1" t="s">
        <v>528</v>
      </c>
      <c r="P52" s="1" t="s">
        <v>1023</v>
      </c>
    </row>
    <row r="53" spans="1:16" x14ac:dyDescent="0.25">
      <c r="A53" s="15" t="s">
        <v>967</v>
      </c>
      <c r="B53" s="16" t="s">
        <v>939</v>
      </c>
      <c r="C53" s="1" t="s">
        <v>37</v>
      </c>
      <c r="D53" s="1" t="str">
        <f>VLOOKUP($C53,Sheet2!$A$2:$B$10,2,0)</f>
        <v>141150-91211</v>
      </c>
      <c r="E53" s="7" t="s">
        <v>38</v>
      </c>
      <c r="F53" s="12">
        <v>45980</v>
      </c>
      <c r="G53" s="13">
        <v>0.8125</v>
      </c>
      <c r="H53" s="1" t="s">
        <v>31</v>
      </c>
      <c r="I53" s="1" t="s">
        <v>10</v>
      </c>
      <c r="J53" s="1">
        <v>12</v>
      </c>
      <c r="K53" s="14">
        <f>VLOOKUP($C53,Sheet2!$A$2:$D$10,4,0)</f>
        <v>2</v>
      </c>
      <c r="L53" s="14" t="str">
        <f>VLOOKUP($C53,Sheet2!$A$2:$E$10,5,0)</f>
        <v>Bin</v>
      </c>
      <c r="M53" s="14">
        <f t="shared" si="9"/>
        <v>6</v>
      </c>
      <c r="N53" s="1"/>
      <c r="O53" s="1" t="s">
        <v>528</v>
      </c>
      <c r="P53" s="1" t="s">
        <v>1023</v>
      </c>
    </row>
    <row r="54" spans="1:16" x14ac:dyDescent="0.25">
      <c r="A54" s="15" t="s">
        <v>968</v>
      </c>
      <c r="B54" s="16" t="s">
        <v>948</v>
      </c>
      <c r="C54" s="1" t="s">
        <v>50</v>
      </c>
      <c r="D54" s="1" t="str">
        <f>VLOOKUP($C54,Sheet2!$A$2:$B$10,2,0)</f>
        <v>116040-92240</v>
      </c>
      <c r="E54" s="7" t="s">
        <v>51</v>
      </c>
      <c r="F54" s="12">
        <v>45980</v>
      </c>
      <c r="G54" s="13">
        <v>0.8125</v>
      </c>
      <c r="H54" s="1" t="s">
        <v>52</v>
      </c>
      <c r="I54" s="1" t="s">
        <v>10</v>
      </c>
      <c r="J54" s="1">
        <v>12</v>
      </c>
      <c r="K54" s="14">
        <f>VLOOKUP($C54,Sheet2!$A$2:$D$10,4,0)</f>
        <v>6</v>
      </c>
      <c r="L54" s="14" t="str">
        <f>VLOOKUP($C54,Sheet2!$A$2:$E$10,5,0)</f>
        <v>Bin</v>
      </c>
      <c r="M54" s="14">
        <f t="shared" si="9"/>
        <v>2</v>
      </c>
      <c r="N54" s="1"/>
      <c r="O54" s="1" t="s">
        <v>528</v>
      </c>
      <c r="P54" s="1" t="s">
        <v>591</v>
      </c>
    </row>
    <row r="55" spans="1:16" x14ac:dyDescent="0.25">
      <c r="A55" s="15" t="s">
        <v>968</v>
      </c>
      <c r="B55" s="16" t="s">
        <v>953</v>
      </c>
      <c r="C55" s="1" t="s">
        <v>59</v>
      </c>
      <c r="D55" s="1" t="str">
        <f>VLOOKUP($C55,Sheet2!$A$2:$B$10,2,0)</f>
        <v>114010-50820</v>
      </c>
      <c r="E55" s="7" t="s">
        <v>60</v>
      </c>
      <c r="F55" s="12">
        <v>45980</v>
      </c>
      <c r="G55" s="13">
        <v>0.8125</v>
      </c>
      <c r="H55" s="1" t="s">
        <v>52</v>
      </c>
      <c r="I55" s="1" t="s">
        <v>10</v>
      </c>
      <c r="J55" s="1">
        <v>4</v>
      </c>
      <c r="K55" s="14">
        <f>VLOOKUP($C55,Sheet2!$A$2:$D$10,4,0)</f>
        <v>1</v>
      </c>
      <c r="L55" s="14" t="str">
        <f>VLOOKUP($C55,Sheet2!$A$2:$E$10,5,0)</f>
        <v>Bin</v>
      </c>
      <c r="M55" s="14">
        <f t="shared" si="9"/>
        <v>4</v>
      </c>
      <c r="N55" s="1"/>
      <c r="O55" s="1" t="s">
        <v>528</v>
      </c>
      <c r="P55" s="1" t="s">
        <v>1026</v>
      </c>
    </row>
    <row r="56" spans="1:16" x14ac:dyDescent="0.25">
      <c r="A56" s="15" t="s">
        <v>968</v>
      </c>
      <c r="B56" s="16" t="s">
        <v>958</v>
      </c>
      <c r="C56" s="1" t="s">
        <v>67</v>
      </c>
      <c r="D56" s="1" t="str">
        <f>VLOOKUP($C56,Sheet2!$A$2:$B$10,2,0)</f>
        <v>114010-50830</v>
      </c>
      <c r="E56" s="7" t="s">
        <v>60</v>
      </c>
      <c r="F56" s="12">
        <v>45980</v>
      </c>
      <c r="G56" s="13">
        <v>0.8125</v>
      </c>
      <c r="H56" s="1" t="s">
        <v>52</v>
      </c>
      <c r="I56" s="1" t="s">
        <v>10</v>
      </c>
      <c r="J56" s="1">
        <v>8</v>
      </c>
      <c r="K56" s="14">
        <f>VLOOKUP($C56,Sheet2!$A$2:$D$10,4,0)</f>
        <v>1</v>
      </c>
      <c r="L56" s="14" t="str">
        <f>VLOOKUP($C56,Sheet2!$A$2:$E$10,5,0)</f>
        <v>Bin</v>
      </c>
      <c r="M56" s="14">
        <f t="shared" si="9"/>
        <v>8</v>
      </c>
      <c r="N56" s="1"/>
      <c r="O56" s="1" t="s">
        <v>528</v>
      </c>
      <c r="P56" s="1" t="s">
        <v>1026</v>
      </c>
    </row>
    <row r="57" spans="1:16" s="20" customForma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>
        <v>103</v>
      </c>
      <c r="N57" s="9">
        <v>7</v>
      </c>
      <c r="O57" s="9"/>
      <c r="P57" s="9"/>
    </row>
  </sheetData>
  <mergeCells count="9">
    <mergeCell ref="N32:N33"/>
    <mergeCell ref="N41:N42"/>
    <mergeCell ref="N50:N51"/>
    <mergeCell ref="A1:F1"/>
    <mergeCell ref="J1:N1"/>
    <mergeCell ref="L2:N2"/>
    <mergeCell ref="N4:N5"/>
    <mergeCell ref="N13:N14"/>
    <mergeCell ref="N15:N16"/>
  </mergeCells>
  <conditionalFormatting sqref="B2">
    <cfRule type="duplicateValues" dxfId="432" priority="48"/>
    <cfRule type="duplicateValues" dxfId="431" priority="47"/>
  </conditionalFormatting>
  <conditionalFormatting sqref="B4:B11 B13:B30 B32:B56">
    <cfRule type="duplicateValues" dxfId="430" priority="40"/>
  </conditionalFormatting>
  <conditionalFormatting sqref="C2:D2">
    <cfRule type="duplicateValues" dxfId="429" priority="50"/>
    <cfRule type="duplicateValues" dxfId="428" priority="49"/>
  </conditionalFormatting>
  <conditionalFormatting sqref="D3">
    <cfRule type="duplicateValues" dxfId="425" priority="46"/>
    <cfRule type="duplicateValues" dxfId="424" priority="45"/>
  </conditionalFormatting>
  <conditionalFormatting sqref="D12">
    <cfRule type="duplicateValues" dxfId="419" priority="29"/>
    <cfRule type="duplicateValues" dxfId="418" priority="28"/>
  </conditionalFormatting>
  <conditionalFormatting sqref="D31">
    <cfRule type="duplicateValues" dxfId="417" priority="22"/>
    <cfRule type="duplicateValues" dxfId="415" priority="23"/>
  </conditionalFormatting>
  <conditionalFormatting sqref="D57">
    <cfRule type="duplicateValues" dxfId="414" priority="4"/>
    <cfRule type="duplicateValues" dxfId="413" priority="5"/>
  </conditionalFormatting>
  <pageMargins left="0.17" right="0.17" top="0.17" bottom="0.17" header="0.17" footer="0.17"/>
  <pageSetup paperSize="9" scale="6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8" operator="containsText" text="17521M68PA0" id="{46A12479-D94C-4306-B022-4C064279AB41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C4:D11 C13:D30 C32:D56</xm:sqref>
        </x14:conditionalFormatting>
        <x14:conditionalFormatting xmlns:xm="http://schemas.microsoft.com/office/excel/2006/main">
          <x14:cfRule type="containsText" priority="55" operator="containsText" text="17521M68PA0" id="{B5248B39-D568-4CE4-AED0-710356EE393A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5" operator="containsText" text="17521M74T00" id="{1C20B14D-30D7-4879-97DC-7D3BBA767F7F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6" operator="containsText" text="17521M68PA0" id="{1AC0FEE3-2330-475C-B78B-6D6F05E41CD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7" operator="containsText" text="17521M74T00" id="{A01C88E2-6A77-4260-B08D-15CD05B8B8B1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D4:D11 D13:D30 D32:D56</xm:sqref>
        </x14:conditionalFormatting>
        <x14:conditionalFormatting xmlns:xm="http://schemas.microsoft.com/office/excel/2006/main">
          <x14:cfRule type="containsText" priority="30" operator="containsText" text="17521M68PA0" id="{D65A2FAD-F282-4F57-B4E7-C0BE718C722F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containsText" priority="24" operator="containsText" text="17521M68PA0" id="{430CD69D-9945-4BB7-B0AE-8F026720346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containsText" priority="6" operator="containsText" text="17521M68PA0" id="{59FD7413-875B-4C11-8F7E-0FA8144AC4D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51" operator="containsText" text="17521M68PA0" id="{283B5C3D-8CA5-41EB-8001-B29FD045B62F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2" operator="containsText" text="17521M74T00" id="{EEF1EE3C-F704-49BC-8E45-37434C434B2C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2" operator="containsText" text="BELT,WATER PUMP - 7PK 975" id="{7AD064D6-F6E8-44EA-8476-5EBE039EB058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41" operator="containsText" text="BELT,WATER PUMP - 5PK 913" id="{77B2AAE8-5848-4029-8489-A5459E3BB70B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E3:E57</xm:sqref>
        </x14:conditionalFormatting>
        <x14:conditionalFormatting xmlns:xm="http://schemas.microsoft.com/office/excel/2006/main">
          <x14:cfRule type="containsText" priority="25" operator="containsText" text="BELT,WATER PUMP - 7PK 975" id="{A87CC30A-339C-491E-BE9E-41A101761B4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containsText" priority="19" operator="containsText" text="BELT,WATER PUMP - 7PK 975" id="{4D0A497F-FAA3-4B69-9CE0-570D48F7F33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E31</xm:sqref>
        </x14:conditionalFormatting>
        <x14:conditionalFormatting xmlns:xm="http://schemas.microsoft.com/office/excel/2006/main">
          <x14:cfRule type="containsText" priority="1" operator="containsText" text="BELT,WATER PUMP - 7PK 975" id="{01E6539A-3CFF-4D06-8685-C9AFD0CAC0DE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E57</xm:sqref>
        </x14:conditionalFormatting>
        <x14:conditionalFormatting xmlns:xm="http://schemas.microsoft.com/office/excel/2006/main">
          <x14:cfRule type="containsText" priority="53" operator="containsText" text="BELT,WATER PUMP - 5PK 913" id="{9FFBB49C-9B00-47FA-A014-F6492787988A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4" operator="containsText" text="BELT,WATER PUMP - 7PK 975" id="{DAF5D155-D04D-4587-9C20-0D4910E08C0E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3" operator="containsText" text="5PK 913" id="{C0F03178-DF9D-40DA-9862-BBDF8C9A51F6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4" operator="containsText" text="7PK 975" id="{BFEC4013-64ED-46EB-ABA2-118C7AE46687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7" operator="containsText" text="7PK 975" id="{C037F4F7-0ABF-4A06-9568-2B78173E1DE7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" operator="containsText" text="5PK 913" id="{C7BB3165-84BF-4D94-A83F-4CACECA56B78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P12</xm:sqref>
        </x14:conditionalFormatting>
        <x14:conditionalFormatting xmlns:xm="http://schemas.microsoft.com/office/excel/2006/main">
          <x14:cfRule type="containsText" priority="20" operator="containsText" text="5PK 913" id="{CA967927-87A5-47FF-8C8E-CCF3B8CBADFE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1" operator="containsText" text="7PK 975" id="{5E8311D9-DCF1-4476-8F32-07865BA824E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P31</xm:sqref>
        </x14:conditionalFormatting>
        <x14:conditionalFormatting xmlns:xm="http://schemas.microsoft.com/office/excel/2006/main">
          <x14:cfRule type="containsText" priority="2" operator="containsText" text="5PK 913" id="{158CBB66-DED9-4087-9F9E-17163CBF571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7PK 975" id="{903DC708-8309-4AF5-BED2-A5143150CB12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P57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EFCE2-4932-4595-8486-1B76E39551EB}">
  <sheetPr>
    <pageSetUpPr fitToPage="1"/>
  </sheetPr>
  <dimension ref="A1:P44"/>
  <sheetViews>
    <sheetView topLeftCell="A9" workbookViewId="0">
      <selection activeCell="A4" sqref="A4:XFD44"/>
    </sheetView>
  </sheetViews>
  <sheetFormatPr defaultColWidth="15" defaultRowHeight="15" x14ac:dyDescent="0.25"/>
  <cols>
    <col min="1" max="1" width="15.425781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7.7109375" bestFit="1" customWidth="1"/>
    <col min="8" max="8" width="9.2851562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140625" bestFit="1" customWidth="1"/>
    <col min="16" max="16" width="40.7109375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45981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1010</v>
      </c>
      <c r="B4" s="16" t="s">
        <v>971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45981</v>
      </c>
      <c r="G4" s="13">
        <v>0.35416666666666669</v>
      </c>
      <c r="H4" s="1" t="s">
        <v>9</v>
      </c>
      <c r="I4" s="1" t="s">
        <v>10</v>
      </c>
      <c r="J4" s="1">
        <v>36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2</v>
      </c>
      <c r="O4" s="1" t="s">
        <v>166</v>
      </c>
      <c r="P4" s="1" t="s">
        <v>1020</v>
      </c>
    </row>
    <row r="5" spans="1:16" x14ac:dyDescent="0.25">
      <c r="A5" s="15" t="s">
        <v>1010</v>
      </c>
      <c r="B5" s="16" t="s">
        <v>975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45981</v>
      </c>
      <c r="G5" s="13">
        <v>0.35416666666666669</v>
      </c>
      <c r="H5" s="1" t="s">
        <v>9</v>
      </c>
      <c r="I5" s="1" t="s">
        <v>10</v>
      </c>
      <c r="J5" s="1">
        <v>36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1020</v>
      </c>
    </row>
    <row r="6" spans="1:16" x14ac:dyDescent="0.25">
      <c r="A6" s="15" t="s">
        <v>1010</v>
      </c>
      <c r="B6" s="16" t="s">
        <v>979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45981</v>
      </c>
      <c r="G6" s="13">
        <v>0.35416666666666669</v>
      </c>
      <c r="H6" s="1" t="s">
        <v>9</v>
      </c>
      <c r="I6" s="1" t="s">
        <v>10</v>
      </c>
      <c r="J6" s="1">
        <v>80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2</v>
      </c>
      <c r="O6" s="1" t="s">
        <v>166</v>
      </c>
      <c r="P6" s="1">
        <v>910101985</v>
      </c>
    </row>
    <row r="7" spans="1:16" x14ac:dyDescent="0.25">
      <c r="A7" s="15" t="s">
        <v>1010</v>
      </c>
      <c r="B7" s="16" t="s">
        <v>983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45981</v>
      </c>
      <c r="G7" s="13">
        <v>0.35416666666666669</v>
      </c>
      <c r="H7" s="1" t="s">
        <v>31</v>
      </c>
      <c r="I7" s="1" t="s">
        <v>10</v>
      </c>
      <c r="J7" s="1">
        <v>30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15</v>
      </c>
      <c r="N7" s="1"/>
      <c r="O7" s="1" t="s">
        <v>166</v>
      </c>
      <c r="P7" s="1" t="s">
        <v>1023</v>
      </c>
    </row>
    <row r="8" spans="1:16" x14ac:dyDescent="0.25">
      <c r="A8" s="15" t="s">
        <v>1010</v>
      </c>
      <c r="B8" s="16" t="s">
        <v>987</v>
      </c>
      <c r="C8" s="1" t="s">
        <v>37</v>
      </c>
      <c r="D8" s="1" t="str">
        <f>VLOOKUP($C8,Sheet2!$A$2:$B$10,2,0)</f>
        <v>141150-91211</v>
      </c>
      <c r="E8" s="7" t="s">
        <v>38</v>
      </c>
      <c r="F8" s="12">
        <v>45981</v>
      </c>
      <c r="G8" s="13">
        <v>0.35416666666666669</v>
      </c>
      <c r="H8" s="1" t="s">
        <v>31</v>
      </c>
      <c r="I8" s="1" t="s">
        <v>10</v>
      </c>
      <c r="J8" s="1">
        <v>30</v>
      </c>
      <c r="K8" s="14">
        <f>VLOOKUP($C8,Sheet2!$A$2:$D$10,4,0)</f>
        <v>2</v>
      </c>
      <c r="L8" s="14" t="str">
        <f>VLOOKUP($C8,Sheet2!$A$2:$E$10,5,0)</f>
        <v>Bin</v>
      </c>
      <c r="M8" s="14">
        <f>J8/K8</f>
        <v>15</v>
      </c>
      <c r="N8" s="1"/>
      <c r="O8" s="1" t="s">
        <v>166</v>
      </c>
      <c r="P8" s="1" t="s">
        <v>1023</v>
      </c>
    </row>
    <row r="9" spans="1:16" x14ac:dyDescent="0.25">
      <c r="A9" s="15" t="s">
        <v>1010</v>
      </c>
      <c r="B9" s="16" t="s">
        <v>991</v>
      </c>
      <c r="C9" s="1" t="s">
        <v>45</v>
      </c>
      <c r="D9" s="1" t="str">
        <f>VLOOKUP($C9,Sheet2!$A$2:$B$10,2,0)</f>
        <v>141186-74360</v>
      </c>
      <c r="E9" s="7" t="s">
        <v>46</v>
      </c>
      <c r="F9" s="12">
        <v>45981</v>
      </c>
      <c r="G9" s="13">
        <v>0.35416666666666669</v>
      </c>
      <c r="H9" s="1" t="s">
        <v>31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166</v>
      </c>
      <c r="P9" s="1">
        <v>910102863</v>
      </c>
    </row>
    <row r="10" spans="1:16" x14ac:dyDescent="0.25">
      <c r="A10" s="15" t="s">
        <v>1011</v>
      </c>
      <c r="B10" s="16" t="s">
        <v>995</v>
      </c>
      <c r="C10" s="1" t="s">
        <v>50</v>
      </c>
      <c r="D10" s="1" t="str">
        <f>VLOOKUP($C10,Sheet2!$A$2:$B$10,2,0)</f>
        <v>116040-92240</v>
      </c>
      <c r="E10" s="7" t="s">
        <v>51</v>
      </c>
      <c r="F10" s="12">
        <v>45981</v>
      </c>
      <c r="G10" s="13">
        <v>0.35416666666666669</v>
      </c>
      <c r="H10" s="1" t="s">
        <v>52</v>
      </c>
      <c r="I10" s="1" t="s">
        <v>10</v>
      </c>
      <c r="J10" s="1">
        <v>30</v>
      </c>
      <c r="K10" s="14">
        <f>VLOOKUP($C10,Sheet2!$A$2:$D$10,4,0)</f>
        <v>6</v>
      </c>
      <c r="L10" s="14" t="str">
        <f>VLOOKUP($C10,Sheet2!$A$2:$E$10,5,0)</f>
        <v>Bin</v>
      </c>
      <c r="M10" s="14">
        <f t="shared" ref="M10:M14" si="0">J10/K10</f>
        <v>5</v>
      </c>
      <c r="N10" s="1"/>
      <c r="O10" s="1" t="s">
        <v>166</v>
      </c>
      <c r="P10" s="1" t="s">
        <v>591</v>
      </c>
    </row>
    <row r="11" spans="1:16" x14ac:dyDescent="0.25">
      <c r="A11" s="15" t="s">
        <v>1011</v>
      </c>
      <c r="B11" s="16" t="s">
        <v>996</v>
      </c>
      <c r="C11" s="1" t="s">
        <v>50</v>
      </c>
      <c r="D11" s="1" t="str">
        <f>VLOOKUP($C11,Sheet2!$A$2:$B$10,2,0)</f>
        <v>116040-92240</v>
      </c>
      <c r="E11" s="7" t="s">
        <v>51</v>
      </c>
      <c r="F11" s="12">
        <v>45981</v>
      </c>
      <c r="G11" s="13">
        <v>0.35416666666666669</v>
      </c>
      <c r="H11" s="1" t="s">
        <v>52</v>
      </c>
      <c r="I11" s="1" t="s">
        <v>10</v>
      </c>
      <c r="J11" s="1">
        <v>6</v>
      </c>
      <c r="K11" s="14">
        <f>VLOOKUP($C11,Sheet2!$A$2:$D$10,4,0)</f>
        <v>6</v>
      </c>
      <c r="L11" s="14" t="str">
        <f>VLOOKUP($C11,Sheet2!$A$2:$E$10,5,0)</f>
        <v>Bin</v>
      </c>
      <c r="M11" s="14">
        <f t="shared" si="0"/>
        <v>1</v>
      </c>
      <c r="N11" s="1"/>
      <c r="O11" s="1" t="s">
        <v>166</v>
      </c>
      <c r="P11" s="1" t="s">
        <v>591</v>
      </c>
    </row>
    <row r="12" spans="1:16" x14ac:dyDescent="0.25">
      <c r="A12" s="15" t="s">
        <v>1011</v>
      </c>
      <c r="B12" s="16" t="s">
        <v>1000</v>
      </c>
      <c r="C12" s="1" t="s">
        <v>59</v>
      </c>
      <c r="D12" s="1" t="str">
        <f>VLOOKUP($C12,Sheet2!$A$2:$B$10,2,0)</f>
        <v>114010-50820</v>
      </c>
      <c r="E12" s="7" t="s">
        <v>60</v>
      </c>
      <c r="F12" s="12">
        <v>45981</v>
      </c>
      <c r="G12" s="13">
        <v>0.35416666666666669</v>
      </c>
      <c r="H12" s="1" t="s">
        <v>52</v>
      </c>
      <c r="I12" s="1" t="s">
        <v>10</v>
      </c>
      <c r="J12" s="1">
        <v>8</v>
      </c>
      <c r="K12" s="14">
        <f>VLOOKUP($C12,Sheet2!$A$2:$D$10,4,0)</f>
        <v>1</v>
      </c>
      <c r="L12" s="14" t="str">
        <f>VLOOKUP($C12,Sheet2!$A$2:$E$10,5,0)</f>
        <v>Bin</v>
      </c>
      <c r="M12" s="14">
        <f t="shared" si="0"/>
        <v>8</v>
      </c>
      <c r="N12" s="1"/>
      <c r="O12" s="1" t="s">
        <v>166</v>
      </c>
      <c r="P12" s="1" t="s">
        <v>1019</v>
      </c>
    </row>
    <row r="13" spans="1:16" x14ac:dyDescent="0.25">
      <c r="A13" s="15" t="s">
        <v>1011</v>
      </c>
      <c r="B13" s="16" t="s">
        <v>1004</v>
      </c>
      <c r="C13" s="1" t="s">
        <v>67</v>
      </c>
      <c r="D13" s="1" t="str">
        <f>VLOOKUP($C13,Sheet2!$A$2:$B$10,2,0)</f>
        <v>114010-50830</v>
      </c>
      <c r="E13" s="7" t="s">
        <v>60</v>
      </c>
      <c r="F13" s="12">
        <v>45981</v>
      </c>
      <c r="G13" s="13">
        <v>0.35416666666666669</v>
      </c>
      <c r="H13" s="1" t="s">
        <v>52</v>
      </c>
      <c r="I13" s="1" t="s">
        <v>10</v>
      </c>
      <c r="J13" s="1">
        <v>22</v>
      </c>
      <c r="K13" s="14">
        <f>VLOOKUP($C13,Sheet2!$A$2:$D$10,4,0)</f>
        <v>1</v>
      </c>
      <c r="L13" s="14" t="str">
        <f>VLOOKUP($C13,Sheet2!$A$2:$E$10,5,0)</f>
        <v>Bin</v>
      </c>
      <c r="M13" s="14">
        <f t="shared" si="0"/>
        <v>22</v>
      </c>
      <c r="N13" s="1"/>
      <c r="O13" s="1" t="s">
        <v>166</v>
      </c>
      <c r="P13" s="1" t="s">
        <v>1026</v>
      </c>
    </row>
    <row r="14" spans="1:16" x14ac:dyDescent="0.25">
      <c r="A14" s="15" t="s">
        <v>1011</v>
      </c>
      <c r="B14" s="16" t="s">
        <v>1005</v>
      </c>
      <c r="C14" s="1" t="s">
        <v>67</v>
      </c>
      <c r="D14" s="1" t="str">
        <f>VLOOKUP($C14,Sheet2!$A$2:$B$10,2,0)</f>
        <v>114010-50830</v>
      </c>
      <c r="E14" s="7" t="s">
        <v>60</v>
      </c>
      <c r="F14" s="12">
        <v>45981</v>
      </c>
      <c r="G14" s="13">
        <v>0.35416666666666669</v>
      </c>
      <c r="H14" s="1" t="s">
        <v>52</v>
      </c>
      <c r="I14" s="1" t="s">
        <v>10</v>
      </c>
      <c r="J14" s="1">
        <v>1</v>
      </c>
      <c r="K14" s="14">
        <f>VLOOKUP($C14,Sheet2!$A$2:$D$10,4,0)</f>
        <v>1</v>
      </c>
      <c r="L14" s="14" t="str">
        <f>VLOOKUP($C14,Sheet2!$A$2:$E$10,5,0)</f>
        <v>Bin</v>
      </c>
      <c r="M14" s="14">
        <f t="shared" si="0"/>
        <v>1</v>
      </c>
      <c r="N14" s="1"/>
      <c r="O14" s="1" t="s">
        <v>166</v>
      </c>
      <c r="P14" s="1" t="s">
        <v>1026</v>
      </c>
    </row>
    <row r="15" spans="1:16" s="20" customForma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>
        <v>67</v>
      </c>
      <c r="N15" s="9">
        <v>5</v>
      </c>
      <c r="O15" s="9"/>
      <c r="P15" s="9"/>
    </row>
    <row r="16" spans="1:16" x14ac:dyDescent="0.25">
      <c r="A16" s="15" t="s">
        <v>1009</v>
      </c>
      <c r="B16" s="16" t="s">
        <v>972</v>
      </c>
      <c r="C16" s="1" t="s">
        <v>7</v>
      </c>
      <c r="D16" s="1" t="str">
        <f>VLOOKUP($C16,Sheet2!$A$2:$B$10,2,0)</f>
        <v>141110-14600</v>
      </c>
      <c r="E16" s="7" t="s">
        <v>8</v>
      </c>
      <c r="F16" s="12">
        <v>45981</v>
      </c>
      <c r="G16" s="13">
        <v>0.5625</v>
      </c>
      <c r="H16" s="1" t="s">
        <v>9</v>
      </c>
      <c r="I16" s="1" t="s">
        <v>10</v>
      </c>
      <c r="J16" s="1">
        <v>18</v>
      </c>
      <c r="K16" s="14">
        <f>VLOOKUP($C16,Sheet2!$A$2:$D$10,4,0)</f>
        <v>18</v>
      </c>
      <c r="L16" s="14" t="str">
        <f>VLOOKUP($C16,Sheet2!$A$2:$E$10,5,0)</f>
        <v>Trolley (H)</v>
      </c>
      <c r="M16" s="14"/>
      <c r="N16" s="63">
        <v>1</v>
      </c>
      <c r="O16" s="1" t="s">
        <v>171</v>
      </c>
      <c r="P16" s="1" t="s">
        <v>1020</v>
      </c>
    </row>
    <row r="17" spans="1:16" x14ac:dyDescent="0.25">
      <c r="A17" s="15" t="s">
        <v>1009</v>
      </c>
      <c r="B17" s="16" t="s">
        <v>976</v>
      </c>
      <c r="C17" s="1" t="s">
        <v>16</v>
      </c>
      <c r="D17" s="1" t="str">
        <f>VLOOKUP($C17,Sheet2!$A$2:$B$10,2,0)</f>
        <v>141120-14600</v>
      </c>
      <c r="E17" s="7" t="s">
        <v>17</v>
      </c>
      <c r="F17" s="12">
        <v>45981</v>
      </c>
      <c r="G17" s="13">
        <v>0.5625</v>
      </c>
      <c r="H17" s="1" t="s">
        <v>9</v>
      </c>
      <c r="I17" s="1" t="s">
        <v>10</v>
      </c>
      <c r="J17" s="1">
        <v>18</v>
      </c>
      <c r="K17" s="14">
        <f>VLOOKUP($C17,Sheet2!$A$2:$D$10,4,0)</f>
        <v>18</v>
      </c>
      <c r="L17" s="14" t="str">
        <f>VLOOKUP($C17,Sheet2!$A$2:$E$10,5,0)</f>
        <v>Trolley (H)</v>
      </c>
      <c r="M17" s="14"/>
      <c r="N17" s="64"/>
      <c r="O17" s="1" t="s">
        <v>171</v>
      </c>
      <c r="P17" s="1" t="s">
        <v>1020</v>
      </c>
    </row>
    <row r="18" spans="1:16" x14ac:dyDescent="0.25">
      <c r="A18" s="15" t="s">
        <v>1009</v>
      </c>
      <c r="B18" s="16" t="s">
        <v>980</v>
      </c>
      <c r="C18" s="1" t="s">
        <v>23</v>
      </c>
      <c r="D18" s="1" t="str">
        <f>VLOOKUP($C18,Sheet2!$A$2:$B$10,2,0)</f>
        <v>141185-74670</v>
      </c>
      <c r="E18" s="7" t="s">
        <v>24</v>
      </c>
      <c r="F18" s="12">
        <v>45981</v>
      </c>
      <c r="G18" s="13">
        <v>0.5625</v>
      </c>
      <c r="H18" s="1" t="s">
        <v>9</v>
      </c>
      <c r="I18" s="1" t="s">
        <v>10</v>
      </c>
      <c r="J18" s="1">
        <v>40</v>
      </c>
      <c r="K18" s="14">
        <f>VLOOKUP($C18,Sheet2!$A$2:$D$10,4,0)</f>
        <v>40</v>
      </c>
      <c r="L18" s="14" t="str">
        <f>VLOOKUP($C18,Sheet2!$A$2:$E$10,5,0)</f>
        <v>Trolley</v>
      </c>
      <c r="M18" s="14"/>
      <c r="N18" s="1">
        <f>J18/K18</f>
        <v>1</v>
      </c>
      <c r="O18" s="1" t="s">
        <v>171</v>
      </c>
      <c r="P18" s="1">
        <v>910101985</v>
      </c>
    </row>
    <row r="19" spans="1:16" x14ac:dyDescent="0.25">
      <c r="A19" s="15" t="s">
        <v>1009</v>
      </c>
      <c r="B19" s="16" t="s">
        <v>984</v>
      </c>
      <c r="C19" s="1" t="s">
        <v>29</v>
      </c>
      <c r="D19" s="1" t="str">
        <f>VLOOKUP($C19,Sheet2!$A$2:$B$10,2,0)</f>
        <v>141140-91211</v>
      </c>
      <c r="E19" s="7" t="s">
        <v>30</v>
      </c>
      <c r="F19" s="12">
        <v>45981</v>
      </c>
      <c r="G19" s="13">
        <v>0.5625</v>
      </c>
      <c r="H19" s="1" t="s">
        <v>31</v>
      </c>
      <c r="I19" s="1" t="s">
        <v>10</v>
      </c>
      <c r="J19" s="1">
        <v>24</v>
      </c>
      <c r="K19" s="14">
        <f>VLOOKUP($C19,Sheet2!$A$2:$D$10,4,0)</f>
        <v>2</v>
      </c>
      <c r="L19" s="14" t="str">
        <f>VLOOKUP($C19,Sheet2!$A$2:$E$10,5,0)</f>
        <v>Bin</v>
      </c>
      <c r="M19" s="14">
        <f t="shared" ref="M19:M20" si="1">J19/K19</f>
        <v>12</v>
      </c>
      <c r="N19" s="1"/>
      <c r="O19" s="1" t="s">
        <v>171</v>
      </c>
      <c r="P19" s="1" t="s">
        <v>1023</v>
      </c>
    </row>
    <row r="20" spans="1:16" x14ac:dyDescent="0.25">
      <c r="A20" s="15" t="s">
        <v>1009</v>
      </c>
      <c r="B20" s="16" t="s">
        <v>988</v>
      </c>
      <c r="C20" s="1" t="s">
        <v>37</v>
      </c>
      <c r="D20" s="1" t="str">
        <f>VLOOKUP($C20,Sheet2!$A$2:$B$10,2,0)</f>
        <v>141150-91211</v>
      </c>
      <c r="E20" s="7" t="s">
        <v>38</v>
      </c>
      <c r="F20" s="12">
        <v>45981</v>
      </c>
      <c r="G20" s="13">
        <v>0.5625</v>
      </c>
      <c r="H20" s="1" t="s">
        <v>31</v>
      </c>
      <c r="I20" s="1" t="s">
        <v>10</v>
      </c>
      <c r="J20" s="1">
        <v>24</v>
      </c>
      <c r="K20" s="14">
        <f>VLOOKUP($C20,Sheet2!$A$2:$D$10,4,0)</f>
        <v>2</v>
      </c>
      <c r="L20" s="14" t="str">
        <f>VLOOKUP($C20,Sheet2!$A$2:$E$10,5,0)</f>
        <v>Bin</v>
      </c>
      <c r="M20" s="14">
        <f t="shared" si="1"/>
        <v>12</v>
      </c>
      <c r="N20" s="1"/>
      <c r="O20" s="1" t="s">
        <v>171</v>
      </c>
      <c r="P20" s="1" t="s">
        <v>1023</v>
      </c>
    </row>
    <row r="21" spans="1:16" x14ac:dyDescent="0.25">
      <c r="A21" s="15" t="s">
        <v>1009</v>
      </c>
      <c r="B21" s="16" t="s">
        <v>992</v>
      </c>
      <c r="C21" s="1" t="s">
        <v>45</v>
      </c>
      <c r="D21" s="1" t="str">
        <f>VLOOKUP($C21,Sheet2!$A$2:$B$10,2,0)</f>
        <v>141186-74360</v>
      </c>
      <c r="E21" s="7" t="s">
        <v>46</v>
      </c>
      <c r="F21" s="12">
        <v>45981</v>
      </c>
      <c r="G21" s="13">
        <v>0.5625</v>
      </c>
      <c r="H21" s="1" t="s">
        <v>31</v>
      </c>
      <c r="I21" s="1" t="s">
        <v>10</v>
      </c>
      <c r="J21" s="1">
        <v>40</v>
      </c>
      <c r="K21" s="14">
        <f>VLOOKUP($C21,Sheet2!$A$2:$D$10,4,0)</f>
        <v>40</v>
      </c>
      <c r="L21" s="14" t="str">
        <f>VLOOKUP($C21,Sheet2!$A$2:$E$10,5,0)</f>
        <v>Trolley</v>
      </c>
      <c r="M21" s="14"/>
      <c r="N21" s="1">
        <f>J21/K21</f>
        <v>1</v>
      </c>
      <c r="O21" s="1" t="s">
        <v>171</v>
      </c>
      <c r="P21" s="1">
        <v>910102863</v>
      </c>
    </row>
    <row r="22" spans="1:16" x14ac:dyDescent="0.25">
      <c r="A22" s="15" t="s">
        <v>1012</v>
      </c>
      <c r="B22" s="16" t="s">
        <v>997</v>
      </c>
      <c r="C22" s="1" t="s">
        <v>50</v>
      </c>
      <c r="D22" s="1" t="str">
        <f>VLOOKUP($C22,Sheet2!$A$2:$B$10,2,0)</f>
        <v>116040-92240</v>
      </c>
      <c r="E22" s="7" t="s">
        <v>51</v>
      </c>
      <c r="F22" s="12">
        <v>45981</v>
      </c>
      <c r="G22" s="13">
        <v>0.5625</v>
      </c>
      <c r="H22" s="1" t="s">
        <v>52</v>
      </c>
      <c r="I22" s="1" t="s">
        <v>10</v>
      </c>
      <c r="J22" s="1">
        <v>24</v>
      </c>
      <c r="K22" s="14">
        <f>VLOOKUP($C22,Sheet2!$A$2:$D$10,4,0)</f>
        <v>6</v>
      </c>
      <c r="L22" s="14" t="str">
        <f>VLOOKUP($C22,Sheet2!$A$2:$E$10,5,0)</f>
        <v>Bin</v>
      </c>
      <c r="M22" s="14">
        <f t="shared" ref="M22:M24" si="2">J22/K22</f>
        <v>4</v>
      </c>
      <c r="N22" s="1"/>
      <c r="O22" s="1" t="s">
        <v>171</v>
      </c>
      <c r="P22" s="1" t="s">
        <v>591</v>
      </c>
    </row>
    <row r="23" spans="1:16" x14ac:dyDescent="0.25">
      <c r="A23" s="15" t="s">
        <v>1012</v>
      </c>
      <c r="B23" s="16" t="s">
        <v>1001</v>
      </c>
      <c r="C23" s="1" t="s">
        <v>59</v>
      </c>
      <c r="D23" s="1" t="str">
        <f>VLOOKUP($C23,Sheet2!$A$2:$B$10,2,0)</f>
        <v>114010-50820</v>
      </c>
      <c r="E23" s="7" t="s">
        <v>60</v>
      </c>
      <c r="F23" s="12">
        <v>45981</v>
      </c>
      <c r="G23" s="13">
        <v>0.5625</v>
      </c>
      <c r="H23" s="1" t="s">
        <v>52</v>
      </c>
      <c r="I23" s="1" t="s">
        <v>10</v>
      </c>
      <c r="J23" s="1">
        <v>7</v>
      </c>
      <c r="K23" s="14">
        <f>VLOOKUP($C23,Sheet2!$A$2:$D$10,4,0)</f>
        <v>1</v>
      </c>
      <c r="L23" s="14" t="str">
        <f>VLOOKUP($C23,Sheet2!$A$2:$E$10,5,0)</f>
        <v>Bin</v>
      </c>
      <c r="M23" s="14">
        <f t="shared" si="2"/>
        <v>7</v>
      </c>
      <c r="N23" s="1"/>
      <c r="O23" s="1" t="s">
        <v>171</v>
      </c>
      <c r="P23" s="1" t="s">
        <v>1019</v>
      </c>
    </row>
    <row r="24" spans="1:16" ht="15.75" thickBot="1" x14ac:dyDescent="0.3">
      <c r="A24" s="15" t="s">
        <v>1012</v>
      </c>
      <c r="B24" s="16" t="s">
        <v>1006</v>
      </c>
      <c r="C24" s="1" t="s">
        <v>67</v>
      </c>
      <c r="D24" s="1" t="str">
        <f>VLOOKUP($C24,Sheet2!$A$2:$B$10,2,0)</f>
        <v>114010-50830</v>
      </c>
      <c r="E24" s="7" t="s">
        <v>60</v>
      </c>
      <c r="F24" s="12">
        <v>45981</v>
      </c>
      <c r="G24" s="19">
        <v>0.5625</v>
      </c>
      <c r="H24" s="1" t="s">
        <v>52</v>
      </c>
      <c r="I24" s="1" t="s">
        <v>10</v>
      </c>
      <c r="J24" s="1">
        <v>16</v>
      </c>
      <c r="K24" s="14">
        <f>VLOOKUP($C24,Sheet2!$A$2:$D$10,4,0)</f>
        <v>1</v>
      </c>
      <c r="L24" s="14" t="str">
        <f>VLOOKUP($C24,Sheet2!$A$2:$E$10,5,0)</f>
        <v>Bin</v>
      </c>
      <c r="M24" s="14">
        <f t="shared" si="2"/>
        <v>16</v>
      </c>
      <c r="N24" s="1"/>
      <c r="O24" s="1" t="s">
        <v>171</v>
      </c>
      <c r="P24" s="1" t="s">
        <v>1026</v>
      </c>
    </row>
    <row r="25" spans="1:16" ht="15.75" thickTop="1" x14ac:dyDescent="0.25">
      <c r="A25" s="15" t="s">
        <v>1013</v>
      </c>
      <c r="B25" s="16" t="s">
        <v>973</v>
      </c>
      <c r="C25" s="1" t="s">
        <v>7</v>
      </c>
      <c r="D25" s="1" t="str">
        <f>VLOOKUP($C25,Sheet2!$A$2:$B$10,2,0)</f>
        <v>141110-14600</v>
      </c>
      <c r="E25" s="7" t="s">
        <v>8</v>
      </c>
      <c r="F25" s="12">
        <v>45981</v>
      </c>
      <c r="G25" s="18">
        <v>0.77083333333333337</v>
      </c>
      <c r="H25" s="1" t="s">
        <v>9</v>
      </c>
      <c r="I25" s="1" t="s">
        <v>10</v>
      </c>
      <c r="J25" s="1">
        <v>18</v>
      </c>
      <c r="K25" s="14">
        <f>VLOOKUP($C25,Sheet2!$A$2:$D$10,4,0)</f>
        <v>18</v>
      </c>
      <c r="L25" s="14" t="str">
        <f>VLOOKUP($C25,Sheet2!$A$2:$E$10,5,0)</f>
        <v>Trolley (H)</v>
      </c>
      <c r="M25" s="14"/>
      <c r="N25" s="63">
        <v>1</v>
      </c>
      <c r="O25" s="1" t="s">
        <v>171</v>
      </c>
      <c r="P25" s="1" t="s">
        <v>1020</v>
      </c>
    </row>
    <row r="26" spans="1:16" x14ac:dyDescent="0.25">
      <c r="A26" s="15" t="s">
        <v>1013</v>
      </c>
      <c r="B26" s="16" t="s">
        <v>977</v>
      </c>
      <c r="C26" s="1" t="s">
        <v>16</v>
      </c>
      <c r="D26" s="1" t="str">
        <f>VLOOKUP($C26,Sheet2!$A$2:$B$10,2,0)</f>
        <v>141120-14600</v>
      </c>
      <c r="E26" s="7" t="s">
        <v>17</v>
      </c>
      <c r="F26" s="12">
        <v>45981</v>
      </c>
      <c r="G26" s="13">
        <v>0.77083333333333337</v>
      </c>
      <c r="H26" s="1" t="s">
        <v>9</v>
      </c>
      <c r="I26" s="1" t="s">
        <v>10</v>
      </c>
      <c r="J26" s="1">
        <v>18</v>
      </c>
      <c r="K26" s="14">
        <f>VLOOKUP($C26,Sheet2!$A$2:$D$10,4,0)</f>
        <v>18</v>
      </c>
      <c r="L26" s="14" t="str">
        <f>VLOOKUP($C26,Sheet2!$A$2:$E$10,5,0)</f>
        <v>Trolley (H)</v>
      </c>
      <c r="M26" s="14"/>
      <c r="N26" s="64"/>
      <c r="O26" s="1" t="s">
        <v>171</v>
      </c>
      <c r="P26" s="1" t="s">
        <v>1020</v>
      </c>
    </row>
    <row r="27" spans="1:16" x14ac:dyDescent="0.25">
      <c r="A27" s="15" t="s">
        <v>1013</v>
      </c>
      <c r="B27" s="16" t="s">
        <v>981</v>
      </c>
      <c r="C27" s="1" t="s">
        <v>23</v>
      </c>
      <c r="D27" s="1" t="str">
        <f>VLOOKUP($C27,Sheet2!$A$2:$B$10,2,0)</f>
        <v>141185-74670</v>
      </c>
      <c r="E27" s="7" t="s">
        <v>24</v>
      </c>
      <c r="F27" s="12">
        <v>45981</v>
      </c>
      <c r="G27" s="13">
        <v>0.77083333333333337</v>
      </c>
      <c r="H27" s="1" t="s">
        <v>9</v>
      </c>
      <c r="I27" s="1" t="s">
        <v>10</v>
      </c>
      <c r="J27" s="1">
        <v>40</v>
      </c>
      <c r="K27" s="14">
        <f>VLOOKUP($C27,Sheet2!$A$2:$D$10,4,0)</f>
        <v>40</v>
      </c>
      <c r="L27" s="14" t="str">
        <f>VLOOKUP($C27,Sheet2!$A$2:$E$10,5,0)</f>
        <v>Trolley</v>
      </c>
      <c r="M27" s="14"/>
      <c r="N27" s="1">
        <f>J27/K27</f>
        <v>1</v>
      </c>
      <c r="O27" s="1" t="s">
        <v>171</v>
      </c>
      <c r="P27" s="1">
        <v>910101985</v>
      </c>
    </row>
    <row r="28" spans="1:16" x14ac:dyDescent="0.25">
      <c r="A28" s="15" t="s">
        <v>1013</v>
      </c>
      <c r="B28" s="16" t="s">
        <v>985</v>
      </c>
      <c r="C28" s="1" t="s">
        <v>29</v>
      </c>
      <c r="D28" s="1" t="str">
        <f>VLOOKUP($C28,Sheet2!$A$2:$B$10,2,0)</f>
        <v>141140-91211</v>
      </c>
      <c r="E28" s="7" t="s">
        <v>30</v>
      </c>
      <c r="F28" s="12">
        <v>45981</v>
      </c>
      <c r="G28" s="13">
        <v>0.77083333333333337</v>
      </c>
      <c r="H28" s="1" t="s">
        <v>31</v>
      </c>
      <c r="I28" s="1" t="s">
        <v>10</v>
      </c>
      <c r="J28" s="1">
        <v>20</v>
      </c>
      <c r="K28" s="14">
        <f>VLOOKUP($C28,Sheet2!$A$2:$D$10,4,0)</f>
        <v>2</v>
      </c>
      <c r="L28" s="14" t="str">
        <f>VLOOKUP($C28,Sheet2!$A$2:$E$10,5,0)</f>
        <v>Bin</v>
      </c>
      <c r="M28" s="14">
        <f t="shared" ref="M28:M29" si="3">J28/K28</f>
        <v>10</v>
      </c>
      <c r="N28" s="1"/>
      <c r="O28" s="1" t="s">
        <v>171</v>
      </c>
      <c r="P28" s="1" t="s">
        <v>1023</v>
      </c>
    </row>
    <row r="29" spans="1:16" x14ac:dyDescent="0.25">
      <c r="A29" s="15" t="s">
        <v>1013</v>
      </c>
      <c r="B29" s="16" t="s">
        <v>989</v>
      </c>
      <c r="C29" s="1" t="s">
        <v>37</v>
      </c>
      <c r="D29" s="1" t="str">
        <f>VLOOKUP($C29,Sheet2!$A$2:$B$10,2,0)</f>
        <v>141150-91211</v>
      </c>
      <c r="E29" s="7" t="s">
        <v>38</v>
      </c>
      <c r="F29" s="12">
        <v>45981</v>
      </c>
      <c r="G29" s="13">
        <v>0.77083333333333337</v>
      </c>
      <c r="H29" s="1" t="s">
        <v>31</v>
      </c>
      <c r="I29" s="1" t="s">
        <v>10</v>
      </c>
      <c r="J29" s="1">
        <v>20</v>
      </c>
      <c r="K29" s="14">
        <f>VLOOKUP($C29,Sheet2!$A$2:$D$10,4,0)</f>
        <v>2</v>
      </c>
      <c r="L29" s="14" t="str">
        <f>VLOOKUP($C29,Sheet2!$A$2:$E$10,5,0)</f>
        <v>Bin</v>
      </c>
      <c r="M29" s="14">
        <f t="shared" si="3"/>
        <v>10</v>
      </c>
      <c r="N29" s="1"/>
      <c r="O29" s="1" t="s">
        <v>171</v>
      </c>
      <c r="P29" s="1" t="s">
        <v>1023</v>
      </c>
    </row>
    <row r="30" spans="1:16" x14ac:dyDescent="0.25">
      <c r="A30" s="15" t="s">
        <v>1013</v>
      </c>
      <c r="B30" s="16" t="s">
        <v>993</v>
      </c>
      <c r="C30" s="1" t="s">
        <v>45</v>
      </c>
      <c r="D30" s="1" t="str">
        <f>VLOOKUP($C30,Sheet2!$A$2:$B$10,2,0)</f>
        <v>141186-74360</v>
      </c>
      <c r="E30" s="7" t="s">
        <v>46</v>
      </c>
      <c r="F30" s="12">
        <v>45981</v>
      </c>
      <c r="G30" s="13">
        <v>0.77083333333333337</v>
      </c>
      <c r="H30" s="1" t="s">
        <v>31</v>
      </c>
      <c r="I30" s="1" t="s">
        <v>10</v>
      </c>
      <c r="J30" s="1">
        <v>40</v>
      </c>
      <c r="K30" s="14">
        <f>VLOOKUP($C30,Sheet2!$A$2:$D$10,4,0)</f>
        <v>40</v>
      </c>
      <c r="L30" s="14" t="str">
        <f>VLOOKUP($C30,Sheet2!$A$2:$E$10,5,0)</f>
        <v>Trolley</v>
      </c>
      <c r="M30" s="14"/>
      <c r="N30" s="1">
        <f>J30/K30</f>
        <v>1</v>
      </c>
      <c r="O30" s="1" t="s">
        <v>171</v>
      </c>
      <c r="P30" s="1">
        <v>910102863</v>
      </c>
    </row>
    <row r="31" spans="1:16" x14ac:dyDescent="0.25">
      <c r="A31" s="15" t="s">
        <v>1014</v>
      </c>
      <c r="B31" s="16" t="s">
        <v>998</v>
      </c>
      <c r="C31" s="1" t="s">
        <v>50</v>
      </c>
      <c r="D31" s="1" t="str">
        <f>VLOOKUP($C31,Sheet2!$A$2:$B$10,2,0)</f>
        <v>116040-92240</v>
      </c>
      <c r="E31" s="7" t="s">
        <v>51</v>
      </c>
      <c r="F31" s="12">
        <v>45981</v>
      </c>
      <c r="G31" s="13">
        <v>0.77083333333333337</v>
      </c>
      <c r="H31" s="1" t="s">
        <v>52</v>
      </c>
      <c r="I31" s="1" t="s">
        <v>10</v>
      </c>
      <c r="J31" s="1">
        <v>18</v>
      </c>
      <c r="K31" s="14">
        <f>VLOOKUP($C31,Sheet2!$A$2:$D$10,4,0)</f>
        <v>6</v>
      </c>
      <c r="L31" s="14" t="str">
        <f>VLOOKUP($C31,Sheet2!$A$2:$E$10,5,0)</f>
        <v>Bin</v>
      </c>
      <c r="M31" s="14">
        <f t="shared" ref="M31:M33" si="4">J31/K31</f>
        <v>3</v>
      </c>
      <c r="N31" s="1"/>
      <c r="O31" s="1" t="s">
        <v>171</v>
      </c>
      <c r="P31" s="1" t="s">
        <v>591</v>
      </c>
    </row>
    <row r="32" spans="1:16" x14ac:dyDescent="0.25">
      <c r="A32" s="15" t="s">
        <v>1014</v>
      </c>
      <c r="B32" s="16" t="s">
        <v>1002</v>
      </c>
      <c r="C32" s="1" t="s">
        <v>59</v>
      </c>
      <c r="D32" s="1" t="str">
        <f>VLOOKUP($C32,Sheet2!$A$2:$B$10,2,0)</f>
        <v>114010-50820</v>
      </c>
      <c r="E32" s="7" t="s">
        <v>60</v>
      </c>
      <c r="F32" s="12">
        <v>45981</v>
      </c>
      <c r="G32" s="13">
        <v>0.77083333333333337</v>
      </c>
      <c r="H32" s="1" t="s">
        <v>52</v>
      </c>
      <c r="I32" s="1" t="s">
        <v>10</v>
      </c>
      <c r="J32" s="1">
        <v>7</v>
      </c>
      <c r="K32" s="14">
        <f>VLOOKUP($C32,Sheet2!$A$2:$D$10,4,0)</f>
        <v>1</v>
      </c>
      <c r="L32" s="14" t="str">
        <f>VLOOKUP($C32,Sheet2!$A$2:$E$10,5,0)</f>
        <v>Bin</v>
      </c>
      <c r="M32" s="14">
        <f t="shared" si="4"/>
        <v>7</v>
      </c>
      <c r="N32" s="1"/>
      <c r="O32" s="1" t="s">
        <v>171</v>
      </c>
      <c r="P32" s="1" t="s">
        <v>1019</v>
      </c>
    </row>
    <row r="33" spans="1:16" x14ac:dyDescent="0.25">
      <c r="A33" s="15" t="s">
        <v>1014</v>
      </c>
      <c r="B33" s="16" t="s">
        <v>1007</v>
      </c>
      <c r="C33" s="1" t="s">
        <v>67</v>
      </c>
      <c r="D33" s="1" t="str">
        <f>VLOOKUP($C33,Sheet2!$A$2:$B$10,2,0)</f>
        <v>114010-50830</v>
      </c>
      <c r="E33" s="7" t="s">
        <v>60</v>
      </c>
      <c r="F33" s="12">
        <v>45981</v>
      </c>
      <c r="G33" s="13">
        <v>0.77083333333333337</v>
      </c>
      <c r="H33" s="1" t="s">
        <v>52</v>
      </c>
      <c r="I33" s="1" t="s">
        <v>10</v>
      </c>
      <c r="J33" s="1">
        <v>13</v>
      </c>
      <c r="K33" s="14">
        <f>VLOOKUP($C33,Sheet2!$A$2:$D$10,4,0)</f>
        <v>1</v>
      </c>
      <c r="L33" s="14" t="str">
        <f>VLOOKUP($C33,Sheet2!$A$2:$E$10,5,0)</f>
        <v>Bin</v>
      </c>
      <c r="M33" s="14">
        <f t="shared" si="4"/>
        <v>13</v>
      </c>
      <c r="N33" s="1"/>
      <c r="O33" s="1" t="s">
        <v>171</v>
      </c>
      <c r="P33" s="1" t="s">
        <v>1026</v>
      </c>
    </row>
    <row r="34" spans="1:16" s="20" customForma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>
        <v>94</v>
      </c>
      <c r="N34" s="9">
        <v>6</v>
      </c>
      <c r="O34" s="9"/>
      <c r="P34" s="9"/>
    </row>
    <row r="35" spans="1:16" x14ac:dyDescent="0.25">
      <c r="A35" s="15" t="s">
        <v>1015</v>
      </c>
      <c r="B35" s="16" t="s">
        <v>974</v>
      </c>
      <c r="C35" s="1" t="s">
        <v>7</v>
      </c>
      <c r="D35" s="1" t="str">
        <f>VLOOKUP($C35,Sheet2!$A$2:$B$10,2,0)</f>
        <v>141110-14600</v>
      </c>
      <c r="E35" s="7" t="s">
        <v>8</v>
      </c>
      <c r="F35" s="12">
        <v>45981</v>
      </c>
      <c r="G35" s="13">
        <v>0.97916666666666663</v>
      </c>
      <c r="H35" s="1" t="s">
        <v>9</v>
      </c>
      <c r="I35" s="1" t="s">
        <v>10</v>
      </c>
      <c r="J35" s="1">
        <v>18</v>
      </c>
      <c r="K35" s="14">
        <f>VLOOKUP($C35,Sheet2!$A$2:$D$10,4,0)</f>
        <v>18</v>
      </c>
      <c r="L35" s="14" t="str">
        <f>VLOOKUP($C35,Sheet2!$A$2:$E$10,5,0)</f>
        <v>Trolley (H)</v>
      </c>
      <c r="M35" s="14"/>
      <c r="N35" s="63">
        <v>1</v>
      </c>
      <c r="O35" s="1" t="s">
        <v>528</v>
      </c>
      <c r="P35" s="1" t="s">
        <v>1020</v>
      </c>
    </row>
    <row r="36" spans="1:16" x14ac:dyDescent="0.25">
      <c r="A36" s="15" t="s">
        <v>1015</v>
      </c>
      <c r="B36" s="16" t="s">
        <v>978</v>
      </c>
      <c r="C36" s="1" t="s">
        <v>16</v>
      </c>
      <c r="D36" s="1" t="str">
        <f>VLOOKUP($C36,Sheet2!$A$2:$B$10,2,0)</f>
        <v>141120-14600</v>
      </c>
      <c r="E36" s="7" t="s">
        <v>17</v>
      </c>
      <c r="F36" s="12">
        <v>45981</v>
      </c>
      <c r="G36" s="13">
        <v>0.97916666666666663</v>
      </c>
      <c r="H36" s="1" t="s">
        <v>9</v>
      </c>
      <c r="I36" s="1" t="s">
        <v>10</v>
      </c>
      <c r="J36" s="1">
        <v>18</v>
      </c>
      <c r="K36" s="14">
        <f>VLOOKUP($C36,Sheet2!$A$2:$D$10,4,0)</f>
        <v>18</v>
      </c>
      <c r="L36" s="14" t="str">
        <f>VLOOKUP($C36,Sheet2!$A$2:$E$10,5,0)</f>
        <v>Trolley (H)</v>
      </c>
      <c r="M36" s="14"/>
      <c r="N36" s="64"/>
      <c r="O36" s="1" t="s">
        <v>528</v>
      </c>
      <c r="P36" s="1" t="s">
        <v>1020</v>
      </c>
    </row>
    <row r="37" spans="1:16" x14ac:dyDescent="0.25">
      <c r="A37" s="15" t="s">
        <v>1015</v>
      </c>
      <c r="B37" s="16" t="s">
        <v>982</v>
      </c>
      <c r="C37" s="1" t="s">
        <v>23</v>
      </c>
      <c r="D37" s="1" t="str">
        <f>VLOOKUP($C37,Sheet2!$A$2:$B$10,2,0)</f>
        <v>141185-74670</v>
      </c>
      <c r="E37" s="7" t="s">
        <v>24</v>
      </c>
      <c r="F37" s="12">
        <v>45981</v>
      </c>
      <c r="G37" s="13">
        <v>0.97916666666666663</v>
      </c>
      <c r="H37" s="1" t="s">
        <v>9</v>
      </c>
      <c r="I37" s="1" t="s">
        <v>10</v>
      </c>
      <c r="J37" s="1">
        <v>40</v>
      </c>
      <c r="K37" s="14">
        <f>VLOOKUP($C37,Sheet2!$A$2:$D$10,4,0)</f>
        <v>40</v>
      </c>
      <c r="L37" s="14" t="str">
        <f>VLOOKUP($C37,Sheet2!$A$2:$E$10,5,0)</f>
        <v>Trolley</v>
      </c>
      <c r="M37" s="14"/>
      <c r="N37" s="1">
        <f>J37/K37</f>
        <v>1</v>
      </c>
      <c r="O37" s="1" t="s">
        <v>528</v>
      </c>
      <c r="P37" s="1">
        <v>910101985</v>
      </c>
    </row>
    <row r="38" spans="1:16" x14ac:dyDescent="0.25">
      <c r="A38" s="15" t="s">
        <v>1015</v>
      </c>
      <c r="B38" s="16" t="s">
        <v>986</v>
      </c>
      <c r="C38" s="1" t="s">
        <v>29</v>
      </c>
      <c r="D38" s="1" t="str">
        <f>VLOOKUP($C38,Sheet2!$A$2:$B$10,2,0)</f>
        <v>141140-91211</v>
      </c>
      <c r="E38" s="7" t="s">
        <v>30</v>
      </c>
      <c r="F38" s="12">
        <v>45981</v>
      </c>
      <c r="G38" s="13">
        <v>0.97916666666666663</v>
      </c>
      <c r="H38" s="1" t="s">
        <v>31</v>
      </c>
      <c r="I38" s="1" t="s">
        <v>10</v>
      </c>
      <c r="J38" s="1">
        <v>32</v>
      </c>
      <c r="K38" s="14">
        <f>VLOOKUP($C38,Sheet2!$A$2:$D$10,4,0)</f>
        <v>2</v>
      </c>
      <c r="L38" s="14" t="str">
        <f>VLOOKUP($C38,Sheet2!$A$2:$E$10,5,0)</f>
        <v>Bin</v>
      </c>
      <c r="M38" s="14">
        <f t="shared" ref="M38:M39" si="5">J38/K38</f>
        <v>16</v>
      </c>
      <c r="N38" s="1"/>
      <c r="O38" s="1" t="s">
        <v>528</v>
      </c>
      <c r="P38" s="1" t="s">
        <v>1023</v>
      </c>
    </row>
    <row r="39" spans="1:16" x14ac:dyDescent="0.25">
      <c r="A39" s="15" t="s">
        <v>1015</v>
      </c>
      <c r="B39" s="16" t="s">
        <v>990</v>
      </c>
      <c r="C39" s="1" t="s">
        <v>37</v>
      </c>
      <c r="D39" s="1" t="str">
        <f>VLOOKUP($C39,Sheet2!$A$2:$B$10,2,0)</f>
        <v>141150-91211</v>
      </c>
      <c r="E39" s="7" t="s">
        <v>38</v>
      </c>
      <c r="F39" s="12">
        <v>45981</v>
      </c>
      <c r="G39" s="13">
        <v>0.97916666666666663</v>
      </c>
      <c r="H39" s="1" t="s">
        <v>31</v>
      </c>
      <c r="I39" s="1" t="s">
        <v>10</v>
      </c>
      <c r="J39" s="1">
        <v>32</v>
      </c>
      <c r="K39" s="14">
        <f>VLOOKUP($C39,Sheet2!$A$2:$D$10,4,0)</f>
        <v>2</v>
      </c>
      <c r="L39" s="14" t="str">
        <f>VLOOKUP($C39,Sheet2!$A$2:$E$10,5,0)</f>
        <v>Bin</v>
      </c>
      <c r="M39" s="14">
        <f t="shared" si="5"/>
        <v>16</v>
      </c>
      <c r="N39" s="1"/>
      <c r="O39" s="1" t="s">
        <v>528</v>
      </c>
      <c r="P39" s="1" t="s">
        <v>1023</v>
      </c>
    </row>
    <row r="40" spans="1:16" x14ac:dyDescent="0.25">
      <c r="A40" s="15" t="s">
        <v>1015</v>
      </c>
      <c r="B40" s="16" t="s">
        <v>994</v>
      </c>
      <c r="C40" s="1" t="s">
        <v>45</v>
      </c>
      <c r="D40" s="1" t="str">
        <f>VLOOKUP($C40,Sheet2!$A$2:$B$10,2,0)</f>
        <v>141186-74360</v>
      </c>
      <c r="E40" s="7" t="s">
        <v>46</v>
      </c>
      <c r="F40" s="12">
        <v>45981</v>
      </c>
      <c r="G40" s="13">
        <v>0.97916666666666663</v>
      </c>
      <c r="H40" s="1" t="s">
        <v>31</v>
      </c>
      <c r="I40" s="1" t="s">
        <v>10</v>
      </c>
      <c r="J40" s="1">
        <v>80</v>
      </c>
      <c r="K40" s="14">
        <f>VLOOKUP($C40,Sheet2!$A$2:$D$10,4,0)</f>
        <v>40</v>
      </c>
      <c r="L40" s="14" t="str">
        <f>VLOOKUP($C40,Sheet2!$A$2:$E$10,5,0)</f>
        <v>Trolley</v>
      </c>
      <c r="M40" s="14"/>
      <c r="N40" s="1">
        <f>J40/K40</f>
        <v>2</v>
      </c>
      <c r="O40" s="1" t="s">
        <v>528</v>
      </c>
      <c r="P40" s="1">
        <v>910102863</v>
      </c>
    </row>
    <row r="41" spans="1:16" x14ac:dyDescent="0.25">
      <c r="A41" s="15" t="s">
        <v>1016</v>
      </c>
      <c r="B41" s="16" t="s">
        <v>999</v>
      </c>
      <c r="C41" s="1" t="s">
        <v>50</v>
      </c>
      <c r="D41" s="1" t="str">
        <f>VLOOKUP($C41,Sheet2!$A$2:$B$10,2,0)</f>
        <v>116040-92240</v>
      </c>
      <c r="E41" s="7" t="s">
        <v>51</v>
      </c>
      <c r="F41" s="12">
        <v>45981</v>
      </c>
      <c r="G41" s="13">
        <v>0.97916666666666663</v>
      </c>
      <c r="H41" s="1" t="s">
        <v>52</v>
      </c>
      <c r="I41" s="1" t="s">
        <v>10</v>
      </c>
      <c r="J41" s="1">
        <v>30</v>
      </c>
      <c r="K41" s="14">
        <f>VLOOKUP($C41,Sheet2!$A$2:$D$10,4,0)</f>
        <v>6</v>
      </c>
      <c r="L41" s="14" t="str">
        <f>VLOOKUP($C41,Sheet2!$A$2:$E$10,5,0)</f>
        <v>Bin</v>
      </c>
      <c r="M41" s="14">
        <f t="shared" ref="M41:M43" si="6">J41/K41</f>
        <v>5</v>
      </c>
      <c r="N41" s="1"/>
      <c r="O41" s="1" t="s">
        <v>528</v>
      </c>
      <c r="P41" s="1" t="s">
        <v>1083</v>
      </c>
    </row>
    <row r="42" spans="1:16" x14ac:dyDescent="0.25">
      <c r="A42" s="15" t="s">
        <v>1016</v>
      </c>
      <c r="B42" s="16" t="s">
        <v>1003</v>
      </c>
      <c r="C42" s="1" t="s">
        <v>59</v>
      </c>
      <c r="D42" s="1" t="str">
        <f>VLOOKUP($C42,Sheet2!$A$2:$B$10,2,0)</f>
        <v>114010-50820</v>
      </c>
      <c r="E42" s="7" t="s">
        <v>60</v>
      </c>
      <c r="F42" s="12">
        <v>45981</v>
      </c>
      <c r="G42" s="13">
        <v>0.97916666666666663</v>
      </c>
      <c r="H42" s="1" t="s">
        <v>52</v>
      </c>
      <c r="I42" s="1" t="s">
        <v>10</v>
      </c>
      <c r="J42" s="1">
        <v>6</v>
      </c>
      <c r="K42" s="14">
        <f>VLOOKUP($C42,Sheet2!$A$2:$D$10,4,0)</f>
        <v>1</v>
      </c>
      <c r="L42" s="14" t="str">
        <f>VLOOKUP($C42,Sheet2!$A$2:$E$10,5,0)</f>
        <v>Bin</v>
      </c>
      <c r="M42" s="14">
        <f t="shared" si="6"/>
        <v>6</v>
      </c>
      <c r="N42" s="1"/>
      <c r="O42" s="1" t="s">
        <v>528</v>
      </c>
      <c r="P42" s="1" t="s">
        <v>1019</v>
      </c>
    </row>
    <row r="43" spans="1:16" x14ac:dyDescent="0.25">
      <c r="A43" s="15" t="s">
        <v>1016</v>
      </c>
      <c r="B43" s="16" t="s">
        <v>1008</v>
      </c>
      <c r="C43" s="1" t="s">
        <v>67</v>
      </c>
      <c r="D43" s="1" t="str">
        <f>VLOOKUP($C43,Sheet2!$A$2:$B$10,2,0)</f>
        <v>114010-50830</v>
      </c>
      <c r="E43" s="7" t="s">
        <v>60</v>
      </c>
      <c r="F43" s="12">
        <v>45981</v>
      </c>
      <c r="G43" s="13">
        <v>0.97916666666666663</v>
      </c>
      <c r="H43" s="1" t="s">
        <v>52</v>
      </c>
      <c r="I43" s="1" t="s">
        <v>10</v>
      </c>
      <c r="J43" s="1">
        <v>26</v>
      </c>
      <c r="K43" s="14">
        <f>VLOOKUP($C43,Sheet2!$A$2:$D$10,4,0)</f>
        <v>1</v>
      </c>
      <c r="L43" s="14" t="str">
        <f>VLOOKUP($C43,Sheet2!$A$2:$E$10,5,0)</f>
        <v>Bin</v>
      </c>
      <c r="M43" s="14">
        <f t="shared" si="6"/>
        <v>26</v>
      </c>
      <c r="N43" s="1"/>
      <c r="O43" s="1" t="s">
        <v>528</v>
      </c>
      <c r="P43" s="1" t="s">
        <v>1026</v>
      </c>
    </row>
    <row r="44" spans="1:16" s="20" customForma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>
        <v>69</v>
      </c>
      <c r="N44" s="9">
        <v>4</v>
      </c>
      <c r="O44" s="9"/>
      <c r="P44" s="9"/>
    </row>
  </sheetData>
  <mergeCells count="7">
    <mergeCell ref="N35:N36"/>
    <mergeCell ref="A1:F1"/>
    <mergeCell ref="J1:N1"/>
    <mergeCell ref="L2:N2"/>
    <mergeCell ref="N4:N5"/>
    <mergeCell ref="N16:N17"/>
    <mergeCell ref="N25:N26"/>
  </mergeCells>
  <conditionalFormatting sqref="B2">
    <cfRule type="duplicateValues" dxfId="394" priority="46"/>
    <cfRule type="duplicateValues" dxfId="393" priority="45"/>
  </conditionalFormatting>
  <conditionalFormatting sqref="B4:B14 B35:B43 B16:B33">
    <cfRule type="duplicateValues" dxfId="392" priority="37"/>
  </conditionalFormatting>
  <conditionalFormatting sqref="C2:D2">
    <cfRule type="duplicateValues" dxfId="391" priority="48"/>
    <cfRule type="duplicateValues" dxfId="390" priority="47"/>
  </conditionalFormatting>
  <conditionalFormatting sqref="D3">
    <cfRule type="duplicateValues" dxfId="387" priority="44"/>
    <cfRule type="duplicateValues" dxfId="386" priority="43"/>
  </conditionalFormatting>
  <conditionalFormatting sqref="D15">
    <cfRule type="duplicateValues" dxfId="381" priority="27"/>
    <cfRule type="duplicateValues" dxfId="380" priority="26"/>
  </conditionalFormatting>
  <conditionalFormatting sqref="D34">
    <cfRule type="duplicateValues" dxfId="379" priority="12"/>
    <cfRule type="duplicateValues" dxfId="377" priority="13"/>
  </conditionalFormatting>
  <conditionalFormatting sqref="D44">
    <cfRule type="duplicateValues" dxfId="376" priority="5"/>
    <cfRule type="duplicateValues" dxfId="375" priority="6"/>
  </conditionalFormatting>
  <pageMargins left="0.17" right="0.17" top="0.3" bottom="0.17" header="0.3" footer="0.3"/>
  <pageSetup paperSize="9" scale="6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operator="containsText" text="17521M68PA0" id="{C8217123-17F5-472C-977F-0724A0C67ECA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C4:D14 C16:D33 C35:D43</xm:sqref>
        </x14:conditionalFormatting>
        <x14:conditionalFormatting xmlns:xm="http://schemas.microsoft.com/office/excel/2006/main">
          <x14:cfRule type="containsText" priority="53" operator="containsText" text="17521M68PA0" id="{75031DA0-68CE-4B29-933B-E215E8A8C185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1" operator="containsText" text="17521M74T00" id="{B493AFC0-F1CF-47D2-BD3F-03B92DE13CFD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29" operator="containsText" text="17521M74T00" id="{C1E8E343-F306-4AB1-A987-4C3B7F5013B2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17521M68PA0" id="{A806A300-D7A7-4E4E-A6C8-19AA4F0739B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D4:D14 D16:D33 D35:D43</xm:sqref>
        </x14:conditionalFormatting>
        <x14:conditionalFormatting xmlns:xm="http://schemas.microsoft.com/office/excel/2006/main">
          <x14:cfRule type="containsText" priority="28" operator="containsText" text="17521M68PA0" id="{94BEC651-40EB-402D-AB68-F4EAB4E9FA2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containsText" priority="14" operator="containsText" text="17521M68PA0" id="{3A60AD5D-6CC2-45E9-A4B0-7A6949BA7CBD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ontainsText" priority="7" operator="containsText" text="17521M68PA0" id="{90D3FCE9-2343-4F97-A38B-A43722B7D38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D44</xm:sqref>
        </x14:conditionalFormatting>
        <x14:conditionalFormatting xmlns:xm="http://schemas.microsoft.com/office/excel/2006/main">
          <x14:cfRule type="containsText" priority="49" operator="containsText" text="17521M68PA0" id="{8B85BD59-860B-4D44-BF16-7C3ECD053E61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0" operator="containsText" text="17521M74T00" id="{52D6E83A-CD2E-46A9-96BF-19A6F0648BC8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0" operator="containsText" text="BELT,WATER PUMP - 7PK 975" id="{19A9D624-71CE-406C-9DE3-076A439B4388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4A21E7E9-A21E-412C-BF7C-D63D7BA32E23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E3:E44</xm:sqref>
        </x14:conditionalFormatting>
        <x14:conditionalFormatting xmlns:xm="http://schemas.microsoft.com/office/excel/2006/main">
          <x14:cfRule type="containsText" priority="23" operator="containsText" text="BELT,WATER PUMP - 7PK 975" id="{9B6FD040-D672-43DF-948C-6A668FD38BC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9" operator="containsText" text="BELT,WATER PUMP - 7PK 975" id="{0F8A7DEF-83CD-47C9-99ED-13931B96BA5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E34</xm:sqref>
        </x14:conditionalFormatting>
        <x14:conditionalFormatting xmlns:xm="http://schemas.microsoft.com/office/excel/2006/main">
          <x14:cfRule type="containsText" priority="2" operator="containsText" text="BELT,WATER PUMP - 7PK 975" id="{B6D28900-AF62-41CB-B5AF-E9D1674786EE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E44</xm:sqref>
        </x14:conditionalFormatting>
        <x14:conditionalFormatting xmlns:xm="http://schemas.microsoft.com/office/excel/2006/main">
          <x14:cfRule type="containsText" priority="51" operator="containsText" text="BELT,WATER PUMP - 5PK 913" id="{910FD74D-F0B0-452B-A719-BC3D1C73EA09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2" operator="containsText" text="BELT,WATER PUMP - 7PK 975" id="{AC944DD9-C1B1-4855-BC6E-76A913313DC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1" operator="containsText" text="5PK 913" id="{97996C06-7ABF-417F-B9B0-017D8130FA81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2" operator="containsText" text="7PK 975" id="{7C32F985-DEC9-4E0A-8222-89C7FC242669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5" operator="containsText" text="7PK 975" id="{7B300A04-F970-492C-BC94-89C35D27B40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" operator="containsText" text="5PK 913" id="{D91F7977-4C95-48A4-9BE4-D9DFEB925520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P15</xm:sqref>
        </x14:conditionalFormatting>
        <x14:conditionalFormatting xmlns:xm="http://schemas.microsoft.com/office/excel/2006/main">
          <x14:cfRule type="containsText" priority="10" operator="containsText" text="5PK 913" id="{68CC7A11-73FD-4B08-9739-FDEB280AF206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1" operator="containsText" text="7PK 975" id="{81E63EEA-5DC0-44DF-A1B5-7BBAE6196F3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P34</xm:sqref>
        </x14:conditionalFormatting>
        <x14:conditionalFormatting xmlns:xm="http://schemas.microsoft.com/office/excel/2006/main">
          <x14:cfRule type="containsText" priority="3" operator="containsText" text="5PK 913" id="{C8C3B6AA-BF3E-4C8A-B571-269B6081B53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7PK 975" id="{217359BA-944C-4E87-8C35-3BDCF083616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0E9B-1ED1-4201-8E95-360D387A396D}">
  <sheetPr>
    <pageSetUpPr fitToPage="1"/>
  </sheetPr>
  <dimension ref="A1:P46"/>
  <sheetViews>
    <sheetView topLeftCell="A17" workbookViewId="0">
      <selection activeCell="A4" sqref="A4:XFD45"/>
    </sheetView>
  </sheetViews>
  <sheetFormatPr defaultColWidth="15.5703125" defaultRowHeight="15" x14ac:dyDescent="0.25"/>
  <cols>
    <col min="1" max="1" width="15.425781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12.570312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140625" bestFit="1" customWidth="1"/>
    <col min="16" max="16" width="53.28515625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45982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1073</v>
      </c>
      <c r="B4" s="16" t="s">
        <v>1028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45982</v>
      </c>
      <c r="G4" s="13">
        <v>0.35416666666666669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166</v>
      </c>
      <c r="P4" s="1" t="s">
        <v>1020</v>
      </c>
    </row>
    <row r="5" spans="1:16" x14ac:dyDescent="0.25">
      <c r="A5" s="15" t="s">
        <v>1073</v>
      </c>
      <c r="B5" s="16" t="s">
        <v>1033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45982</v>
      </c>
      <c r="G5" s="13">
        <v>0.35416666666666669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1020</v>
      </c>
    </row>
    <row r="6" spans="1:16" x14ac:dyDescent="0.25">
      <c r="A6" s="15" t="s">
        <v>1073</v>
      </c>
      <c r="B6" s="16" t="s">
        <v>1029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45982</v>
      </c>
      <c r="G6" s="13">
        <v>0.35416666666666669</v>
      </c>
      <c r="H6" s="1" t="s">
        <v>9</v>
      </c>
      <c r="I6" s="1" t="s">
        <v>10</v>
      </c>
      <c r="J6" s="1">
        <v>18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1</v>
      </c>
      <c r="O6" s="1" t="s">
        <v>166</v>
      </c>
      <c r="P6" s="1" t="s">
        <v>1020</v>
      </c>
    </row>
    <row r="7" spans="1:16" x14ac:dyDescent="0.25">
      <c r="A7" s="15" t="s">
        <v>1073</v>
      </c>
      <c r="B7" s="16" t="s">
        <v>1034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45982</v>
      </c>
      <c r="G7" s="13">
        <v>0.35416666666666669</v>
      </c>
      <c r="H7" s="1" t="s">
        <v>9</v>
      </c>
      <c r="I7" s="1" t="s">
        <v>10</v>
      </c>
      <c r="J7" s="1">
        <v>18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166</v>
      </c>
      <c r="P7" s="1" t="s">
        <v>1020</v>
      </c>
    </row>
    <row r="8" spans="1:16" x14ac:dyDescent="0.25">
      <c r="A8" s="15" t="s">
        <v>1073</v>
      </c>
      <c r="B8" s="16" t="s">
        <v>1038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45982</v>
      </c>
      <c r="G8" s="13">
        <v>0.35416666666666669</v>
      </c>
      <c r="H8" s="1" t="s">
        <v>9</v>
      </c>
      <c r="I8" s="1" t="s">
        <v>10</v>
      </c>
      <c r="J8" s="1">
        <v>40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1</v>
      </c>
      <c r="O8" s="1" t="s">
        <v>166</v>
      </c>
      <c r="P8" s="1" t="s">
        <v>1284</v>
      </c>
    </row>
    <row r="9" spans="1:16" x14ac:dyDescent="0.25">
      <c r="A9" s="15" t="s">
        <v>1073</v>
      </c>
      <c r="B9" s="16" t="s">
        <v>1039</v>
      </c>
      <c r="C9" s="1" t="s">
        <v>23</v>
      </c>
      <c r="D9" s="1" t="str">
        <f>VLOOKUP($C9,Sheet2!$A$2:$B$10,2,0)</f>
        <v>141185-74670</v>
      </c>
      <c r="E9" s="7" t="s">
        <v>24</v>
      </c>
      <c r="F9" s="12">
        <v>45982</v>
      </c>
      <c r="G9" s="13">
        <v>0.35416666666666669</v>
      </c>
      <c r="H9" s="1" t="s">
        <v>9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166</v>
      </c>
      <c r="P9" s="1">
        <v>910102103</v>
      </c>
    </row>
    <row r="10" spans="1:16" x14ac:dyDescent="0.25">
      <c r="A10" s="15" t="s">
        <v>1073</v>
      </c>
      <c r="B10" s="16" t="s">
        <v>1043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45982</v>
      </c>
      <c r="G10" s="13">
        <v>0.35416666666666669</v>
      </c>
      <c r="H10" s="1" t="s">
        <v>31</v>
      </c>
      <c r="I10" s="1" t="s">
        <v>10</v>
      </c>
      <c r="J10" s="1">
        <v>20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10</v>
      </c>
      <c r="N10" s="1"/>
      <c r="O10" s="1" t="s">
        <v>166</v>
      </c>
      <c r="P10" s="1" t="s">
        <v>1023</v>
      </c>
    </row>
    <row r="11" spans="1:16" x14ac:dyDescent="0.25">
      <c r="A11" s="15" t="s">
        <v>1073</v>
      </c>
      <c r="B11" s="16" t="s">
        <v>1044</v>
      </c>
      <c r="C11" s="1" t="s">
        <v>29</v>
      </c>
      <c r="D11" s="1" t="str">
        <f>VLOOKUP($C11,Sheet2!$A$2:$B$10,2,0)</f>
        <v>141140-91211</v>
      </c>
      <c r="E11" s="7" t="s">
        <v>30</v>
      </c>
      <c r="F11" s="12">
        <v>45982</v>
      </c>
      <c r="G11" s="13">
        <v>0.35416666666666669</v>
      </c>
      <c r="H11" s="1" t="s">
        <v>31</v>
      </c>
      <c r="I11" s="1" t="s">
        <v>10</v>
      </c>
      <c r="J11" s="1">
        <v>14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ref="M11:M13" si="0">J11/K11</f>
        <v>7</v>
      </c>
      <c r="N11" s="1"/>
      <c r="O11" s="1" t="s">
        <v>166</v>
      </c>
      <c r="P11" s="1" t="s">
        <v>1023</v>
      </c>
    </row>
    <row r="12" spans="1:16" x14ac:dyDescent="0.25">
      <c r="A12" s="15" t="s">
        <v>1073</v>
      </c>
      <c r="B12" s="16" t="s">
        <v>1048</v>
      </c>
      <c r="C12" s="1" t="s">
        <v>37</v>
      </c>
      <c r="D12" s="1" t="str">
        <f>VLOOKUP($C12,Sheet2!$A$2:$B$10,2,0)</f>
        <v>141150-91211</v>
      </c>
      <c r="E12" s="7" t="s">
        <v>38</v>
      </c>
      <c r="F12" s="12">
        <v>45982</v>
      </c>
      <c r="G12" s="13">
        <v>0.35416666666666669</v>
      </c>
      <c r="H12" s="1" t="s">
        <v>31</v>
      </c>
      <c r="I12" s="1" t="s">
        <v>10</v>
      </c>
      <c r="J12" s="1">
        <v>20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10</v>
      </c>
      <c r="N12" s="1"/>
      <c r="O12" s="1" t="s">
        <v>166</v>
      </c>
      <c r="P12" s="1" t="s">
        <v>1023</v>
      </c>
    </row>
    <row r="13" spans="1:16" x14ac:dyDescent="0.25">
      <c r="A13" s="15" t="s">
        <v>1073</v>
      </c>
      <c r="B13" s="16" t="s">
        <v>1049</v>
      </c>
      <c r="C13" s="1" t="s">
        <v>37</v>
      </c>
      <c r="D13" s="1" t="str">
        <f>VLOOKUP($C13,Sheet2!$A$2:$B$10,2,0)</f>
        <v>141150-91211</v>
      </c>
      <c r="E13" s="7" t="s">
        <v>38</v>
      </c>
      <c r="F13" s="12">
        <v>45982</v>
      </c>
      <c r="G13" s="13">
        <v>0.35416666666666669</v>
      </c>
      <c r="H13" s="1" t="s">
        <v>31</v>
      </c>
      <c r="I13" s="1" t="s">
        <v>10</v>
      </c>
      <c r="J13" s="1">
        <v>14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si="0"/>
        <v>7</v>
      </c>
      <c r="N13" s="1"/>
      <c r="O13" s="1" t="s">
        <v>166</v>
      </c>
      <c r="P13" s="1" t="s">
        <v>1023</v>
      </c>
    </row>
    <row r="14" spans="1:16" x14ac:dyDescent="0.25">
      <c r="A14" s="15" t="s">
        <v>1073</v>
      </c>
      <c r="B14" s="16" t="s">
        <v>1053</v>
      </c>
      <c r="C14" s="1" t="s">
        <v>45</v>
      </c>
      <c r="D14" s="1" t="str">
        <f>VLOOKUP($C14,Sheet2!$A$2:$B$10,2,0)</f>
        <v>141186-74360</v>
      </c>
      <c r="E14" s="7" t="s">
        <v>46</v>
      </c>
      <c r="F14" s="12">
        <v>45982</v>
      </c>
      <c r="G14" s="13">
        <v>0.35416666666666669</v>
      </c>
      <c r="H14" s="1" t="s">
        <v>31</v>
      </c>
      <c r="I14" s="1" t="s">
        <v>10</v>
      </c>
      <c r="J14" s="1">
        <v>40</v>
      </c>
      <c r="K14" s="14">
        <f>VLOOKUP($C14,Sheet2!$A$2:$D$10,4,0)</f>
        <v>40</v>
      </c>
      <c r="L14" s="14" t="str">
        <f>VLOOKUP($C14,Sheet2!$A$2:$E$10,5,0)</f>
        <v>Trolley</v>
      </c>
      <c r="M14" s="14"/>
      <c r="N14" s="1">
        <f>J14/K14</f>
        <v>1</v>
      </c>
      <c r="O14" s="1" t="s">
        <v>166</v>
      </c>
      <c r="P14" s="1">
        <v>910102863</v>
      </c>
    </row>
    <row r="15" spans="1:16" x14ac:dyDescent="0.25">
      <c r="A15" s="15" t="s">
        <v>1074</v>
      </c>
      <c r="B15" s="16" t="s">
        <v>1057</v>
      </c>
      <c r="C15" s="1" t="s">
        <v>50</v>
      </c>
      <c r="D15" s="1" t="str">
        <f>VLOOKUP($C15,Sheet2!$A$2:$B$10,2,0)</f>
        <v>116040-92240</v>
      </c>
      <c r="E15" s="7" t="s">
        <v>51</v>
      </c>
      <c r="F15" s="12">
        <v>45982</v>
      </c>
      <c r="G15" s="13">
        <v>0.35416666666666669</v>
      </c>
      <c r="H15" s="1" t="s">
        <v>52</v>
      </c>
      <c r="I15" s="1" t="s">
        <v>10</v>
      </c>
      <c r="J15" s="1">
        <v>24</v>
      </c>
      <c r="K15" s="14">
        <f>VLOOKUP($C15,Sheet2!$A$2:$D$10,4,0)</f>
        <v>6</v>
      </c>
      <c r="L15" s="14" t="str">
        <f>VLOOKUP($C15,Sheet2!$A$2:$E$10,5,0)</f>
        <v>Bin</v>
      </c>
      <c r="M15" s="14">
        <f t="shared" ref="M15:M20" si="1">J15/K15</f>
        <v>4</v>
      </c>
      <c r="N15" s="1"/>
      <c r="O15" s="1" t="s">
        <v>166</v>
      </c>
      <c r="P15" s="1" t="s">
        <v>463</v>
      </c>
    </row>
    <row r="16" spans="1:16" x14ac:dyDescent="0.25">
      <c r="A16" s="15" t="s">
        <v>1074</v>
      </c>
      <c r="B16" s="16" t="s">
        <v>1058</v>
      </c>
      <c r="C16" s="1" t="s">
        <v>50</v>
      </c>
      <c r="D16" s="1" t="str">
        <f>VLOOKUP($C16,Sheet2!$A$2:$B$10,2,0)</f>
        <v>116040-92240</v>
      </c>
      <c r="E16" s="7" t="s">
        <v>51</v>
      </c>
      <c r="F16" s="12">
        <v>45982</v>
      </c>
      <c r="G16" s="13">
        <v>0.35416666666666669</v>
      </c>
      <c r="H16" s="1" t="s">
        <v>52</v>
      </c>
      <c r="I16" s="1" t="s">
        <v>10</v>
      </c>
      <c r="J16" s="1">
        <v>12</v>
      </c>
      <c r="K16" s="14">
        <f>VLOOKUP($C16,Sheet2!$A$2:$D$10,4,0)</f>
        <v>6</v>
      </c>
      <c r="L16" s="14" t="str">
        <f>VLOOKUP($C16,Sheet2!$A$2:$E$10,5,0)</f>
        <v>Bin</v>
      </c>
      <c r="M16" s="14">
        <f t="shared" si="1"/>
        <v>2</v>
      </c>
      <c r="N16" s="1"/>
      <c r="O16" s="1" t="s">
        <v>166</v>
      </c>
      <c r="P16" s="1" t="s">
        <v>463</v>
      </c>
    </row>
    <row r="17" spans="1:16" x14ac:dyDescent="0.25">
      <c r="A17" s="15" t="s">
        <v>1074</v>
      </c>
      <c r="B17" s="16" t="s">
        <v>1062</v>
      </c>
      <c r="C17" s="1" t="s">
        <v>59</v>
      </c>
      <c r="D17" s="1" t="str">
        <f>VLOOKUP($C17,Sheet2!$A$2:$B$10,2,0)</f>
        <v>114010-50820</v>
      </c>
      <c r="E17" s="7" t="s">
        <v>60</v>
      </c>
      <c r="F17" s="12">
        <v>45982</v>
      </c>
      <c r="G17" s="13">
        <v>0.35416666666666669</v>
      </c>
      <c r="H17" s="1" t="s">
        <v>52</v>
      </c>
      <c r="I17" s="1" t="s">
        <v>10</v>
      </c>
      <c r="J17" s="1">
        <v>5</v>
      </c>
      <c r="K17" s="14">
        <f>VLOOKUP($C17,Sheet2!$A$2:$D$10,4,0)</f>
        <v>1</v>
      </c>
      <c r="L17" s="14" t="str">
        <f>VLOOKUP($C17,Sheet2!$A$2:$E$10,5,0)</f>
        <v>Bin</v>
      </c>
      <c r="M17" s="14">
        <f t="shared" si="1"/>
        <v>5</v>
      </c>
      <c r="N17" s="1"/>
      <c r="O17" s="1" t="s">
        <v>166</v>
      </c>
      <c r="P17" s="1" t="s">
        <v>1019</v>
      </c>
    </row>
    <row r="18" spans="1:16" x14ac:dyDescent="0.25">
      <c r="A18" s="15" t="s">
        <v>1074</v>
      </c>
      <c r="B18" s="16" t="s">
        <v>1063</v>
      </c>
      <c r="C18" s="1" t="s">
        <v>59</v>
      </c>
      <c r="D18" s="1" t="str">
        <f>VLOOKUP($C18,Sheet2!$A$2:$B$10,2,0)</f>
        <v>114010-50820</v>
      </c>
      <c r="E18" s="7" t="s">
        <v>60</v>
      </c>
      <c r="F18" s="12">
        <v>45982</v>
      </c>
      <c r="G18" s="13">
        <v>0.35416666666666669</v>
      </c>
      <c r="H18" s="1" t="s">
        <v>52</v>
      </c>
      <c r="I18" s="1" t="s">
        <v>10</v>
      </c>
      <c r="J18" s="1">
        <v>9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1"/>
        <v>9</v>
      </c>
      <c r="N18" s="1"/>
      <c r="O18" s="1" t="s">
        <v>166</v>
      </c>
      <c r="P18" s="1" t="s">
        <v>1019</v>
      </c>
    </row>
    <row r="19" spans="1:16" x14ac:dyDescent="0.25">
      <c r="A19" s="15" t="s">
        <v>1074</v>
      </c>
      <c r="B19" s="16" t="s">
        <v>1067</v>
      </c>
      <c r="C19" s="1" t="s">
        <v>67</v>
      </c>
      <c r="D19" s="1" t="str">
        <f>VLOOKUP($C19,Sheet2!$A$2:$B$10,2,0)</f>
        <v>114010-50830</v>
      </c>
      <c r="E19" s="7" t="s">
        <v>60</v>
      </c>
      <c r="F19" s="12">
        <v>45982</v>
      </c>
      <c r="G19" s="13">
        <v>0.35416666666666669</v>
      </c>
      <c r="H19" s="1" t="s">
        <v>52</v>
      </c>
      <c r="I19" s="1" t="s">
        <v>10</v>
      </c>
      <c r="J19" s="1">
        <v>15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1"/>
        <v>15</v>
      </c>
      <c r="N19" s="1"/>
      <c r="O19" s="1" t="s">
        <v>166</v>
      </c>
      <c r="P19" s="1" t="s">
        <v>1026</v>
      </c>
    </row>
    <row r="20" spans="1:16" x14ac:dyDescent="0.25">
      <c r="A20" s="15" t="s">
        <v>1074</v>
      </c>
      <c r="B20" s="16" t="s">
        <v>1068</v>
      </c>
      <c r="C20" s="1" t="s">
        <v>67</v>
      </c>
      <c r="D20" s="1" t="str">
        <f>VLOOKUP($C20,Sheet2!$A$2:$B$10,2,0)</f>
        <v>114010-50830</v>
      </c>
      <c r="E20" s="7" t="s">
        <v>60</v>
      </c>
      <c r="F20" s="12">
        <v>45982</v>
      </c>
      <c r="G20" s="13">
        <v>0.35416666666666669</v>
      </c>
      <c r="H20" s="1" t="s">
        <v>52</v>
      </c>
      <c r="I20" s="1" t="s">
        <v>10</v>
      </c>
      <c r="J20" s="1">
        <v>5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1"/>
        <v>5</v>
      </c>
      <c r="N20" s="1"/>
      <c r="O20" s="1" t="s">
        <v>166</v>
      </c>
      <c r="P20" s="1" t="s">
        <v>1026</v>
      </c>
    </row>
    <row r="21" spans="1:16" s="20" customForma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>
        <v>74</v>
      </c>
      <c r="N21" s="9">
        <v>5</v>
      </c>
      <c r="O21" s="9"/>
      <c r="P21" s="9"/>
    </row>
    <row r="22" spans="1:16" x14ac:dyDescent="0.25">
      <c r="A22" s="15" t="s">
        <v>1075</v>
      </c>
      <c r="B22" s="16" t="s">
        <v>1030</v>
      </c>
      <c r="C22" s="1" t="s">
        <v>7</v>
      </c>
      <c r="D22" s="1" t="str">
        <f>VLOOKUP($C22,Sheet2!$A$2:$B$10,2,0)</f>
        <v>141110-14600</v>
      </c>
      <c r="E22" s="7" t="s">
        <v>8</v>
      </c>
      <c r="F22" s="12">
        <v>45982</v>
      </c>
      <c r="G22" s="13">
        <v>0.5625</v>
      </c>
      <c r="H22" s="1" t="s">
        <v>9</v>
      </c>
      <c r="I22" s="1" t="s">
        <v>10</v>
      </c>
      <c r="J22" s="1">
        <v>18</v>
      </c>
      <c r="K22" s="14">
        <f>VLOOKUP($C22,Sheet2!$A$2:$D$10,4,0)</f>
        <v>18</v>
      </c>
      <c r="L22" s="14" t="str">
        <f>VLOOKUP($C22,Sheet2!$A$2:$E$10,5,0)</f>
        <v>Trolley (H)</v>
      </c>
      <c r="M22" s="14"/>
      <c r="N22" s="63">
        <v>1</v>
      </c>
      <c r="O22" s="1" t="s">
        <v>171</v>
      </c>
      <c r="P22" s="1" t="s">
        <v>1020</v>
      </c>
    </row>
    <row r="23" spans="1:16" x14ac:dyDescent="0.25">
      <c r="A23" s="15" t="s">
        <v>1075</v>
      </c>
      <c r="B23" s="16" t="s">
        <v>1035</v>
      </c>
      <c r="C23" s="1" t="s">
        <v>16</v>
      </c>
      <c r="D23" s="1" t="str">
        <f>VLOOKUP($C23,Sheet2!$A$2:$B$10,2,0)</f>
        <v>141120-14600</v>
      </c>
      <c r="E23" s="7" t="s">
        <v>17</v>
      </c>
      <c r="F23" s="12">
        <v>45982</v>
      </c>
      <c r="G23" s="13">
        <v>0.5625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4"/>
      <c r="O23" s="1" t="s">
        <v>171</v>
      </c>
      <c r="P23" s="1" t="s">
        <v>1020</v>
      </c>
    </row>
    <row r="24" spans="1:16" x14ac:dyDescent="0.25">
      <c r="A24" s="15" t="s">
        <v>1075</v>
      </c>
      <c r="B24" s="16" t="s">
        <v>1040</v>
      </c>
      <c r="C24" s="1" t="s">
        <v>23</v>
      </c>
      <c r="D24" s="1" t="str">
        <f>VLOOKUP($C24,Sheet2!$A$2:$B$10,2,0)</f>
        <v>141185-74670</v>
      </c>
      <c r="E24" s="7" t="s">
        <v>24</v>
      </c>
      <c r="F24" s="12">
        <v>45982</v>
      </c>
      <c r="G24" s="13">
        <v>0.5625</v>
      </c>
      <c r="H24" s="1" t="s">
        <v>9</v>
      </c>
      <c r="I24" s="1" t="s">
        <v>10</v>
      </c>
      <c r="J24" s="1">
        <v>40</v>
      </c>
      <c r="K24" s="14">
        <f>VLOOKUP($C24,Sheet2!$A$2:$D$10,4,0)</f>
        <v>40</v>
      </c>
      <c r="L24" s="14" t="str">
        <f>VLOOKUP($C24,Sheet2!$A$2:$E$10,5,0)</f>
        <v>Trolley</v>
      </c>
      <c r="M24" s="14"/>
      <c r="N24" s="1">
        <f>J24/K24</f>
        <v>1</v>
      </c>
      <c r="O24" s="1" t="s">
        <v>171</v>
      </c>
      <c r="P24" s="1">
        <v>910101985</v>
      </c>
    </row>
    <row r="25" spans="1:16" x14ac:dyDescent="0.25">
      <c r="A25" s="15" t="s">
        <v>1075</v>
      </c>
      <c r="B25" s="16" t="s">
        <v>1045</v>
      </c>
      <c r="C25" s="1" t="s">
        <v>29</v>
      </c>
      <c r="D25" s="1" t="str">
        <f>VLOOKUP($C25,Sheet2!$A$2:$B$10,2,0)</f>
        <v>141140-91211</v>
      </c>
      <c r="E25" s="7" t="s">
        <v>30</v>
      </c>
      <c r="F25" s="12">
        <v>45982</v>
      </c>
      <c r="G25" s="13">
        <v>0.5625</v>
      </c>
      <c r="H25" s="1" t="s">
        <v>31</v>
      </c>
      <c r="I25" s="1" t="s">
        <v>10</v>
      </c>
      <c r="J25" s="1">
        <v>20</v>
      </c>
      <c r="K25" s="14">
        <f>VLOOKUP($C25,Sheet2!$A$2:$D$10,4,0)</f>
        <v>2</v>
      </c>
      <c r="L25" s="14" t="str">
        <f>VLOOKUP($C25,Sheet2!$A$2:$E$10,5,0)</f>
        <v>Bin</v>
      </c>
      <c r="M25" s="14">
        <f t="shared" ref="M25:M26" si="2">J25/K25</f>
        <v>10</v>
      </c>
      <c r="N25" s="1"/>
      <c r="O25" s="1" t="s">
        <v>171</v>
      </c>
      <c r="P25" s="1" t="s">
        <v>1023</v>
      </c>
    </row>
    <row r="26" spans="1:16" x14ac:dyDescent="0.25">
      <c r="A26" s="15" t="s">
        <v>1075</v>
      </c>
      <c r="B26" s="16" t="s">
        <v>1050</v>
      </c>
      <c r="C26" s="1" t="s">
        <v>37</v>
      </c>
      <c r="D26" s="1" t="str">
        <f>VLOOKUP($C26,Sheet2!$A$2:$B$10,2,0)</f>
        <v>141150-91211</v>
      </c>
      <c r="E26" s="7" t="s">
        <v>38</v>
      </c>
      <c r="F26" s="12">
        <v>45982</v>
      </c>
      <c r="G26" s="13">
        <v>0.5625</v>
      </c>
      <c r="H26" s="1" t="s">
        <v>31</v>
      </c>
      <c r="I26" s="1" t="s">
        <v>10</v>
      </c>
      <c r="J26" s="1">
        <v>20</v>
      </c>
      <c r="K26" s="14">
        <f>VLOOKUP($C26,Sheet2!$A$2:$D$10,4,0)</f>
        <v>2</v>
      </c>
      <c r="L26" s="14" t="str">
        <f>VLOOKUP($C26,Sheet2!$A$2:$E$10,5,0)</f>
        <v>Bin</v>
      </c>
      <c r="M26" s="14">
        <f t="shared" si="2"/>
        <v>10</v>
      </c>
      <c r="N26" s="1"/>
      <c r="O26" s="1" t="s">
        <v>171</v>
      </c>
      <c r="P26" s="1" t="s">
        <v>1023</v>
      </c>
    </row>
    <row r="27" spans="1:16" x14ac:dyDescent="0.25">
      <c r="A27" s="15" t="s">
        <v>1075</v>
      </c>
      <c r="B27" s="16" t="s">
        <v>1054</v>
      </c>
      <c r="C27" s="1" t="s">
        <v>45</v>
      </c>
      <c r="D27" s="1" t="str">
        <f>VLOOKUP($C27,Sheet2!$A$2:$B$10,2,0)</f>
        <v>141186-74360</v>
      </c>
      <c r="E27" s="7" t="s">
        <v>46</v>
      </c>
      <c r="F27" s="12">
        <v>45982</v>
      </c>
      <c r="G27" s="13">
        <v>0.5625</v>
      </c>
      <c r="H27" s="1" t="s">
        <v>31</v>
      </c>
      <c r="I27" s="1" t="s">
        <v>10</v>
      </c>
      <c r="J27" s="1">
        <v>40</v>
      </c>
      <c r="K27" s="14">
        <f>VLOOKUP($C27,Sheet2!$A$2:$D$10,4,0)</f>
        <v>40</v>
      </c>
      <c r="L27" s="14" t="str">
        <f>VLOOKUP($C27,Sheet2!$A$2:$E$10,5,0)</f>
        <v>Trolley</v>
      </c>
      <c r="M27" s="14"/>
      <c r="N27" s="1">
        <f>J27/K27</f>
        <v>1</v>
      </c>
      <c r="O27" s="1" t="s">
        <v>171</v>
      </c>
      <c r="P27" s="1" t="s">
        <v>1285</v>
      </c>
    </row>
    <row r="28" spans="1:16" x14ac:dyDescent="0.25">
      <c r="A28" s="15" t="s">
        <v>1076</v>
      </c>
      <c r="B28" s="16" t="s">
        <v>1059</v>
      </c>
      <c r="C28" s="1" t="s">
        <v>50</v>
      </c>
      <c r="D28" s="1" t="str">
        <f>VLOOKUP($C28,Sheet2!$A$2:$B$10,2,0)</f>
        <v>116040-92240</v>
      </c>
      <c r="E28" s="7" t="s">
        <v>51</v>
      </c>
      <c r="F28" s="12">
        <v>45982</v>
      </c>
      <c r="G28" s="13">
        <v>0.5625</v>
      </c>
      <c r="H28" s="1" t="s">
        <v>52</v>
      </c>
      <c r="I28" s="1" t="s">
        <v>10</v>
      </c>
      <c r="J28" s="1">
        <v>18</v>
      </c>
      <c r="K28" s="14">
        <f>VLOOKUP($C28,Sheet2!$A$2:$D$10,4,0)</f>
        <v>6</v>
      </c>
      <c r="L28" s="14" t="str">
        <f>VLOOKUP($C28,Sheet2!$A$2:$E$10,5,0)</f>
        <v>Bin</v>
      </c>
      <c r="M28" s="14">
        <f t="shared" ref="M28:M30" si="3">J28/K28</f>
        <v>3</v>
      </c>
      <c r="N28" s="1"/>
      <c r="O28" s="1" t="s">
        <v>171</v>
      </c>
      <c r="P28" s="1" t="s">
        <v>463</v>
      </c>
    </row>
    <row r="29" spans="1:16" x14ac:dyDescent="0.25">
      <c r="A29" s="15" t="s">
        <v>1076</v>
      </c>
      <c r="B29" s="16" t="s">
        <v>1064</v>
      </c>
      <c r="C29" s="1" t="s">
        <v>59</v>
      </c>
      <c r="D29" s="1" t="str">
        <f>VLOOKUP($C29,Sheet2!$A$2:$B$10,2,0)</f>
        <v>114010-50820</v>
      </c>
      <c r="E29" s="7" t="s">
        <v>60</v>
      </c>
      <c r="F29" s="12">
        <v>45982</v>
      </c>
      <c r="G29" s="13">
        <v>0.5625</v>
      </c>
      <c r="H29" s="1" t="s">
        <v>52</v>
      </c>
      <c r="I29" s="1" t="s">
        <v>10</v>
      </c>
      <c r="J29" s="1">
        <v>6</v>
      </c>
      <c r="K29" s="14">
        <f>VLOOKUP($C29,Sheet2!$A$2:$D$10,4,0)</f>
        <v>1</v>
      </c>
      <c r="L29" s="14" t="str">
        <f>VLOOKUP($C29,Sheet2!$A$2:$E$10,5,0)</f>
        <v>Bin</v>
      </c>
      <c r="M29" s="14">
        <f t="shared" si="3"/>
        <v>6</v>
      </c>
      <c r="N29" s="1"/>
      <c r="O29" s="1" t="s">
        <v>171</v>
      </c>
      <c r="P29" s="1" t="s">
        <v>1019</v>
      </c>
    </row>
    <row r="30" spans="1:16" ht="15.75" thickBot="1" x14ac:dyDescent="0.3">
      <c r="A30" s="15" t="s">
        <v>1076</v>
      </c>
      <c r="B30" s="16" t="s">
        <v>1069</v>
      </c>
      <c r="C30" s="1" t="s">
        <v>67</v>
      </c>
      <c r="D30" s="1" t="str">
        <f>VLOOKUP($C30,Sheet2!$A$2:$B$10,2,0)</f>
        <v>114010-50830</v>
      </c>
      <c r="E30" s="7" t="s">
        <v>60</v>
      </c>
      <c r="F30" s="12">
        <v>45982</v>
      </c>
      <c r="G30" s="19">
        <v>0.5625</v>
      </c>
      <c r="H30" s="1" t="s">
        <v>52</v>
      </c>
      <c r="I30" s="1" t="s">
        <v>10</v>
      </c>
      <c r="J30" s="1">
        <v>14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si="3"/>
        <v>14</v>
      </c>
      <c r="N30" s="1"/>
      <c r="O30" s="1" t="s">
        <v>171</v>
      </c>
      <c r="P30" s="1" t="s">
        <v>1026</v>
      </c>
    </row>
    <row r="31" spans="1:16" s="20" customFormat="1" ht="15.75" thickTop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>
        <v>43</v>
      </c>
      <c r="N31" s="9">
        <v>3</v>
      </c>
      <c r="O31" s="9"/>
      <c r="P31" s="9"/>
    </row>
    <row r="32" spans="1:16" x14ac:dyDescent="0.25">
      <c r="A32" s="15" t="s">
        <v>1077</v>
      </c>
      <c r="B32" s="16" t="s">
        <v>1031</v>
      </c>
      <c r="C32" s="1" t="s">
        <v>7</v>
      </c>
      <c r="D32" s="1" t="str">
        <f>VLOOKUP($C32,Sheet2!$A$2:$B$10,2,0)</f>
        <v>141110-14600</v>
      </c>
      <c r="E32" s="7" t="s">
        <v>8</v>
      </c>
      <c r="F32" s="12">
        <v>45982</v>
      </c>
      <c r="G32" s="18">
        <v>0.77083333333333337</v>
      </c>
      <c r="H32" s="1" t="s">
        <v>9</v>
      </c>
      <c r="I32" s="1" t="s">
        <v>10</v>
      </c>
      <c r="J32" s="1">
        <v>18</v>
      </c>
      <c r="K32" s="14">
        <f>VLOOKUP($C32,Sheet2!$A$2:$D$10,4,0)</f>
        <v>18</v>
      </c>
      <c r="L32" s="14" t="str">
        <f>VLOOKUP($C32,Sheet2!$A$2:$E$10,5,0)</f>
        <v>Trolley (H)</v>
      </c>
      <c r="M32" s="14"/>
      <c r="N32" s="63">
        <v>1</v>
      </c>
      <c r="O32" s="1" t="s">
        <v>528</v>
      </c>
      <c r="P32" s="1" t="s">
        <v>1286</v>
      </c>
    </row>
    <row r="33" spans="1:16" x14ac:dyDescent="0.25">
      <c r="A33" s="15" t="s">
        <v>1077</v>
      </c>
      <c r="B33" s="16" t="s">
        <v>1036</v>
      </c>
      <c r="C33" s="1" t="s">
        <v>16</v>
      </c>
      <c r="D33" s="1" t="str">
        <f>VLOOKUP($C33,Sheet2!$A$2:$B$10,2,0)</f>
        <v>141120-14600</v>
      </c>
      <c r="E33" s="7" t="s">
        <v>17</v>
      </c>
      <c r="F33" s="12">
        <v>45982</v>
      </c>
      <c r="G33" s="13">
        <v>0.77083333333333337</v>
      </c>
      <c r="H33" s="1" t="s">
        <v>9</v>
      </c>
      <c r="I33" s="1" t="s">
        <v>10</v>
      </c>
      <c r="J33" s="1">
        <v>18</v>
      </c>
      <c r="K33" s="14">
        <f>VLOOKUP($C33,Sheet2!$A$2:$D$10,4,0)</f>
        <v>18</v>
      </c>
      <c r="L33" s="14" t="str">
        <f>VLOOKUP($C33,Sheet2!$A$2:$E$10,5,0)</f>
        <v>Trolley (H)</v>
      </c>
      <c r="M33" s="14"/>
      <c r="N33" s="64"/>
      <c r="O33" s="1" t="s">
        <v>528</v>
      </c>
      <c r="P33" s="1" t="s">
        <v>1020</v>
      </c>
    </row>
    <row r="34" spans="1:16" x14ac:dyDescent="0.25">
      <c r="A34" s="15" t="s">
        <v>1077</v>
      </c>
      <c r="B34" s="16" t="s">
        <v>1041</v>
      </c>
      <c r="C34" s="1" t="s">
        <v>23</v>
      </c>
      <c r="D34" s="1" t="str">
        <f>VLOOKUP($C34,Sheet2!$A$2:$B$10,2,0)</f>
        <v>141185-74670</v>
      </c>
      <c r="E34" s="7" t="s">
        <v>24</v>
      </c>
      <c r="F34" s="12">
        <v>45982</v>
      </c>
      <c r="G34" s="13">
        <v>0.77083333333333337</v>
      </c>
      <c r="H34" s="1" t="s">
        <v>9</v>
      </c>
      <c r="I34" s="1" t="s">
        <v>10</v>
      </c>
      <c r="J34" s="1">
        <v>40</v>
      </c>
      <c r="K34" s="14">
        <f>VLOOKUP($C34,Sheet2!$A$2:$D$10,4,0)</f>
        <v>40</v>
      </c>
      <c r="L34" s="14" t="str">
        <f>VLOOKUP($C34,Sheet2!$A$2:$E$10,5,0)</f>
        <v>Trolley</v>
      </c>
      <c r="M34" s="14"/>
      <c r="N34" s="1">
        <f>J34/K34</f>
        <v>1</v>
      </c>
      <c r="O34" s="1" t="s">
        <v>528</v>
      </c>
      <c r="P34" s="1">
        <v>910102103</v>
      </c>
    </row>
    <row r="35" spans="1:16" x14ac:dyDescent="0.25">
      <c r="A35" s="15" t="s">
        <v>1077</v>
      </c>
      <c r="B35" s="16" t="s">
        <v>1046</v>
      </c>
      <c r="C35" s="1" t="s">
        <v>29</v>
      </c>
      <c r="D35" s="1" t="str">
        <f>VLOOKUP($C35,Sheet2!$A$2:$B$10,2,0)</f>
        <v>141140-91211</v>
      </c>
      <c r="E35" s="7" t="s">
        <v>30</v>
      </c>
      <c r="F35" s="12">
        <v>45982</v>
      </c>
      <c r="G35" s="13">
        <v>0.77083333333333337</v>
      </c>
      <c r="H35" s="1" t="s">
        <v>31</v>
      </c>
      <c r="I35" s="1" t="s">
        <v>10</v>
      </c>
      <c r="J35" s="1">
        <v>20</v>
      </c>
      <c r="K35" s="14">
        <f>VLOOKUP($C35,Sheet2!$A$2:$D$10,4,0)</f>
        <v>2</v>
      </c>
      <c r="L35" s="14" t="str">
        <f>VLOOKUP($C35,Sheet2!$A$2:$E$10,5,0)</f>
        <v>Bin</v>
      </c>
      <c r="M35" s="14">
        <f t="shared" ref="M35:M36" si="4">J35/K35</f>
        <v>10</v>
      </c>
      <c r="N35" s="1"/>
      <c r="O35" s="1" t="s">
        <v>528</v>
      </c>
      <c r="P35" s="1" t="s">
        <v>1023</v>
      </c>
    </row>
    <row r="36" spans="1:16" x14ac:dyDescent="0.25">
      <c r="A36" s="15" t="s">
        <v>1077</v>
      </c>
      <c r="B36" s="16" t="s">
        <v>1051</v>
      </c>
      <c r="C36" s="1" t="s">
        <v>37</v>
      </c>
      <c r="D36" s="1" t="str">
        <f>VLOOKUP($C36,Sheet2!$A$2:$B$10,2,0)</f>
        <v>141150-91211</v>
      </c>
      <c r="E36" s="7" t="s">
        <v>38</v>
      </c>
      <c r="F36" s="12">
        <v>45982</v>
      </c>
      <c r="G36" s="13">
        <v>0.77083333333333337</v>
      </c>
      <c r="H36" s="1" t="s">
        <v>31</v>
      </c>
      <c r="I36" s="1" t="s">
        <v>10</v>
      </c>
      <c r="J36" s="1">
        <v>20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si="4"/>
        <v>10</v>
      </c>
      <c r="N36" s="1"/>
      <c r="O36" s="1" t="s">
        <v>528</v>
      </c>
      <c r="P36" s="1" t="s">
        <v>1023</v>
      </c>
    </row>
    <row r="37" spans="1:16" x14ac:dyDescent="0.25">
      <c r="A37" s="15" t="s">
        <v>1077</v>
      </c>
      <c r="B37" s="16" t="s">
        <v>1055</v>
      </c>
      <c r="C37" s="1" t="s">
        <v>45</v>
      </c>
      <c r="D37" s="1" t="str">
        <f>VLOOKUP($C37,Sheet2!$A$2:$B$10,2,0)</f>
        <v>141186-74360</v>
      </c>
      <c r="E37" s="7" t="s">
        <v>46</v>
      </c>
      <c r="F37" s="12">
        <v>45982</v>
      </c>
      <c r="G37" s="13">
        <v>0.77083333333333337</v>
      </c>
      <c r="H37" s="1" t="s">
        <v>31</v>
      </c>
      <c r="I37" s="1" t="s">
        <v>10</v>
      </c>
      <c r="J37" s="1">
        <v>40</v>
      </c>
      <c r="K37" s="14">
        <f>VLOOKUP($C37,Sheet2!$A$2:$D$10,4,0)</f>
        <v>40</v>
      </c>
      <c r="L37" s="14" t="str">
        <f>VLOOKUP($C37,Sheet2!$A$2:$E$10,5,0)</f>
        <v>Trolley</v>
      </c>
      <c r="M37" s="14"/>
      <c r="N37" s="1">
        <f>J37/K37</f>
        <v>1</v>
      </c>
      <c r="O37" s="1" t="s">
        <v>528</v>
      </c>
      <c r="P37" s="1">
        <v>910102786</v>
      </c>
    </row>
    <row r="38" spans="1:16" x14ac:dyDescent="0.25">
      <c r="A38" s="15" t="s">
        <v>1078</v>
      </c>
      <c r="B38" s="16" t="s">
        <v>1060</v>
      </c>
      <c r="C38" s="1" t="s">
        <v>50</v>
      </c>
      <c r="D38" s="1" t="str">
        <f>VLOOKUP($C38,Sheet2!$A$2:$B$10,2,0)</f>
        <v>116040-92240</v>
      </c>
      <c r="E38" s="7" t="s">
        <v>51</v>
      </c>
      <c r="F38" s="12">
        <v>45982</v>
      </c>
      <c r="G38" s="13">
        <v>0.77083333333333337</v>
      </c>
      <c r="H38" s="1" t="s">
        <v>52</v>
      </c>
      <c r="I38" s="1" t="s">
        <v>10</v>
      </c>
      <c r="J38" s="1">
        <v>18</v>
      </c>
      <c r="K38" s="14">
        <f>VLOOKUP($C38,Sheet2!$A$2:$D$10,4,0)</f>
        <v>6</v>
      </c>
      <c r="L38" s="14" t="str">
        <f>VLOOKUP($C38,Sheet2!$A$2:$E$10,5,0)</f>
        <v>Bin</v>
      </c>
      <c r="M38" s="14">
        <f t="shared" ref="M38:M40" si="5">J38/K38</f>
        <v>3</v>
      </c>
      <c r="N38" s="1"/>
      <c r="O38" s="1" t="s">
        <v>528</v>
      </c>
      <c r="P38" s="1" t="s">
        <v>463</v>
      </c>
    </row>
    <row r="39" spans="1:16" x14ac:dyDescent="0.25">
      <c r="A39" s="15" t="s">
        <v>1078</v>
      </c>
      <c r="B39" s="16" t="s">
        <v>1065</v>
      </c>
      <c r="C39" s="1" t="s">
        <v>59</v>
      </c>
      <c r="D39" s="1" t="str">
        <f>VLOOKUP($C39,Sheet2!$A$2:$B$10,2,0)</f>
        <v>114010-50820</v>
      </c>
      <c r="E39" s="7" t="s">
        <v>60</v>
      </c>
      <c r="F39" s="12">
        <v>45982</v>
      </c>
      <c r="G39" s="13">
        <v>0.77083333333333337</v>
      </c>
      <c r="H39" s="1" t="s">
        <v>52</v>
      </c>
      <c r="I39" s="1" t="s">
        <v>10</v>
      </c>
      <c r="J39" s="1">
        <v>7</v>
      </c>
      <c r="K39" s="14">
        <f>VLOOKUP($C39,Sheet2!$A$2:$D$10,4,0)</f>
        <v>1</v>
      </c>
      <c r="L39" s="14" t="str">
        <f>VLOOKUP($C39,Sheet2!$A$2:$E$10,5,0)</f>
        <v>Bin</v>
      </c>
      <c r="M39" s="14">
        <f t="shared" si="5"/>
        <v>7</v>
      </c>
      <c r="N39" s="1"/>
      <c r="O39" s="1" t="s">
        <v>528</v>
      </c>
      <c r="P39" s="1" t="s">
        <v>1019</v>
      </c>
    </row>
    <row r="40" spans="1:16" ht="15.75" thickBot="1" x14ac:dyDescent="0.3">
      <c r="A40" s="15" t="s">
        <v>1078</v>
      </c>
      <c r="B40" s="16" t="s">
        <v>1070</v>
      </c>
      <c r="C40" s="1" t="s">
        <v>67</v>
      </c>
      <c r="D40" s="1" t="str">
        <f>VLOOKUP($C40,Sheet2!$A$2:$B$10,2,0)</f>
        <v>114010-50830</v>
      </c>
      <c r="E40" s="7" t="s">
        <v>60</v>
      </c>
      <c r="F40" s="12">
        <v>45982</v>
      </c>
      <c r="G40" s="27">
        <v>0.77083333333333337</v>
      </c>
      <c r="H40" s="1" t="s">
        <v>52</v>
      </c>
      <c r="I40" s="1" t="s">
        <v>10</v>
      </c>
      <c r="J40" s="1">
        <v>13</v>
      </c>
      <c r="K40" s="14">
        <f>VLOOKUP($C40,Sheet2!$A$2:$D$10,4,0)</f>
        <v>1</v>
      </c>
      <c r="L40" s="14" t="str">
        <f>VLOOKUP($C40,Sheet2!$A$2:$E$10,5,0)</f>
        <v>Bin</v>
      </c>
      <c r="M40" s="14">
        <f t="shared" si="5"/>
        <v>13</v>
      </c>
      <c r="N40" s="1"/>
      <c r="O40" s="1" t="s">
        <v>528</v>
      </c>
      <c r="P40" s="1" t="s">
        <v>1026</v>
      </c>
    </row>
    <row r="41" spans="1:16" ht="15.75" thickTop="1" x14ac:dyDescent="0.25">
      <c r="A41" s="15" t="s">
        <v>1081</v>
      </c>
      <c r="B41" s="16" t="s">
        <v>1032</v>
      </c>
      <c r="C41" s="1" t="s">
        <v>7</v>
      </c>
      <c r="D41" s="1" t="str">
        <f>VLOOKUP($C41,Sheet2!$A$2:$B$10,2,0)</f>
        <v>141110-14600</v>
      </c>
      <c r="E41" s="7" t="s">
        <v>8</v>
      </c>
      <c r="F41" s="12">
        <v>45982</v>
      </c>
      <c r="G41" s="28">
        <v>0.8125</v>
      </c>
      <c r="H41" s="1" t="s">
        <v>9</v>
      </c>
      <c r="I41" s="1" t="s">
        <v>10</v>
      </c>
      <c r="J41" s="1">
        <v>36</v>
      </c>
      <c r="K41" s="14">
        <f>VLOOKUP($C41,Sheet2!$A$2:$D$10,4,0)</f>
        <v>18</v>
      </c>
      <c r="L41" s="14" t="str">
        <f>VLOOKUP($C41,Sheet2!$A$2:$E$10,5,0)</f>
        <v>Trolley (H)</v>
      </c>
      <c r="M41" s="14"/>
      <c r="N41" s="63">
        <v>2</v>
      </c>
      <c r="O41" s="1" t="s">
        <v>528</v>
      </c>
      <c r="P41" s="1" t="s">
        <v>1020</v>
      </c>
    </row>
    <row r="42" spans="1:16" x14ac:dyDescent="0.25">
      <c r="A42" s="15" t="s">
        <v>1081</v>
      </c>
      <c r="B42" s="16" t="s">
        <v>1037</v>
      </c>
      <c r="C42" s="1" t="s">
        <v>16</v>
      </c>
      <c r="D42" s="1" t="str">
        <f>VLOOKUP($C42,Sheet2!$A$2:$B$10,2,0)</f>
        <v>141120-14600</v>
      </c>
      <c r="E42" s="7" t="s">
        <v>17</v>
      </c>
      <c r="F42" s="12">
        <v>45982</v>
      </c>
      <c r="G42" s="13">
        <v>0.8125</v>
      </c>
      <c r="H42" s="1" t="s">
        <v>9</v>
      </c>
      <c r="I42" s="1" t="s">
        <v>10</v>
      </c>
      <c r="J42" s="1">
        <v>36</v>
      </c>
      <c r="K42" s="14">
        <f>VLOOKUP($C42,Sheet2!$A$2:$D$10,4,0)</f>
        <v>18</v>
      </c>
      <c r="L42" s="14" t="str">
        <f>VLOOKUP($C42,Sheet2!$A$2:$E$10,5,0)</f>
        <v>Trolley (H)</v>
      </c>
      <c r="M42" s="14"/>
      <c r="N42" s="64"/>
      <c r="O42" s="1" t="s">
        <v>528</v>
      </c>
      <c r="P42" s="1" t="s">
        <v>1287</v>
      </c>
    </row>
    <row r="43" spans="1:16" x14ac:dyDescent="0.25">
      <c r="A43" s="15" t="s">
        <v>1081</v>
      </c>
      <c r="B43" s="16" t="s">
        <v>1056</v>
      </c>
      <c r="C43" s="1" t="s">
        <v>45</v>
      </c>
      <c r="D43" s="1" t="str">
        <f>VLOOKUP($C43,Sheet2!$A$2:$B$10,2,0)</f>
        <v>141186-74360</v>
      </c>
      <c r="E43" s="7" t="s">
        <v>46</v>
      </c>
      <c r="F43" s="12">
        <v>45982</v>
      </c>
      <c r="G43" s="13">
        <v>0.8125</v>
      </c>
      <c r="H43" s="1" t="s">
        <v>31</v>
      </c>
      <c r="I43" s="1" t="s">
        <v>10</v>
      </c>
      <c r="J43" s="1">
        <v>80</v>
      </c>
      <c r="K43" s="14">
        <f>VLOOKUP($C43,Sheet2!$A$2:$D$10,4,0)</f>
        <v>40</v>
      </c>
      <c r="L43" s="14" t="str">
        <f>VLOOKUP($C43,Sheet2!$A$2:$E$10,5,0)</f>
        <v>Trolley</v>
      </c>
      <c r="M43" s="14"/>
      <c r="N43" s="1">
        <f>J43/K43</f>
        <v>2</v>
      </c>
      <c r="O43" s="1" t="s">
        <v>528</v>
      </c>
      <c r="P43" s="1" t="s">
        <v>1288</v>
      </c>
    </row>
    <row r="44" spans="1:16" x14ac:dyDescent="0.25">
      <c r="A44" s="15" t="s">
        <v>1082</v>
      </c>
      <c r="B44" s="16" t="s">
        <v>1066</v>
      </c>
      <c r="C44" s="1" t="s">
        <v>59</v>
      </c>
      <c r="D44" s="1" t="str">
        <f>VLOOKUP($C44,Sheet2!$A$2:$B$10,2,0)</f>
        <v>114010-50820</v>
      </c>
      <c r="E44" s="7" t="s">
        <v>60</v>
      </c>
      <c r="F44" s="12">
        <v>45982</v>
      </c>
      <c r="G44" s="13">
        <v>0.8125</v>
      </c>
      <c r="H44" s="1" t="s">
        <v>52</v>
      </c>
      <c r="I44" s="1" t="s">
        <v>10</v>
      </c>
      <c r="J44" s="1">
        <v>10</v>
      </c>
      <c r="K44" s="14">
        <f>VLOOKUP($C44,Sheet2!$A$2:$D$10,4,0)</f>
        <v>1</v>
      </c>
      <c r="L44" s="14" t="str">
        <f>VLOOKUP($C44,Sheet2!$A$2:$E$10,5,0)</f>
        <v>Bin</v>
      </c>
      <c r="M44" s="14">
        <f t="shared" ref="M44" si="6">J44/K44</f>
        <v>10</v>
      </c>
      <c r="N44" s="1"/>
      <c r="O44" s="1" t="s">
        <v>528</v>
      </c>
      <c r="P44" s="1" t="s">
        <v>1019</v>
      </c>
    </row>
    <row r="45" spans="1:16" s="20" customForma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>
        <v>53</v>
      </c>
      <c r="N45" s="9">
        <v>7</v>
      </c>
      <c r="O45" s="9"/>
      <c r="P45" s="9"/>
    </row>
    <row r="46" spans="1:16" ht="12.75" customHeight="1" x14ac:dyDescent="0.25">
      <c r="B46" s="45" t="s">
        <v>1072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7"/>
    </row>
  </sheetData>
  <mergeCells count="8">
    <mergeCell ref="N32:N33"/>
    <mergeCell ref="N41:N42"/>
    <mergeCell ref="A1:F1"/>
    <mergeCell ref="J1:N1"/>
    <mergeCell ref="L2:N2"/>
    <mergeCell ref="N4:N5"/>
    <mergeCell ref="N6:N7"/>
    <mergeCell ref="N22:N23"/>
  </mergeCells>
  <conditionalFormatting sqref="B2">
    <cfRule type="duplicateValues" dxfId="356" priority="48"/>
    <cfRule type="duplicateValues" dxfId="355" priority="47"/>
  </conditionalFormatting>
  <conditionalFormatting sqref="B4:B20 B22:B30 B32:B44">
    <cfRule type="duplicateValues" dxfId="354" priority="129"/>
  </conditionalFormatting>
  <conditionalFormatting sqref="C2:D2">
    <cfRule type="duplicateValues" dxfId="353" priority="50"/>
    <cfRule type="duplicateValues" dxfId="352" priority="49"/>
  </conditionalFormatting>
  <conditionalFormatting sqref="D3">
    <cfRule type="duplicateValues" dxfId="349" priority="46"/>
    <cfRule type="duplicateValues" dxfId="348" priority="45"/>
  </conditionalFormatting>
  <conditionalFormatting sqref="D21">
    <cfRule type="duplicateValues" dxfId="343" priority="29"/>
    <cfRule type="duplicateValues" dxfId="342" priority="28"/>
  </conditionalFormatting>
  <conditionalFormatting sqref="D31">
    <cfRule type="duplicateValues" dxfId="341" priority="4"/>
    <cfRule type="duplicateValues" dxfId="340" priority="5"/>
  </conditionalFormatting>
  <conditionalFormatting sqref="D45">
    <cfRule type="duplicateValues" dxfId="338" priority="10"/>
    <cfRule type="duplicateValues" dxfId="336" priority="11"/>
  </conditionalFormatting>
  <hyperlinks>
    <hyperlink ref="B46" r:id="rId1" display="http://192.168.1.249/downloads/temp/X539_eNagare_20251120.log" xr:uid="{DC1BAF2B-9CD7-4E2A-984E-E6638F7018F1}"/>
  </hyperlinks>
  <pageMargins left="0.17" right="0.17" top="0.17" bottom="0.17" header="0.17" footer="0.3"/>
  <pageSetup paperSize="9" scale="59" orientation="landscape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9" operator="containsText" text="17521M68PA0" id="{4897BC29-6BBE-4C95-912D-0F73E79E4531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C4:D20 C22:D30 C32:D44</xm:sqref>
        </x14:conditionalFormatting>
        <x14:conditionalFormatting xmlns:xm="http://schemas.microsoft.com/office/excel/2006/main">
          <x14:cfRule type="containsText" priority="55" operator="containsText" text="17521M68PA0" id="{E20D458E-BD70-46EF-AC5C-4A1ECCE2DA8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6" operator="containsText" text="17521M74T00" id="{0C87A77D-AB8B-489B-8568-211AFE40CE80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7" operator="containsText" text="17521M68PA0" id="{B6FFDBF9-1125-4E77-A585-C71EB453060A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8" operator="containsText" text="17521M74T00" id="{2835A16A-8930-4E9B-B133-2285BA575290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D4:D20 D22:D30 D32:D44</xm:sqref>
        </x14:conditionalFormatting>
        <x14:conditionalFormatting xmlns:xm="http://schemas.microsoft.com/office/excel/2006/main">
          <x14:cfRule type="containsText" priority="30" operator="containsText" text="17521M68PA0" id="{38B2383F-6A15-40CA-A2DA-0747FBE7625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containsText" priority="6" operator="containsText" text="17521M68PA0" id="{4A39D381-C658-46BD-AAF5-194129AA32E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containsText" priority="12" operator="containsText" text="17521M68PA0" id="{26EA6CB6-7985-4AF2-9288-FEE70D3C2BDA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D45</xm:sqref>
        </x14:conditionalFormatting>
        <x14:conditionalFormatting xmlns:xm="http://schemas.microsoft.com/office/excel/2006/main">
          <x14:cfRule type="containsText" priority="51" operator="containsText" text="17521M68PA0" id="{B1816F62-DC87-485E-80D1-2C25EB7100B4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2" operator="containsText" text="17521M74T00" id="{00EDE3EA-ADD6-4049-98C0-DC0FAD2D99D3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2" operator="containsText" text="BELT,WATER PUMP - 7PK 975" id="{26A5C5E8-BEB3-42B4-A8F8-C196848AA7E8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41" operator="containsText" text="BELT,WATER PUMP - 5PK 913" id="{8AD12091-209C-4252-BAA1-ACEA39D15E00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E3:E45</xm:sqref>
        </x14:conditionalFormatting>
        <x14:conditionalFormatting xmlns:xm="http://schemas.microsoft.com/office/excel/2006/main">
          <x14:cfRule type="containsText" priority="25" operator="containsText" text="BELT,WATER PUMP - 7PK 975" id="{D2B3093C-9EA0-4EDB-B702-D453A181484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containsText" priority="1" operator="containsText" text="BELT,WATER PUMP - 7PK 975" id="{57D37408-5B05-4352-A617-2AED8484889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E31</xm:sqref>
        </x14:conditionalFormatting>
        <x14:conditionalFormatting xmlns:xm="http://schemas.microsoft.com/office/excel/2006/main">
          <x14:cfRule type="containsText" priority="7" operator="containsText" text="BELT,WATER PUMP - 7PK 975" id="{F050CDA4-9563-42B2-8773-33B5F61990B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E45</xm:sqref>
        </x14:conditionalFormatting>
        <x14:conditionalFormatting xmlns:xm="http://schemas.microsoft.com/office/excel/2006/main">
          <x14:cfRule type="containsText" priority="53" operator="containsText" text="BELT,WATER PUMP - 5PK 913" id="{27509DC0-68D5-4B1E-A708-555991659E74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4" operator="containsText" text="BELT,WATER PUMP - 7PK 975" id="{B8AC6220-177F-492A-B15C-E74584870BAD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3" operator="containsText" text="5PK 913" id="{D0256BFA-A3DF-43C5-8267-3B7C46A54EEE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4" operator="containsText" text="7PK 975" id="{9E03BBDA-210A-442C-912F-6F94D1071FEF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7" operator="containsText" text="7PK 975" id="{4FD93F10-4742-40BA-A0F1-6A764BC5B7B3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6" operator="containsText" text="5PK 913" id="{6E5DB014-EE91-4F18-99FB-3DE866DD28F0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P21</xm:sqref>
        </x14:conditionalFormatting>
        <x14:conditionalFormatting xmlns:xm="http://schemas.microsoft.com/office/excel/2006/main">
          <x14:cfRule type="containsText" priority="2" operator="containsText" text="5PK 913" id="{FAB3FB16-1AA5-4276-8F71-C9ED66785D86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7PK 975" id="{50B324B9-D827-41EB-A9D0-D6C2BDE0A7A5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P31</xm:sqref>
        </x14:conditionalFormatting>
        <x14:conditionalFormatting xmlns:xm="http://schemas.microsoft.com/office/excel/2006/main">
          <x14:cfRule type="containsText" priority="8" operator="containsText" text="5PK 913" id="{77893713-5910-400B-AD64-6F7F6DE3A3E3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9" operator="containsText" text="7PK 975" id="{BCEBA7B9-6262-4F7E-BAEF-FA47231A04F8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P45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8B55-5534-4972-A9B0-F2187E5BFBC5}">
  <sheetPr>
    <pageSetUpPr fitToPage="1"/>
  </sheetPr>
  <dimension ref="A1:P58"/>
  <sheetViews>
    <sheetView topLeftCell="A7" zoomScaleNormal="100" workbookViewId="0">
      <selection activeCell="A4" sqref="A4:XFD58"/>
    </sheetView>
  </sheetViews>
  <sheetFormatPr defaultColWidth="45.5703125" defaultRowHeight="15" x14ac:dyDescent="0.25"/>
  <cols>
    <col min="1" max="1" width="15.42578125" bestFit="1" customWidth="1"/>
    <col min="2" max="2" width="16.7109375" bestFit="1" customWidth="1"/>
    <col min="3" max="3" width="14.140625" bestFit="1" customWidth="1"/>
    <col min="4" max="4" width="14.140625" customWidth="1"/>
    <col min="5" max="5" width="32.5703125" bestFit="1" customWidth="1"/>
    <col min="6" max="6" width="12.7109375" bestFit="1" customWidth="1"/>
    <col min="7" max="7" width="12.5703125" bestFit="1" customWidth="1"/>
    <col min="8" max="8" width="16.140625" bestFit="1" customWidth="1"/>
    <col min="9" max="9" width="4.7109375" bestFit="1" customWidth="1"/>
    <col min="10" max="10" width="8" bestFit="1" customWidth="1"/>
    <col min="11" max="11" width="9" customWidth="1"/>
    <col min="12" max="12" width="10.28515625" customWidth="1"/>
    <col min="13" max="13" width="7.140625" bestFit="1" customWidth="1"/>
    <col min="14" max="14" width="7.85546875" bestFit="1" customWidth="1"/>
    <col min="15" max="15" width="10.7109375" customWidth="1"/>
    <col min="16" max="16" width="54.28515625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45983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1128</v>
      </c>
      <c r="B4" s="16" t="s">
        <v>1042</v>
      </c>
      <c r="C4" s="1" t="s">
        <v>23</v>
      </c>
      <c r="D4" s="1" t="str">
        <f>VLOOKUP($C4,Sheet2!$A$2:$B$10,2,0)</f>
        <v>141185-74670</v>
      </c>
      <c r="E4" s="7" t="s">
        <v>24</v>
      </c>
      <c r="F4" s="12">
        <v>45983</v>
      </c>
      <c r="G4" s="13">
        <v>0.27083333333333331</v>
      </c>
      <c r="H4" s="1" t="s">
        <v>9</v>
      </c>
      <c r="I4" s="1" t="s">
        <v>10</v>
      </c>
      <c r="J4" s="1">
        <v>40</v>
      </c>
      <c r="K4" s="14">
        <f>VLOOKUP($C4,Sheet2!$A$2:$D$10,4,0)</f>
        <v>40</v>
      </c>
      <c r="L4" s="14" t="str">
        <f>VLOOKUP($C4,Sheet2!$A$2:$E$10,5,0)</f>
        <v>Trolley</v>
      </c>
      <c r="M4" s="14"/>
      <c r="N4" s="1">
        <f>J4/K4</f>
        <v>1</v>
      </c>
      <c r="O4" s="1" t="s">
        <v>166</v>
      </c>
      <c r="P4" s="1">
        <v>910102103</v>
      </c>
    </row>
    <row r="5" spans="1:16" x14ac:dyDescent="0.25">
      <c r="A5" s="15" t="s">
        <v>1128</v>
      </c>
      <c r="B5" s="16" t="s">
        <v>1047</v>
      </c>
      <c r="C5" s="1" t="s">
        <v>29</v>
      </c>
      <c r="D5" s="1" t="str">
        <f>VLOOKUP($C5,Sheet2!$A$2:$B$10,2,0)</f>
        <v>141140-91211</v>
      </c>
      <c r="E5" s="7" t="s">
        <v>30</v>
      </c>
      <c r="F5" s="12">
        <v>45983</v>
      </c>
      <c r="G5" s="13">
        <v>0.27083333333333331</v>
      </c>
      <c r="H5" s="1" t="s">
        <v>31</v>
      </c>
      <c r="I5" s="1" t="s">
        <v>10</v>
      </c>
      <c r="J5" s="1">
        <v>24</v>
      </c>
      <c r="K5" s="14">
        <f>VLOOKUP($C5,Sheet2!$A$2:$D$10,4,0)</f>
        <v>2</v>
      </c>
      <c r="L5" s="14" t="str">
        <f>VLOOKUP($C5,Sheet2!$A$2:$E$10,5,0)</f>
        <v>Bin</v>
      </c>
      <c r="M5" s="14">
        <f>J5/K5</f>
        <v>12</v>
      </c>
      <c r="N5" s="1"/>
      <c r="O5" s="1" t="s">
        <v>166</v>
      </c>
      <c r="P5" s="1" t="s">
        <v>1023</v>
      </c>
    </row>
    <row r="6" spans="1:16" x14ac:dyDescent="0.25">
      <c r="A6" s="15" t="s">
        <v>1128</v>
      </c>
      <c r="B6" s="16" t="s">
        <v>1052</v>
      </c>
      <c r="C6" s="1" t="s">
        <v>37</v>
      </c>
      <c r="D6" s="1" t="str">
        <f>VLOOKUP($C6,Sheet2!$A$2:$B$10,2,0)</f>
        <v>141150-91211</v>
      </c>
      <c r="E6" s="7" t="s">
        <v>38</v>
      </c>
      <c r="F6" s="12">
        <v>45983</v>
      </c>
      <c r="G6" s="13">
        <v>0.27083333333333331</v>
      </c>
      <c r="H6" s="1" t="s">
        <v>31</v>
      </c>
      <c r="I6" s="1" t="s">
        <v>10</v>
      </c>
      <c r="J6" s="1">
        <v>24</v>
      </c>
      <c r="K6" s="14">
        <f>VLOOKUP($C6,Sheet2!$A$2:$D$10,4,0)</f>
        <v>2</v>
      </c>
      <c r="L6" s="14" t="str">
        <f>VLOOKUP($C6,Sheet2!$A$2:$E$10,5,0)</f>
        <v>Bin</v>
      </c>
      <c r="M6" s="14">
        <f t="shared" ref="M6:M8" si="0">J6/K6</f>
        <v>12</v>
      </c>
      <c r="N6" s="1"/>
      <c r="O6" s="1" t="s">
        <v>166</v>
      </c>
      <c r="P6" s="1" t="s">
        <v>1023</v>
      </c>
    </row>
    <row r="7" spans="1:16" x14ac:dyDescent="0.25">
      <c r="A7" s="15" t="s">
        <v>1129</v>
      </c>
      <c r="B7" s="16" t="s">
        <v>1061</v>
      </c>
      <c r="C7" s="1" t="s">
        <v>50</v>
      </c>
      <c r="D7" s="1" t="str">
        <f>VLOOKUP($C7,Sheet2!$A$2:$B$10,2,0)</f>
        <v>116040-92240</v>
      </c>
      <c r="E7" s="7" t="s">
        <v>51</v>
      </c>
      <c r="F7" s="12">
        <v>45983</v>
      </c>
      <c r="G7" s="13">
        <v>0.27083333333333331</v>
      </c>
      <c r="H7" s="1" t="s">
        <v>52</v>
      </c>
      <c r="I7" s="1" t="s">
        <v>10</v>
      </c>
      <c r="J7" s="1">
        <v>24</v>
      </c>
      <c r="K7" s="14">
        <f>VLOOKUP($C7,Sheet2!$A$2:$D$10,4,0)</f>
        <v>6</v>
      </c>
      <c r="L7" s="14" t="str">
        <f>VLOOKUP($C7,Sheet2!$A$2:$E$10,5,0)</f>
        <v>Bin</v>
      </c>
      <c r="M7" s="14">
        <f t="shared" si="0"/>
        <v>4</v>
      </c>
      <c r="N7" s="1"/>
      <c r="O7" s="1" t="s">
        <v>166</v>
      </c>
      <c r="P7" s="1" t="s">
        <v>591</v>
      </c>
    </row>
    <row r="8" spans="1:16" ht="15.75" thickBot="1" x14ac:dyDescent="0.3">
      <c r="A8" s="15" t="s">
        <v>1129</v>
      </c>
      <c r="B8" s="16" t="s">
        <v>1071</v>
      </c>
      <c r="C8" s="1" t="s">
        <v>67</v>
      </c>
      <c r="D8" s="1" t="str">
        <f>VLOOKUP($C8,Sheet2!$A$2:$B$10,2,0)</f>
        <v>114010-50830</v>
      </c>
      <c r="E8" s="7" t="s">
        <v>60</v>
      </c>
      <c r="F8" s="12">
        <v>45983</v>
      </c>
      <c r="G8" s="27">
        <v>0.27083333333333331</v>
      </c>
      <c r="H8" s="1" t="s">
        <v>52</v>
      </c>
      <c r="I8" s="1" t="s">
        <v>10</v>
      </c>
      <c r="J8" s="1">
        <v>14</v>
      </c>
      <c r="K8" s="14">
        <f>VLOOKUP($C8,Sheet2!$A$2:$D$10,4,0)</f>
        <v>1</v>
      </c>
      <c r="L8" s="14" t="str">
        <f>VLOOKUP($C8,Sheet2!$A$2:$E$10,5,0)</f>
        <v>Bin</v>
      </c>
      <c r="M8" s="14">
        <f t="shared" si="0"/>
        <v>14</v>
      </c>
      <c r="N8" s="1"/>
      <c r="O8" s="1" t="s">
        <v>166</v>
      </c>
      <c r="P8" s="1" t="s">
        <v>1026</v>
      </c>
    </row>
    <row r="9" spans="1:16" ht="15.75" thickTop="1" x14ac:dyDescent="0.25">
      <c r="A9" s="15" t="s">
        <v>1079</v>
      </c>
      <c r="B9" s="16" t="s">
        <v>1085</v>
      </c>
      <c r="C9" s="1" t="s">
        <v>7</v>
      </c>
      <c r="D9" s="1" t="str">
        <f>VLOOKUP($C9,Sheet2!$A$2:$B$10,2,0)</f>
        <v>141110-14600</v>
      </c>
      <c r="E9" s="7" t="s">
        <v>8</v>
      </c>
      <c r="F9" s="12">
        <v>45983</v>
      </c>
      <c r="G9" s="28">
        <v>0.35416666666666669</v>
      </c>
      <c r="H9" s="1" t="s">
        <v>9</v>
      </c>
      <c r="I9" s="1" t="s">
        <v>10</v>
      </c>
      <c r="J9" s="1">
        <v>18</v>
      </c>
      <c r="K9" s="14">
        <f>VLOOKUP($C9,Sheet2!$A$2:$D$10,4,0)</f>
        <v>18</v>
      </c>
      <c r="L9" s="14" t="str">
        <f>VLOOKUP($C9,Sheet2!$A$2:$E$10,5,0)</f>
        <v>Trolley (H)</v>
      </c>
      <c r="M9" s="14"/>
      <c r="N9" s="63">
        <v>1</v>
      </c>
      <c r="O9" s="1" t="s">
        <v>166</v>
      </c>
      <c r="P9" s="1" t="s">
        <v>1289</v>
      </c>
    </row>
    <row r="10" spans="1:16" x14ac:dyDescent="0.25">
      <c r="A10" s="15" t="s">
        <v>1079</v>
      </c>
      <c r="B10" s="16" t="s">
        <v>1089</v>
      </c>
      <c r="C10" s="1" t="s">
        <v>16</v>
      </c>
      <c r="D10" s="1" t="str">
        <f>VLOOKUP($C10,Sheet2!$A$2:$B$10,2,0)</f>
        <v>141120-14600</v>
      </c>
      <c r="E10" s="7" t="s">
        <v>17</v>
      </c>
      <c r="F10" s="12">
        <v>45983</v>
      </c>
      <c r="G10" s="13">
        <v>0.35416666666666669</v>
      </c>
      <c r="H10" s="1" t="s">
        <v>9</v>
      </c>
      <c r="I10" s="1" t="s">
        <v>10</v>
      </c>
      <c r="J10" s="1">
        <v>18</v>
      </c>
      <c r="K10" s="14">
        <f>VLOOKUP($C10,Sheet2!$A$2:$D$10,4,0)</f>
        <v>18</v>
      </c>
      <c r="L10" s="14" t="str">
        <f>VLOOKUP($C10,Sheet2!$A$2:$E$10,5,0)</f>
        <v>Trolley (H)</v>
      </c>
      <c r="M10" s="14"/>
      <c r="N10" s="64"/>
      <c r="O10" s="1" t="s">
        <v>166</v>
      </c>
      <c r="P10" s="1" t="s">
        <v>1289</v>
      </c>
    </row>
    <row r="11" spans="1:16" x14ac:dyDescent="0.25">
      <c r="A11" s="15" t="s">
        <v>1079</v>
      </c>
      <c r="B11" s="16" t="s">
        <v>1086</v>
      </c>
      <c r="C11" s="1" t="s">
        <v>7</v>
      </c>
      <c r="D11" s="1" t="str">
        <f>VLOOKUP($C11,Sheet2!$A$2:$B$10,2,0)</f>
        <v>141110-14600</v>
      </c>
      <c r="E11" s="7" t="s">
        <v>8</v>
      </c>
      <c r="F11" s="12">
        <v>45983</v>
      </c>
      <c r="G11" s="13">
        <v>0.35416666666666669</v>
      </c>
      <c r="H11" s="1" t="s">
        <v>9</v>
      </c>
      <c r="I11" s="1" t="s">
        <v>10</v>
      </c>
      <c r="J11" s="1">
        <v>18</v>
      </c>
      <c r="K11" s="14">
        <f>VLOOKUP($C11,Sheet2!$A$2:$D$10,4,0)</f>
        <v>18</v>
      </c>
      <c r="L11" s="14" t="str">
        <f>VLOOKUP($C11,Sheet2!$A$2:$E$10,5,0)</f>
        <v>Trolley (H)</v>
      </c>
      <c r="M11" s="14"/>
      <c r="N11" s="63">
        <v>1</v>
      </c>
      <c r="O11" s="1" t="s">
        <v>166</v>
      </c>
      <c r="P11" s="1" t="s">
        <v>1289</v>
      </c>
    </row>
    <row r="12" spans="1:16" x14ac:dyDescent="0.25">
      <c r="A12" s="15" t="s">
        <v>1079</v>
      </c>
      <c r="B12" s="16" t="s">
        <v>1090</v>
      </c>
      <c r="C12" s="1" t="s">
        <v>16</v>
      </c>
      <c r="D12" s="1" t="str">
        <f>VLOOKUP($C12,Sheet2!$A$2:$B$10,2,0)</f>
        <v>141120-14600</v>
      </c>
      <c r="E12" s="7" t="s">
        <v>17</v>
      </c>
      <c r="F12" s="12">
        <v>45983</v>
      </c>
      <c r="G12" s="13">
        <v>0.35416666666666669</v>
      </c>
      <c r="H12" s="1" t="s">
        <v>9</v>
      </c>
      <c r="I12" s="1" t="s">
        <v>10</v>
      </c>
      <c r="J12" s="1">
        <v>18</v>
      </c>
      <c r="K12" s="14">
        <f>VLOOKUP($C12,Sheet2!$A$2:$D$10,4,0)</f>
        <v>18</v>
      </c>
      <c r="L12" s="14" t="str">
        <f>VLOOKUP($C12,Sheet2!$A$2:$E$10,5,0)</f>
        <v>Trolley (H)</v>
      </c>
      <c r="M12" s="14"/>
      <c r="N12" s="64"/>
      <c r="O12" s="1" t="s">
        <v>166</v>
      </c>
      <c r="P12" s="1" t="s">
        <v>1289</v>
      </c>
    </row>
    <row r="13" spans="1:16" x14ac:dyDescent="0.25">
      <c r="A13" s="15" t="s">
        <v>1079</v>
      </c>
      <c r="B13" s="16" t="s">
        <v>1093</v>
      </c>
      <c r="C13" s="1" t="s">
        <v>23</v>
      </c>
      <c r="D13" s="1" t="str">
        <f>VLOOKUP($C13,Sheet2!$A$2:$B$10,2,0)</f>
        <v>141185-74670</v>
      </c>
      <c r="E13" s="7" t="s">
        <v>24</v>
      </c>
      <c r="F13" s="12">
        <v>45983</v>
      </c>
      <c r="G13" s="13">
        <v>0.35416666666666669</v>
      </c>
      <c r="H13" s="1" t="s">
        <v>9</v>
      </c>
      <c r="I13" s="1" t="s">
        <v>10</v>
      </c>
      <c r="J13" s="1">
        <v>40</v>
      </c>
      <c r="K13" s="14">
        <f>VLOOKUP($C13,Sheet2!$A$2:$D$10,4,0)</f>
        <v>40</v>
      </c>
      <c r="L13" s="14" t="str">
        <f>VLOOKUP($C13,Sheet2!$A$2:$E$10,5,0)</f>
        <v>Trolley</v>
      </c>
      <c r="M13" s="14"/>
      <c r="N13" s="1">
        <f t="shared" ref="N13:N20" si="1">J13/K13</f>
        <v>1</v>
      </c>
      <c r="O13" s="1" t="s">
        <v>166</v>
      </c>
      <c r="P13" s="1">
        <v>910102103</v>
      </c>
    </row>
    <row r="14" spans="1:16" x14ac:dyDescent="0.25">
      <c r="A14" s="15" t="s">
        <v>1079</v>
      </c>
      <c r="B14" s="16" t="s">
        <v>1098</v>
      </c>
      <c r="C14" s="1" t="s">
        <v>29</v>
      </c>
      <c r="D14" s="1" t="str">
        <f>VLOOKUP($C14,Sheet2!$A$2:$B$10,2,0)</f>
        <v>141140-91211</v>
      </c>
      <c r="E14" s="7" t="s">
        <v>30</v>
      </c>
      <c r="F14" s="12">
        <v>45983</v>
      </c>
      <c r="G14" s="13">
        <v>0.35416666666666669</v>
      </c>
      <c r="H14" s="1" t="s">
        <v>31</v>
      </c>
      <c r="I14" s="1" t="s">
        <v>10</v>
      </c>
      <c r="J14" s="1">
        <v>20</v>
      </c>
      <c r="K14" s="14">
        <f>VLOOKUP($C14,Sheet2!$A$2:$D$10,4,0)</f>
        <v>2</v>
      </c>
      <c r="L14" s="14" t="str">
        <f>VLOOKUP($C14,Sheet2!$A$2:$E$10,5,0)</f>
        <v>Bin</v>
      </c>
      <c r="M14" s="14">
        <f>J14/K14</f>
        <v>10</v>
      </c>
      <c r="N14" s="1"/>
      <c r="O14" s="1" t="s">
        <v>166</v>
      </c>
      <c r="P14" s="1" t="s">
        <v>1023</v>
      </c>
    </row>
    <row r="15" spans="1:16" x14ac:dyDescent="0.25">
      <c r="A15" s="15" t="s">
        <v>1079</v>
      </c>
      <c r="B15" s="16" t="s">
        <v>1099</v>
      </c>
      <c r="C15" s="16" t="s">
        <v>29</v>
      </c>
      <c r="D15" s="1" t="str">
        <f>VLOOKUP($C15,Sheet2!$A$2:$B$10,2,0)</f>
        <v>141140-91211</v>
      </c>
      <c r="E15" s="7" t="s">
        <v>30</v>
      </c>
      <c r="F15" s="12">
        <v>45983</v>
      </c>
      <c r="G15" s="13">
        <v>0.35416666666666669</v>
      </c>
      <c r="H15" s="1" t="s">
        <v>31</v>
      </c>
      <c r="I15" s="1" t="s">
        <v>10</v>
      </c>
      <c r="J15" s="1">
        <v>4</v>
      </c>
      <c r="K15" s="14">
        <f>VLOOKUP($C15,Sheet2!$A$2:$D$10,4,0)</f>
        <v>2</v>
      </c>
      <c r="L15" s="14" t="str">
        <f>VLOOKUP($C15,Sheet2!$A$2:$E$10,5,0)</f>
        <v>Bin</v>
      </c>
      <c r="M15" s="14">
        <f>J15/K15</f>
        <v>2</v>
      </c>
      <c r="N15" s="1"/>
      <c r="O15" s="1" t="s">
        <v>166</v>
      </c>
      <c r="P15" s="1" t="s">
        <v>1023</v>
      </c>
    </row>
    <row r="16" spans="1:16" x14ac:dyDescent="0.25">
      <c r="A16" s="15" t="s">
        <v>1079</v>
      </c>
      <c r="B16" s="16" t="s">
        <v>1103</v>
      </c>
      <c r="C16" s="1" t="s">
        <v>37</v>
      </c>
      <c r="D16" s="1" t="str">
        <f>VLOOKUP($C16,Sheet2!$A$2:$B$10,2,0)</f>
        <v>141150-91211</v>
      </c>
      <c r="E16" s="7" t="s">
        <v>38</v>
      </c>
      <c r="F16" s="12">
        <v>45983</v>
      </c>
      <c r="G16" s="13">
        <v>0.35416666666666669</v>
      </c>
      <c r="H16" s="1" t="s">
        <v>31</v>
      </c>
      <c r="I16" s="1" t="s">
        <v>10</v>
      </c>
      <c r="J16" s="1">
        <v>20</v>
      </c>
      <c r="K16" s="14">
        <f>VLOOKUP($C16,Sheet2!$A$2:$D$10,4,0)</f>
        <v>2</v>
      </c>
      <c r="L16" s="14" t="str">
        <f>VLOOKUP($C16,Sheet2!$A$2:$E$10,5,0)</f>
        <v>Bin</v>
      </c>
      <c r="M16" s="14">
        <f>J16/K16</f>
        <v>10</v>
      </c>
      <c r="N16" s="1"/>
      <c r="O16" s="1" t="s">
        <v>166</v>
      </c>
      <c r="P16" s="1" t="s">
        <v>1023</v>
      </c>
    </row>
    <row r="17" spans="1:16" x14ac:dyDescent="0.25">
      <c r="A17" s="15" t="s">
        <v>1079</v>
      </c>
      <c r="B17" s="16" t="s">
        <v>1104</v>
      </c>
      <c r="C17" s="16" t="s">
        <v>37</v>
      </c>
      <c r="D17" s="1" t="str">
        <f>VLOOKUP($C17,Sheet2!$A$2:$B$10,2,0)</f>
        <v>141150-91211</v>
      </c>
      <c r="E17" s="7" t="s">
        <v>38</v>
      </c>
      <c r="F17" s="12">
        <v>45983</v>
      </c>
      <c r="G17" s="13">
        <v>0.35416666666666669</v>
      </c>
      <c r="H17" s="1" t="s">
        <v>31</v>
      </c>
      <c r="I17" s="1" t="s">
        <v>10</v>
      </c>
      <c r="J17" s="1">
        <v>4</v>
      </c>
      <c r="K17" s="14">
        <f>VLOOKUP($C17,Sheet2!$A$2:$D$10,4,0)</f>
        <v>2</v>
      </c>
      <c r="L17" s="14" t="str">
        <f>VLOOKUP($C17,Sheet2!$A$2:$E$10,5,0)</f>
        <v>Bin</v>
      </c>
      <c r="M17" s="14">
        <f>J17/K17</f>
        <v>2</v>
      </c>
      <c r="N17" s="1"/>
      <c r="O17" s="1" t="s">
        <v>166</v>
      </c>
      <c r="P17" s="1" t="s">
        <v>1023</v>
      </c>
    </row>
    <row r="18" spans="1:16" x14ac:dyDescent="0.25">
      <c r="A18" s="15" t="s">
        <v>1079</v>
      </c>
      <c r="B18" s="16" t="s">
        <v>1108</v>
      </c>
      <c r="C18" s="1" t="s">
        <v>45</v>
      </c>
      <c r="D18" s="1" t="str">
        <f>VLOOKUP($C18,Sheet2!$A$2:$B$10,2,0)</f>
        <v>141186-74360</v>
      </c>
      <c r="E18" s="7" t="s">
        <v>46</v>
      </c>
      <c r="F18" s="12">
        <v>45983</v>
      </c>
      <c r="G18" s="13">
        <v>0.35416666666666669</v>
      </c>
      <c r="H18" s="1" t="s">
        <v>31</v>
      </c>
      <c r="I18" s="1" t="s">
        <v>10</v>
      </c>
      <c r="J18" s="1">
        <v>40</v>
      </c>
      <c r="K18" s="14">
        <f>VLOOKUP($C18,Sheet2!$A$2:$D$10,4,0)</f>
        <v>40</v>
      </c>
      <c r="L18" s="14" t="str">
        <f>VLOOKUP($C18,Sheet2!$A$2:$E$10,5,0)</f>
        <v>Trolley</v>
      </c>
      <c r="M18" s="14"/>
      <c r="N18" s="1">
        <f t="shared" ref="N18:N19" si="2">J18/K18</f>
        <v>1</v>
      </c>
      <c r="O18" s="1" t="s">
        <v>166</v>
      </c>
      <c r="P18" s="1">
        <v>910103038</v>
      </c>
    </row>
    <row r="19" spans="1:16" x14ac:dyDescent="0.25">
      <c r="A19" s="15" t="s">
        <v>1079</v>
      </c>
      <c r="B19" s="16" t="s">
        <v>1109</v>
      </c>
      <c r="C19" s="1" t="s">
        <v>45</v>
      </c>
      <c r="D19" s="1" t="str">
        <f>VLOOKUP($C19,Sheet2!$A$2:$B$10,2,0)</f>
        <v>141186-74360</v>
      </c>
      <c r="E19" s="7" t="s">
        <v>46</v>
      </c>
      <c r="F19" s="12">
        <v>45983</v>
      </c>
      <c r="G19" s="13">
        <v>0.35416666666666669</v>
      </c>
      <c r="H19" s="1" t="s">
        <v>31</v>
      </c>
      <c r="I19" s="1" t="s">
        <v>10</v>
      </c>
      <c r="J19" s="1">
        <v>40</v>
      </c>
      <c r="K19" s="14">
        <f>VLOOKUP($C19,Sheet2!$A$2:$D$10,4,0)</f>
        <v>40</v>
      </c>
      <c r="L19" s="14" t="str">
        <f>VLOOKUP($C19,Sheet2!$A$2:$E$10,5,0)</f>
        <v>Trolley</v>
      </c>
      <c r="M19" s="14"/>
      <c r="N19" s="1">
        <f t="shared" si="2"/>
        <v>1</v>
      </c>
      <c r="O19" s="1" t="s">
        <v>166</v>
      </c>
      <c r="P19" s="1">
        <v>910103038</v>
      </c>
    </row>
    <row r="20" spans="1:16" x14ac:dyDescent="0.25">
      <c r="A20" s="15" t="s">
        <v>1137</v>
      </c>
      <c r="B20" s="16" t="s">
        <v>1094</v>
      </c>
      <c r="C20" s="1" t="s">
        <v>23</v>
      </c>
      <c r="D20" s="1" t="str">
        <f>VLOOKUP($C20,Sheet2!$A$2:$B$10,2,0)</f>
        <v>141185-74670</v>
      </c>
      <c r="E20" s="7" t="s">
        <v>24</v>
      </c>
      <c r="F20" s="12">
        <v>45983</v>
      </c>
      <c r="G20" s="13">
        <v>0.35416666666666669</v>
      </c>
      <c r="H20" s="1" t="s">
        <v>9</v>
      </c>
      <c r="I20" s="1" t="s">
        <v>10</v>
      </c>
      <c r="J20" s="1">
        <v>40</v>
      </c>
      <c r="K20" s="14">
        <f>VLOOKUP($C20,Sheet2!$A$2:$D$10,4,0)</f>
        <v>40</v>
      </c>
      <c r="L20" s="14" t="str">
        <f>VLOOKUP($C20,Sheet2!$A$2:$E$10,5,0)</f>
        <v>Trolley</v>
      </c>
      <c r="M20" s="14"/>
      <c r="N20" s="1">
        <f t="shared" si="1"/>
        <v>1</v>
      </c>
      <c r="O20" s="1" t="s">
        <v>166</v>
      </c>
      <c r="P20" s="1">
        <v>910102103</v>
      </c>
    </row>
    <row r="21" spans="1:16" x14ac:dyDescent="0.25">
      <c r="A21" s="15" t="s">
        <v>1137</v>
      </c>
      <c r="B21" s="1" t="s">
        <v>1099</v>
      </c>
      <c r="C21" s="16" t="s">
        <v>29</v>
      </c>
      <c r="D21" s="1" t="str">
        <f>VLOOKUP($C21,Sheet2!$A$2:$B$10,2,0)</f>
        <v>141140-91211</v>
      </c>
      <c r="E21" s="7" t="s">
        <v>30</v>
      </c>
      <c r="F21" s="12">
        <v>45983</v>
      </c>
      <c r="G21" s="13">
        <v>0.35416666666666669</v>
      </c>
      <c r="H21" s="1" t="s">
        <v>31</v>
      </c>
      <c r="I21" s="1" t="s">
        <v>10</v>
      </c>
      <c r="J21" s="1">
        <v>16</v>
      </c>
      <c r="K21" s="14">
        <f>VLOOKUP($C21,Sheet2!$A$2:$D$10,4,0)</f>
        <v>2</v>
      </c>
      <c r="L21" s="14" t="str">
        <f>VLOOKUP($C21,Sheet2!$A$2:$E$10,5,0)</f>
        <v>Bin</v>
      </c>
      <c r="M21" s="14">
        <f t="shared" ref="M21:M22" si="3">J21/K21</f>
        <v>8</v>
      </c>
      <c r="N21" s="1"/>
      <c r="O21" s="1" t="s">
        <v>166</v>
      </c>
      <c r="P21" s="1" t="s">
        <v>1023</v>
      </c>
    </row>
    <row r="22" spans="1:16" x14ac:dyDescent="0.25">
      <c r="A22" s="15" t="s">
        <v>1137</v>
      </c>
      <c r="B22" s="1" t="s">
        <v>1104</v>
      </c>
      <c r="C22" s="16" t="s">
        <v>37</v>
      </c>
      <c r="D22" s="1" t="str">
        <f>VLOOKUP($C22,Sheet2!$A$2:$B$10,2,0)</f>
        <v>141150-91211</v>
      </c>
      <c r="E22" s="7" t="s">
        <v>38</v>
      </c>
      <c r="F22" s="12">
        <v>45983</v>
      </c>
      <c r="G22" s="13">
        <v>0.35416666666666669</v>
      </c>
      <c r="H22" s="1" t="s">
        <v>31</v>
      </c>
      <c r="I22" s="1" t="s">
        <v>10</v>
      </c>
      <c r="J22" s="1">
        <v>16</v>
      </c>
      <c r="K22" s="14">
        <f>VLOOKUP($C22,Sheet2!$A$2:$D$10,4,0)</f>
        <v>2</v>
      </c>
      <c r="L22" s="14" t="str">
        <f>VLOOKUP($C22,Sheet2!$A$2:$E$10,5,0)</f>
        <v>Bin</v>
      </c>
      <c r="M22" s="14">
        <f t="shared" si="3"/>
        <v>8</v>
      </c>
      <c r="N22" s="1"/>
      <c r="O22" s="1" t="s">
        <v>166</v>
      </c>
      <c r="P22" s="1" t="s">
        <v>1023</v>
      </c>
    </row>
    <row r="23" spans="1:16" x14ac:dyDescent="0.25">
      <c r="A23" s="15" t="s">
        <v>1080</v>
      </c>
      <c r="B23" s="16" t="s">
        <v>1113</v>
      </c>
      <c r="C23" s="1" t="s">
        <v>50</v>
      </c>
      <c r="D23" s="1" t="str">
        <f>VLOOKUP($C23,Sheet2!$A$2:$B$10,2,0)</f>
        <v>116040-92240</v>
      </c>
      <c r="E23" s="7" t="s">
        <v>51</v>
      </c>
      <c r="F23" s="12">
        <v>45983</v>
      </c>
      <c r="G23" s="13">
        <v>0.35416666666666669</v>
      </c>
      <c r="H23" s="1" t="s">
        <v>52</v>
      </c>
      <c r="I23" s="1" t="s">
        <v>10</v>
      </c>
      <c r="J23" s="1">
        <v>24</v>
      </c>
      <c r="K23" s="14">
        <f>VLOOKUP($C23,Sheet2!$A$2:$D$10,4,0)</f>
        <v>6</v>
      </c>
      <c r="L23" s="14" t="str">
        <f>VLOOKUP($C23,Sheet2!$A$2:$E$10,5,0)</f>
        <v>Bin</v>
      </c>
      <c r="M23" s="14">
        <f t="shared" ref="M23:M28" si="4">J23/K23</f>
        <v>4</v>
      </c>
      <c r="N23" s="1"/>
      <c r="O23" s="1" t="s">
        <v>166</v>
      </c>
      <c r="P23" s="1" t="s">
        <v>591</v>
      </c>
    </row>
    <row r="24" spans="1:16" x14ac:dyDescent="0.25">
      <c r="A24" s="15" t="s">
        <v>1080</v>
      </c>
      <c r="B24" s="16" t="s">
        <v>1118</v>
      </c>
      <c r="C24" s="1" t="s">
        <v>59</v>
      </c>
      <c r="D24" s="1" t="str">
        <f>VLOOKUP($C24,Sheet2!$A$2:$B$10,2,0)</f>
        <v>114010-50820</v>
      </c>
      <c r="E24" s="7" t="s">
        <v>60</v>
      </c>
      <c r="F24" s="12">
        <v>45983</v>
      </c>
      <c r="G24" s="13">
        <v>0.35416666666666669</v>
      </c>
      <c r="H24" s="1" t="s">
        <v>52</v>
      </c>
      <c r="I24" s="1" t="s">
        <v>10</v>
      </c>
      <c r="J24" s="1">
        <v>9</v>
      </c>
      <c r="K24" s="14">
        <f>VLOOKUP($C24,Sheet2!$A$2:$D$10,4,0)</f>
        <v>1</v>
      </c>
      <c r="L24" s="14" t="str">
        <f>VLOOKUP($C24,Sheet2!$A$2:$E$10,5,0)</f>
        <v>Bin</v>
      </c>
      <c r="M24" s="14">
        <f>J24/K24</f>
        <v>9</v>
      </c>
      <c r="N24" s="1"/>
      <c r="O24" s="1" t="s">
        <v>166</v>
      </c>
      <c r="P24" s="1" t="s">
        <v>1019</v>
      </c>
    </row>
    <row r="25" spans="1:16" x14ac:dyDescent="0.25">
      <c r="A25" s="15" t="s">
        <v>1080</v>
      </c>
      <c r="B25" s="16" t="s">
        <v>1119</v>
      </c>
      <c r="C25" s="16" t="s">
        <v>59</v>
      </c>
      <c r="D25" s="1" t="str">
        <f>VLOOKUP($C25,Sheet2!$A$2:$B$10,2,0)</f>
        <v>114010-50820</v>
      </c>
      <c r="E25" s="7" t="s">
        <v>60</v>
      </c>
      <c r="F25" s="12">
        <v>45983</v>
      </c>
      <c r="G25" s="13">
        <v>0.35416666666666669</v>
      </c>
      <c r="H25" s="1" t="s">
        <v>52</v>
      </c>
      <c r="I25" s="1" t="s">
        <v>10</v>
      </c>
      <c r="J25" s="1">
        <v>1</v>
      </c>
      <c r="K25" s="14">
        <f>VLOOKUP($C25,Sheet2!$A$2:$D$10,4,0)</f>
        <v>1</v>
      </c>
      <c r="L25" s="14" t="str">
        <f>VLOOKUP($C25,Sheet2!$A$2:$E$10,5,0)</f>
        <v>Bin</v>
      </c>
      <c r="M25" s="14">
        <f>J25/K25</f>
        <v>1</v>
      </c>
      <c r="N25" s="1"/>
      <c r="O25" s="1" t="s">
        <v>166</v>
      </c>
      <c r="P25" s="1" t="s">
        <v>1019</v>
      </c>
    </row>
    <row r="26" spans="1:16" x14ac:dyDescent="0.25">
      <c r="A26" s="15" t="s">
        <v>1080</v>
      </c>
      <c r="B26" s="16" t="s">
        <v>1123</v>
      </c>
      <c r="C26" s="1" t="s">
        <v>67</v>
      </c>
      <c r="D26" s="1" t="str">
        <f>VLOOKUP($C26,Sheet2!$A$2:$B$10,2,0)</f>
        <v>114010-50830</v>
      </c>
      <c r="E26" s="7" t="s">
        <v>60</v>
      </c>
      <c r="F26" s="12">
        <v>45983</v>
      </c>
      <c r="G26" s="13">
        <v>0.35416666666666669</v>
      </c>
      <c r="H26" s="1" t="s">
        <v>52</v>
      </c>
      <c r="I26" s="1" t="s">
        <v>10</v>
      </c>
      <c r="J26" s="1">
        <v>11</v>
      </c>
      <c r="K26" s="14">
        <f>VLOOKUP($C26,Sheet2!$A$2:$D$10,4,0)</f>
        <v>1</v>
      </c>
      <c r="L26" s="14" t="str">
        <f>VLOOKUP($C26,Sheet2!$A$2:$E$10,5,0)</f>
        <v>Bin</v>
      </c>
      <c r="M26" s="14">
        <f>J26/K26</f>
        <v>11</v>
      </c>
      <c r="N26" s="1"/>
      <c r="O26" s="1" t="s">
        <v>166</v>
      </c>
      <c r="P26" s="1" t="s">
        <v>1026</v>
      </c>
    </row>
    <row r="27" spans="1:16" x14ac:dyDescent="0.25">
      <c r="A27" s="15" t="s">
        <v>1080</v>
      </c>
      <c r="B27" s="16" t="s">
        <v>1124</v>
      </c>
      <c r="C27" s="16" t="s">
        <v>67</v>
      </c>
      <c r="D27" s="1" t="str">
        <f>VLOOKUP($C27,Sheet2!$A$2:$B$10,2,0)</f>
        <v>114010-50830</v>
      </c>
      <c r="E27" s="7" t="s">
        <v>60</v>
      </c>
      <c r="F27" s="12">
        <v>45983</v>
      </c>
      <c r="G27" s="13">
        <v>0.35416666666666669</v>
      </c>
      <c r="H27" s="1" t="s">
        <v>52</v>
      </c>
      <c r="I27" s="1" t="s">
        <v>10</v>
      </c>
      <c r="J27" s="1">
        <v>3</v>
      </c>
      <c r="K27" s="14">
        <f>VLOOKUP($C27,Sheet2!$A$2:$D$10,4,0)</f>
        <v>1</v>
      </c>
      <c r="L27" s="14" t="str">
        <f>VLOOKUP($C27,Sheet2!$A$2:$E$10,5,0)</f>
        <v>Bin</v>
      </c>
      <c r="M27" s="14">
        <f>J27/K27</f>
        <v>3</v>
      </c>
      <c r="N27" s="1"/>
      <c r="O27" s="1" t="s">
        <v>166</v>
      </c>
      <c r="P27" s="1" t="s">
        <v>1026</v>
      </c>
    </row>
    <row r="28" spans="1:16" x14ac:dyDescent="0.25">
      <c r="A28" s="15" t="s">
        <v>1130</v>
      </c>
      <c r="B28" s="16" t="s">
        <v>1114</v>
      </c>
      <c r="C28" s="1" t="s">
        <v>50</v>
      </c>
      <c r="D28" s="1" t="str">
        <f>VLOOKUP($C28,Sheet2!$A$2:$B$10,2,0)</f>
        <v>116040-92240</v>
      </c>
      <c r="E28" s="7" t="s">
        <v>51</v>
      </c>
      <c r="F28" s="12">
        <v>45983</v>
      </c>
      <c r="G28" s="13">
        <v>0.35416666666666669</v>
      </c>
      <c r="H28" s="1" t="s">
        <v>52</v>
      </c>
      <c r="I28" s="1" t="s">
        <v>10</v>
      </c>
      <c r="J28" s="1">
        <v>18</v>
      </c>
      <c r="K28" s="14">
        <f>VLOOKUP($C28,Sheet2!$A$2:$D$10,4,0)</f>
        <v>6</v>
      </c>
      <c r="L28" s="14" t="str">
        <f>VLOOKUP($C28,Sheet2!$A$2:$E$10,5,0)</f>
        <v>Bin</v>
      </c>
      <c r="M28" s="14">
        <f t="shared" si="4"/>
        <v>3</v>
      </c>
      <c r="N28" s="1"/>
      <c r="O28" s="1" t="s">
        <v>166</v>
      </c>
      <c r="P28" s="1" t="s">
        <v>591</v>
      </c>
    </row>
    <row r="29" spans="1:16" x14ac:dyDescent="0.25">
      <c r="A29" s="15" t="s">
        <v>1130</v>
      </c>
      <c r="B29" s="16" t="s">
        <v>1119</v>
      </c>
      <c r="C29" s="16" t="s">
        <v>59</v>
      </c>
      <c r="D29" s="1" t="str">
        <f>VLOOKUP($C29,Sheet2!$A$2:$B$10,2,0)</f>
        <v>114010-50820</v>
      </c>
      <c r="E29" s="7" t="s">
        <v>60</v>
      </c>
      <c r="F29" s="12">
        <v>45983</v>
      </c>
      <c r="G29" s="13">
        <v>0.35416666666666669</v>
      </c>
      <c r="H29" s="1" t="s">
        <v>52</v>
      </c>
      <c r="I29" s="1" t="s">
        <v>10</v>
      </c>
      <c r="J29" s="1">
        <v>8</v>
      </c>
      <c r="K29" s="14">
        <f>VLOOKUP($C29,Sheet2!$A$2:$D$10,4,0)</f>
        <v>1</v>
      </c>
      <c r="L29" s="14" t="str">
        <f>VLOOKUP($C29,Sheet2!$A$2:$E$10,5,0)</f>
        <v>Bin</v>
      </c>
      <c r="M29" s="14">
        <f t="shared" ref="M29" si="5">J29/K29</f>
        <v>8</v>
      </c>
      <c r="N29" s="1"/>
      <c r="O29" s="1" t="s">
        <v>166</v>
      </c>
      <c r="P29" s="1" t="s">
        <v>1019</v>
      </c>
    </row>
    <row r="30" spans="1:16" x14ac:dyDescent="0.25">
      <c r="A30" s="15" t="s">
        <v>1130</v>
      </c>
      <c r="B30" s="16" t="s">
        <v>1124</v>
      </c>
      <c r="C30" s="16" t="s">
        <v>67</v>
      </c>
      <c r="D30" s="1" t="str">
        <f>VLOOKUP($C30,Sheet2!$A$2:$B$10,2,0)</f>
        <v>114010-50830</v>
      </c>
      <c r="E30" s="7" t="s">
        <v>60</v>
      </c>
      <c r="F30" s="12">
        <v>45983</v>
      </c>
      <c r="G30" s="13">
        <v>0.35416666666666669</v>
      </c>
      <c r="H30" s="1" t="s">
        <v>52</v>
      </c>
      <c r="I30" s="1" t="s">
        <v>10</v>
      </c>
      <c r="J30" s="1">
        <v>8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ref="M30" si="6">J30/K30</f>
        <v>8</v>
      </c>
      <c r="N30" s="1"/>
      <c r="O30" s="1" t="s">
        <v>166</v>
      </c>
      <c r="P30" s="1" t="s">
        <v>1026</v>
      </c>
    </row>
    <row r="31" spans="1:16" s="20" customForma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>
        <v>129</v>
      </c>
      <c r="N31" s="9">
        <v>7</v>
      </c>
      <c r="O31" s="9"/>
      <c r="P31" s="9"/>
    </row>
    <row r="32" spans="1:16" x14ac:dyDescent="0.25">
      <c r="A32" s="15" t="s">
        <v>1131</v>
      </c>
      <c r="B32" s="16" t="s">
        <v>1087</v>
      </c>
      <c r="C32" s="1" t="s">
        <v>7</v>
      </c>
      <c r="D32" s="1" t="str">
        <f>VLOOKUP($C32,Sheet2!$A$2:$B$10,2,0)</f>
        <v>141110-14600</v>
      </c>
      <c r="E32" s="7" t="s">
        <v>8</v>
      </c>
      <c r="F32" s="12">
        <v>45983</v>
      </c>
      <c r="G32" s="13">
        <v>0.5625</v>
      </c>
      <c r="H32" s="1" t="s">
        <v>9</v>
      </c>
      <c r="I32" s="1" t="s">
        <v>10</v>
      </c>
      <c r="J32" s="1">
        <v>36</v>
      </c>
      <c r="K32" s="14">
        <f>VLOOKUP($C32,Sheet2!$A$2:$D$10,4,0)</f>
        <v>18</v>
      </c>
      <c r="L32" s="14" t="str">
        <f>VLOOKUP($C32,Sheet2!$A$2:$E$10,5,0)</f>
        <v>Trolley (H)</v>
      </c>
      <c r="M32" s="14"/>
      <c r="N32" s="63">
        <v>2</v>
      </c>
      <c r="O32" s="1" t="s">
        <v>171</v>
      </c>
      <c r="P32" s="1" t="s">
        <v>1289</v>
      </c>
    </row>
    <row r="33" spans="1:16" x14ac:dyDescent="0.25">
      <c r="A33" s="15" t="s">
        <v>1131</v>
      </c>
      <c r="B33" s="16" t="s">
        <v>1091</v>
      </c>
      <c r="C33" s="1" t="s">
        <v>16</v>
      </c>
      <c r="D33" s="1" t="str">
        <f>VLOOKUP($C33,Sheet2!$A$2:$B$10,2,0)</f>
        <v>141120-14600</v>
      </c>
      <c r="E33" s="7" t="s">
        <v>17</v>
      </c>
      <c r="F33" s="12">
        <v>45983</v>
      </c>
      <c r="G33" s="13">
        <v>0.5625</v>
      </c>
      <c r="H33" s="1" t="s">
        <v>9</v>
      </c>
      <c r="I33" s="1" t="s">
        <v>10</v>
      </c>
      <c r="J33" s="1">
        <v>36</v>
      </c>
      <c r="K33" s="14">
        <f>VLOOKUP($C33,Sheet2!$A$2:$D$10,4,0)</f>
        <v>18</v>
      </c>
      <c r="L33" s="14" t="str">
        <f>VLOOKUP($C33,Sheet2!$A$2:$E$10,5,0)</f>
        <v>Trolley (H)</v>
      </c>
      <c r="M33" s="14"/>
      <c r="N33" s="64"/>
      <c r="O33" s="1" t="s">
        <v>171</v>
      </c>
      <c r="P33" s="1" t="s">
        <v>1289</v>
      </c>
    </row>
    <row r="34" spans="1:16" x14ac:dyDescent="0.25">
      <c r="A34" s="15" t="s">
        <v>1131</v>
      </c>
      <c r="B34" s="16" t="s">
        <v>1095</v>
      </c>
      <c r="C34" s="1" t="s">
        <v>23</v>
      </c>
      <c r="D34" s="1" t="str">
        <f>VLOOKUP($C34,Sheet2!$A$2:$B$10,2,0)</f>
        <v>141185-74670</v>
      </c>
      <c r="E34" s="7" t="s">
        <v>24</v>
      </c>
      <c r="F34" s="12">
        <v>45983</v>
      </c>
      <c r="G34" s="13">
        <v>0.5625</v>
      </c>
      <c r="H34" s="1" t="s">
        <v>9</v>
      </c>
      <c r="I34" s="1" t="s">
        <v>10</v>
      </c>
      <c r="J34" s="1">
        <v>40</v>
      </c>
      <c r="K34" s="14">
        <f>VLOOKUP($C34,Sheet2!$A$2:$D$10,4,0)</f>
        <v>40</v>
      </c>
      <c r="L34" s="14" t="str">
        <f>VLOOKUP($C34,Sheet2!$A$2:$E$10,5,0)</f>
        <v>Trolley</v>
      </c>
      <c r="M34" s="14"/>
      <c r="N34" s="1">
        <f>J34/K34</f>
        <v>1</v>
      </c>
      <c r="O34" s="1" t="s">
        <v>171</v>
      </c>
      <c r="P34" s="1">
        <v>910102103</v>
      </c>
    </row>
    <row r="35" spans="1:16" x14ac:dyDescent="0.25">
      <c r="A35" s="15" t="s">
        <v>1131</v>
      </c>
      <c r="B35" s="16" t="s">
        <v>1100</v>
      </c>
      <c r="C35" s="1" t="s">
        <v>29</v>
      </c>
      <c r="D35" s="1" t="str">
        <f>VLOOKUP($C35,Sheet2!$A$2:$B$10,2,0)</f>
        <v>141140-91211</v>
      </c>
      <c r="E35" s="7" t="s">
        <v>30</v>
      </c>
      <c r="F35" s="12">
        <v>45983</v>
      </c>
      <c r="G35" s="13">
        <v>0.5625</v>
      </c>
      <c r="H35" s="1" t="s">
        <v>31</v>
      </c>
      <c r="I35" s="1" t="s">
        <v>10</v>
      </c>
      <c r="J35" s="1">
        <v>20</v>
      </c>
      <c r="K35" s="14">
        <f>VLOOKUP($C35,Sheet2!$A$2:$D$10,4,0)</f>
        <v>2</v>
      </c>
      <c r="L35" s="14" t="str">
        <f>VLOOKUP($C35,Sheet2!$A$2:$E$10,5,0)</f>
        <v>Bin</v>
      </c>
      <c r="M35" s="14">
        <f t="shared" ref="M35:M36" si="7">J35/K35</f>
        <v>10</v>
      </c>
      <c r="N35" s="1"/>
      <c r="O35" s="1" t="s">
        <v>171</v>
      </c>
      <c r="P35" s="1" t="s">
        <v>1023</v>
      </c>
    </row>
    <row r="36" spans="1:16" x14ac:dyDescent="0.25">
      <c r="A36" s="15" t="s">
        <v>1131</v>
      </c>
      <c r="B36" s="16" t="s">
        <v>1105</v>
      </c>
      <c r="C36" s="1" t="s">
        <v>37</v>
      </c>
      <c r="D36" s="1" t="str">
        <f>VLOOKUP($C36,Sheet2!$A$2:$B$10,2,0)</f>
        <v>141150-91211</v>
      </c>
      <c r="E36" s="7" t="s">
        <v>38</v>
      </c>
      <c r="F36" s="12">
        <v>45983</v>
      </c>
      <c r="G36" s="13">
        <v>0.5625</v>
      </c>
      <c r="H36" s="1" t="s">
        <v>31</v>
      </c>
      <c r="I36" s="1" t="s">
        <v>10</v>
      </c>
      <c r="J36" s="1">
        <v>20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si="7"/>
        <v>10</v>
      </c>
      <c r="N36" s="1"/>
      <c r="O36" s="1" t="s">
        <v>171</v>
      </c>
      <c r="P36" s="1" t="s">
        <v>1023</v>
      </c>
    </row>
    <row r="37" spans="1:16" x14ac:dyDescent="0.25">
      <c r="A37" s="15" t="s">
        <v>1131</v>
      </c>
      <c r="B37" s="16" t="s">
        <v>1110</v>
      </c>
      <c r="C37" s="1" t="s">
        <v>45</v>
      </c>
      <c r="D37" s="1" t="str">
        <f>VLOOKUP($C37,Sheet2!$A$2:$B$10,2,0)</f>
        <v>141186-74360</v>
      </c>
      <c r="E37" s="7" t="s">
        <v>46</v>
      </c>
      <c r="F37" s="12">
        <v>45983</v>
      </c>
      <c r="G37" s="13">
        <v>0.5625</v>
      </c>
      <c r="H37" s="1" t="s">
        <v>31</v>
      </c>
      <c r="I37" s="1" t="s">
        <v>10</v>
      </c>
      <c r="J37" s="1">
        <v>40</v>
      </c>
      <c r="K37" s="14">
        <f>VLOOKUP($C37,Sheet2!$A$2:$D$10,4,0)</f>
        <v>40</v>
      </c>
      <c r="L37" s="14" t="str">
        <f>VLOOKUP($C37,Sheet2!$A$2:$E$10,5,0)</f>
        <v>Trolley</v>
      </c>
      <c r="M37" s="14"/>
      <c r="N37" s="1">
        <f>J37/K37</f>
        <v>1</v>
      </c>
      <c r="O37" s="1" t="s">
        <v>171</v>
      </c>
      <c r="P37" s="1" t="s">
        <v>1290</v>
      </c>
    </row>
    <row r="38" spans="1:16" x14ac:dyDescent="0.25">
      <c r="A38" s="15" t="s">
        <v>1132</v>
      </c>
      <c r="B38" s="16" t="s">
        <v>1115</v>
      </c>
      <c r="C38" s="1" t="s">
        <v>50</v>
      </c>
      <c r="D38" s="1" t="str">
        <f>VLOOKUP($C38,Sheet2!$A$2:$B$10,2,0)</f>
        <v>116040-92240</v>
      </c>
      <c r="E38" s="7" t="s">
        <v>51</v>
      </c>
      <c r="F38" s="12">
        <v>45983</v>
      </c>
      <c r="G38" s="13">
        <v>0.5625</v>
      </c>
      <c r="H38" s="1" t="s">
        <v>52</v>
      </c>
      <c r="I38" s="1" t="s">
        <v>10</v>
      </c>
      <c r="J38" s="1">
        <v>18</v>
      </c>
      <c r="K38" s="14">
        <f>VLOOKUP($C38,Sheet2!$A$2:$D$10,4,0)</f>
        <v>6</v>
      </c>
      <c r="L38" s="14" t="str">
        <f>VLOOKUP($C38,Sheet2!$A$2:$E$10,5,0)</f>
        <v>Bin</v>
      </c>
      <c r="M38" s="14">
        <f t="shared" ref="M38:M40" si="8">J38/K38</f>
        <v>3</v>
      </c>
      <c r="N38" s="1"/>
      <c r="O38" s="1" t="s">
        <v>171</v>
      </c>
      <c r="P38" s="1" t="s">
        <v>463</v>
      </c>
    </row>
    <row r="39" spans="1:16" x14ac:dyDescent="0.25">
      <c r="A39" s="15" t="s">
        <v>1132</v>
      </c>
      <c r="B39" s="16" t="s">
        <v>1120</v>
      </c>
      <c r="C39" s="1" t="s">
        <v>59</v>
      </c>
      <c r="D39" s="1" t="str">
        <f>VLOOKUP($C39,Sheet2!$A$2:$B$10,2,0)</f>
        <v>114010-50820</v>
      </c>
      <c r="E39" s="7" t="s">
        <v>60</v>
      </c>
      <c r="F39" s="12">
        <v>45983</v>
      </c>
      <c r="G39" s="13">
        <v>0.5625</v>
      </c>
      <c r="H39" s="1" t="s">
        <v>52</v>
      </c>
      <c r="I39" s="1" t="s">
        <v>10</v>
      </c>
      <c r="J39" s="1">
        <v>5</v>
      </c>
      <c r="K39" s="14">
        <f>VLOOKUP($C39,Sheet2!$A$2:$D$10,4,0)</f>
        <v>1</v>
      </c>
      <c r="L39" s="14" t="str">
        <f>VLOOKUP($C39,Sheet2!$A$2:$E$10,5,0)</f>
        <v>Bin</v>
      </c>
      <c r="M39" s="14">
        <f t="shared" si="8"/>
        <v>5</v>
      </c>
      <c r="N39" s="1"/>
      <c r="O39" s="1" t="s">
        <v>171</v>
      </c>
      <c r="P39" s="1" t="s">
        <v>1019</v>
      </c>
    </row>
    <row r="40" spans="1:16" x14ac:dyDescent="0.25">
      <c r="A40" s="15" t="s">
        <v>1132</v>
      </c>
      <c r="B40" s="16" t="s">
        <v>1125</v>
      </c>
      <c r="C40" s="1" t="s">
        <v>67</v>
      </c>
      <c r="D40" s="1" t="str">
        <f>VLOOKUP($C40,Sheet2!$A$2:$B$10,2,0)</f>
        <v>114010-50830</v>
      </c>
      <c r="E40" s="7" t="s">
        <v>60</v>
      </c>
      <c r="F40" s="12">
        <v>45983</v>
      </c>
      <c r="G40" s="13">
        <v>0.5625</v>
      </c>
      <c r="H40" s="1" t="s">
        <v>52</v>
      </c>
      <c r="I40" s="1" t="s">
        <v>10</v>
      </c>
      <c r="J40" s="1">
        <v>15</v>
      </c>
      <c r="K40" s="14">
        <f>VLOOKUP($C40,Sheet2!$A$2:$D$10,4,0)</f>
        <v>1</v>
      </c>
      <c r="L40" s="14" t="str">
        <f>VLOOKUP($C40,Sheet2!$A$2:$E$10,5,0)</f>
        <v>Bin</v>
      </c>
      <c r="M40" s="14">
        <f t="shared" si="8"/>
        <v>15</v>
      </c>
      <c r="N40" s="1"/>
      <c r="O40" s="1" t="s">
        <v>171</v>
      </c>
      <c r="P40" s="1" t="s">
        <v>1026</v>
      </c>
    </row>
    <row r="41" spans="1:16" s="20" customForma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>
        <v>43</v>
      </c>
      <c r="N41" s="9">
        <v>4</v>
      </c>
      <c r="O41" s="9"/>
      <c r="P41" s="9"/>
    </row>
    <row r="42" spans="1:16" x14ac:dyDescent="0.25">
      <c r="A42" s="15" t="s">
        <v>1133</v>
      </c>
      <c r="B42" s="16" t="s">
        <v>1088</v>
      </c>
      <c r="C42" s="1" t="s">
        <v>7</v>
      </c>
      <c r="D42" s="1" t="str">
        <f>VLOOKUP($C42,Sheet2!$A$2:$B$10,2,0)</f>
        <v>141110-14600</v>
      </c>
      <c r="E42" s="7" t="s">
        <v>8</v>
      </c>
      <c r="F42" s="12">
        <v>45983</v>
      </c>
      <c r="G42" s="13">
        <v>0.77083333333333337</v>
      </c>
      <c r="H42" s="1" t="s">
        <v>9</v>
      </c>
      <c r="I42" s="1" t="s">
        <v>10</v>
      </c>
      <c r="J42" s="1">
        <v>18</v>
      </c>
      <c r="K42" s="14">
        <f>VLOOKUP($C42,Sheet2!$A$2:$D$10,4,0)</f>
        <v>18</v>
      </c>
      <c r="L42" s="14" t="str">
        <f>VLOOKUP($C42,Sheet2!$A$2:$E$10,5,0)</f>
        <v>Trolley (H)</v>
      </c>
      <c r="M42" s="14"/>
      <c r="N42" s="63">
        <v>1</v>
      </c>
      <c r="O42" s="1" t="s">
        <v>528</v>
      </c>
      <c r="P42" s="1" t="s">
        <v>1289</v>
      </c>
    </row>
    <row r="43" spans="1:16" x14ac:dyDescent="0.25">
      <c r="A43" s="15" t="s">
        <v>1133</v>
      </c>
      <c r="B43" s="16" t="s">
        <v>1092</v>
      </c>
      <c r="C43" s="1" t="s">
        <v>16</v>
      </c>
      <c r="D43" s="1" t="str">
        <f>VLOOKUP($C43,Sheet2!$A$2:$B$10,2,0)</f>
        <v>141120-14600</v>
      </c>
      <c r="E43" s="7" t="s">
        <v>17</v>
      </c>
      <c r="F43" s="12">
        <v>45983</v>
      </c>
      <c r="G43" s="13">
        <v>0.77083333333333337</v>
      </c>
      <c r="H43" s="1" t="s">
        <v>9</v>
      </c>
      <c r="I43" s="1" t="s">
        <v>10</v>
      </c>
      <c r="J43" s="1">
        <v>18</v>
      </c>
      <c r="K43" s="14">
        <f>VLOOKUP($C43,Sheet2!$A$2:$D$10,4,0)</f>
        <v>18</v>
      </c>
      <c r="L43" s="14" t="str">
        <f>VLOOKUP($C43,Sheet2!$A$2:$E$10,5,0)</f>
        <v>Trolley (H)</v>
      </c>
      <c r="M43" s="14"/>
      <c r="N43" s="64"/>
      <c r="O43" s="1" t="s">
        <v>528</v>
      </c>
      <c r="P43" s="1" t="s">
        <v>1289</v>
      </c>
    </row>
    <row r="44" spans="1:16" x14ac:dyDescent="0.25">
      <c r="A44" s="15" t="s">
        <v>1133</v>
      </c>
      <c r="B44" s="16" t="s">
        <v>1096</v>
      </c>
      <c r="C44" s="1" t="s">
        <v>23</v>
      </c>
      <c r="D44" s="1" t="str">
        <f>VLOOKUP($C44,Sheet2!$A$2:$B$10,2,0)</f>
        <v>141185-74670</v>
      </c>
      <c r="E44" s="7" t="s">
        <v>24</v>
      </c>
      <c r="F44" s="12">
        <v>45983</v>
      </c>
      <c r="G44" s="13">
        <v>0.77083333333333337</v>
      </c>
      <c r="H44" s="1" t="s">
        <v>9</v>
      </c>
      <c r="I44" s="1" t="s">
        <v>10</v>
      </c>
      <c r="J44" s="1">
        <v>40</v>
      </c>
      <c r="K44" s="14">
        <f>VLOOKUP($C44,Sheet2!$A$2:$D$10,4,0)</f>
        <v>40</v>
      </c>
      <c r="L44" s="14" t="str">
        <f>VLOOKUP($C44,Sheet2!$A$2:$E$10,5,0)</f>
        <v>Trolley</v>
      </c>
      <c r="M44" s="14"/>
      <c r="N44" s="1">
        <f>J44/K44</f>
        <v>1</v>
      </c>
      <c r="O44" s="1" t="s">
        <v>528</v>
      </c>
      <c r="P44" s="1">
        <v>910102103</v>
      </c>
    </row>
    <row r="45" spans="1:16" x14ac:dyDescent="0.25">
      <c r="A45" s="15" t="s">
        <v>1133</v>
      </c>
      <c r="B45" s="16" t="s">
        <v>1101</v>
      </c>
      <c r="C45" s="1" t="s">
        <v>29</v>
      </c>
      <c r="D45" s="1" t="str">
        <f>VLOOKUP($C45,Sheet2!$A$2:$B$10,2,0)</f>
        <v>141140-91211</v>
      </c>
      <c r="E45" s="7" t="s">
        <v>30</v>
      </c>
      <c r="F45" s="12">
        <v>45983</v>
      </c>
      <c r="G45" s="13">
        <v>0.77083333333333337</v>
      </c>
      <c r="H45" s="1" t="s">
        <v>31</v>
      </c>
      <c r="I45" s="1" t="s">
        <v>10</v>
      </c>
      <c r="J45" s="1">
        <v>20</v>
      </c>
      <c r="K45" s="14">
        <f>VLOOKUP($C45,Sheet2!$A$2:$D$10,4,0)</f>
        <v>2</v>
      </c>
      <c r="L45" s="14" t="str">
        <f>VLOOKUP($C45,Sheet2!$A$2:$E$10,5,0)</f>
        <v>Bin</v>
      </c>
      <c r="M45" s="14">
        <f t="shared" ref="M45:M46" si="9">J45/K45</f>
        <v>10</v>
      </c>
      <c r="N45" s="1"/>
      <c r="O45" s="1" t="s">
        <v>528</v>
      </c>
      <c r="P45" s="1" t="s">
        <v>1023</v>
      </c>
    </row>
    <row r="46" spans="1:16" x14ac:dyDescent="0.25">
      <c r="A46" s="15" t="s">
        <v>1133</v>
      </c>
      <c r="B46" s="16" t="s">
        <v>1106</v>
      </c>
      <c r="C46" s="1" t="s">
        <v>37</v>
      </c>
      <c r="D46" s="1" t="str">
        <f>VLOOKUP($C46,Sheet2!$A$2:$B$10,2,0)</f>
        <v>141150-91211</v>
      </c>
      <c r="E46" s="7" t="s">
        <v>38</v>
      </c>
      <c r="F46" s="12">
        <v>45983</v>
      </c>
      <c r="G46" s="13">
        <v>0.77083333333333337</v>
      </c>
      <c r="H46" s="1" t="s">
        <v>31</v>
      </c>
      <c r="I46" s="1" t="s">
        <v>10</v>
      </c>
      <c r="J46" s="1">
        <v>20</v>
      </c>
      <c r="K46" s="14">
        <f>VLOOKUP($C46,Sheet2!$A$2:$D$10,4,0)</f>
        <v>2</v>
      </c>
      <c r="L46" s="14" t="str">
        <f>VLOOKUP($C46,Sheet2!$A$2:$E$10,5,0)</f>
        <v>Bin</v>
      </c>
      <c r="M46" s="14">
        <f t="shared" si="9"/>
        <v>10</v>
      </c>
      <c r="N46" s="1"/>
      <c r="O46" s="1" t="s">
        <v>528</v>
      </c>
      <c r="P46" s="1" t="s">
        <v>1023</v>
      </c>
    </row>
    <row r="47" spans="1:16" x14ac:dyDescent="0.25">
      <c r="A47" s="15" t="s">
        <v>1133</v>
      </c>
      <c r="B47" s="16" t="s">
        <v>1111</v>
      </c>
      <c r="C47" s="1" t="s">
        <v>45</v>
      </c>
      <c r="D47" s="1" t="str">
        <f>VLOOKUP($C47,Sheet2!$A$2:$B$10,2,0)</f>
        <v>141186-74360</v>
      </c>
      <c r="E47" s="7" t="s">
        <v>46</v>
      </c>
      <c r="F47" s="12">
        <v>45983</v>
      </c>
      <c r="G47" s="13">
        <v>0.77083333333333337</v>
      </c>
      <c r="H47" s="1" t="s">
        <v>31</v>
      </c>
      <c r="I47" s="1" t="s">
        <v>10</v>
      </c>
      <c r="J47" s="1">
        <v>40</v>
      </c>
      <c r="K47" s="14">
        <f>VLOOKUP($C47,Sheet2!$A$2:$D$10,4,0)</f>
        <v>40</v>
      </c>
      <c r="L47" s="14" t="str">
        <f>VLOOKUP($C47,Sheet2!$A$2:$E$10,5,0)</f>
        <v>Trolley</v>
      </c>
      <c r="M47" s="14"/>
      <c r="N47" s="1">
        <f>J47/K47</f>
        <v>1</v>
      </c>
      <c r="O47" s="1" t="s">
        <v>528</v>
      </c>
      <c r="P47" s="1">
        <v>910103038</v>
      </c>
    </row>
    <row r="48" spans="1:16" x14ac:dyDescent="0.25">
      <c r="A48" s="15" t="s">
        <v>1134</v>
      </c>
      <c r="B48" s="16" t="s">
        <v>1116</v>
      </c>
      <c r="C48" s="1" t="s">
        <v>50</v>
      </c>
      <c r="D48" s="1" t="str">
        <f>VLOOKUP($C48,Sheet2!$A$2:$B$10,2,0)</f>
        <v>116040-92240</v>
      </c>
      <c r="E48" s="7" t="s">
        <v>51</v>
      </c>
      <c r="F48" s="12">
        <v>45983</v>
      </c>
      <c r="G48" s="13">
        <v>0.77083333333333337</v>
      </c>
      <c r="H48" s="1" t="s">
        <v>52</v>
      </c>
      <c r="I48" s="1" t="s">
        <v>10</v>
      </c>
      <c r="J48" s="1">
        <v>18</v>
      </c>
      <c r="K48" s="14">
        <f>VLOOKUP($C48,Sheet2!$A$2:$D$10,4,0)</f>
        <v>6</v>
      </c>
      <c r="L48" s="14" t="str">
        <f>VLOOKUP($C48,Sheet2!$A$2:$E$10,5,0)</f>
        <v>Bin</v>
      </c>
      <c r="M48" s="14">
        <f t="shared" ref="M48:M50" si="10">J48/K48</f>
        <v>3</v>
      </c>
      <c r="N48" s="1"/>
      <c r="O48" s="1" t="s">
        <v>528</v>
      </c>
      <c r="P48" s="1" t="s">
        <v>463</v>
      </c>
    </row>
    <row r="49" spans="1:16" x14ac:dyDescent="0.25">
      <c r="A49" s="15" t="s">
        <v>1134</v>
      </c>
      <c r="B49" s="16" t="s">
        <v>1121</v>
      </c>
      <c r="C49" s="1" t="s">
        <v>59</v>
      </c>
      <c r="D49" s="1" t="str">
        <f>VLOOKUP($C49,Sheet2!$A$2:$B$10,2,0)</f>
        <v>114010-50820</v>
      </c>
      <c r="E49" s="7" t="s">
        <v>60</v>
      </c>
      <c r="F49" s="12">
        <v>45983</v>
      </c>
      <c r="G49" s="13">
        <v>0.77083333333333337</v>
      </c>
      <c r="H49" s="1" t="s">
        <v>52</v>
      </c>
      <c r="I49" s="1" t="s">
        <v>10</v>
      </c>
      <c r="J49" s="1">
        <v>7</v>
      </c>
      <c r="K49" s="14">
        <f>VLOOKUP($C49,Sheet2!$A$2:$D$10,4,0)</f>
        <v>1</v>
      </c>
      <c r="L49" s="14" t="str">
        <f>VLOOKUP($C49,Sheet2!$A$2:$E$10,5,0)</f>
        <v>Bin</v>
      </c>
      <c r="M49" s="14">
        <f t="shared" si="10"/>
        <v>7</v>
      </c>
      <c r="N49" s="1"/>
      <c r="O49" s="1" t="s">
        <v>528</v>
      </c>
      <c r="P49" s="1" t="s">
        <v>1019</v>
      </c>
    </row>
    <row r="50" spans="1:16" ht="15.75" thickBot="1" x14ac:dyDescent="0.3">
      <c r="A50" s="15" t="s">
        <v>1134</v>
      </c>
      <c r="B50" s="16" t="s">
        <v>1126</v>
      </c>
      <c r="C50" s="1" t="s">
        <v>67</v>
      </c>
      <c r="D50" s="1" t="str">
        <f>VLOOKUP($C50,Sheet2!$A$2:$B$10,2,0)</f>
        <v>114010-50830</v>
      </c>
      <c r="E50" s="7" t="s">
        <v>60</v>
      </c>
      <c r="F50" s="12">
        <v>45983</v>
      </c>
      <c r="G50" s="27">
        <v>0.77083333333333337</v>
      </c>
      <c r="H50" s="1" t="s">
        <v>52</v>
      </c>
      <c r="I50" s="1" t="s">
        <v>10</v>
      </c>
      <c r="J50" s="1">
        <v>9</v>
      </c>
      <c r="K50" s="14">
        <f>VLOOKUP($C50,Sheet2!$A$2:$D$10,4,0)</f>
        <v>1</v>
      </c>
      <c r="L50" s="14" t="str">
        <f>VLOOKUP($C50,Sheet2!$A$2:$E$10,5,0)</f>
        <v>Bin</v>
      </c>
      <c r="M50" s="14">
        <f t="shared" si="10"/>
        <v>9</v>
      </c>
      <c r="N50" s="1"/>
      <c r="O50" s="1" t="s">
        <v>528</v>
      </c>
      <c r="P50" s="1" t="s">
        <v>1026</v>
      </c>
    </row>
    <row r="51" spans="1:16" ht="15.75" thickTop="1" x14ac:dyDescent="0.25">
      <c r="A51" s="15" t="s">
        <v>1135</v>
      </c>
      <c r="B51" s="16" t="s">
        <v>1097</v>
      </c>
      <c r="C51" s="1" t="s">
        <v>23</v>
      </c>
      <c r="D51" s="1" t="str">
        <f>VLOOKUP($C51,Sheet2!$A$2:$B$10,2,0)</f>
        <v>141185-74670</v>
      </c>
      <c r="E51" s="7" t="s">
        <v>24</v>
      </c>
      <c r="F51" s="12">
        <v>45983</v>
      </c>
      <c r="G51" s="28">
        <v>0.8125</v>
      </c>
      <c r="H51" s="1" t="s">
        <v>9</v>
      </c>
      <c r="I51" s="1" t="s">
        <v>10</v>
      </c>
      <c r="J51" s="1">
        <v>40</v>
      </c>
      <c r="K51" s="14">
        <f>VLOOKUP($C51,Sheet2!$A$2:$D$10,4,0)</f>
        <v>40</v>
      </c>
      <c r="L51" s="14" t="str">
        <f>VLOOKUP($C51,Sheet2!$A$2:$E$10,5,0)</f>
        <v>Trolley</v>
      </c>
      <c r="M51" s="14"/>
      <c r="N51" s="1">
        <f>J51/K51</f>
        <v>1</v>
      </c>
      <c r="O51" s="1" t="s">
        <v>528</v>
      </c>
      <c r="P51" s="1">
        <v>910102103</v>
      </c>
    </row>
    <row r="52" spans="1:16" x14ac:dyDescent="0.25">
      <c r="A52" s="15" t="s">
        <v>1135</v>
      </c>
      <c r="B52" s="16" t="s">
        <v>1102</v>
      </c>
      <c r="C52" s="1" t="s">
        <v>29</v>
      </c>
      <c r="D52" s="1" t="str">
        <f>VLOOKUP($C52,Sheet2!$A$2:$B$10,2,0)</f>
        <v>141140-91211</v>
      </c>
      <c r="E52" s="7" t="s">
        <v>30</v>
      </c>
      <c r="F52" s="12">
        <v>45983</v>
      </c>
      <c r="G52" s="13">
        <v>0.8125</v>
      </c>
      <c r="H52" s="1" t="s">
        <v>31</v>
      </c>
      <c r="I52" s="1" t="s">
        <v>10</v>
      </c>
      <c r="J52" s="1">
        <v>10</v>
      </c>
      <c r="K52" s="14">
        <f>VLOOKUP($C52,Sheet2!$A$2:$D$10,4,0)</f>
        <v>2</v>
      </c>
      <c r="L52" s="14" t="str">
        <f>VLOOKUP($C52,Sheet2!$A$2:$E$10,5,0)</f>
        <v>Bin</v>
      </c>
      <c r="M52" s="14">
        <f t="shared" ref="M52:M53" si="11">J52/K52</f>
        <v>5</v>
      </c>
      <c r="N52" s="1"/>
      <c r="O52" s="1" t="s">
        <v>528</v>
      </c>
      <c r="P52" s="1" t="s">
        <v>1023</v>
      </c>
    </row>
    <row r="53" spans="1:16" x14ac:dyDescent="0.25">
      <c r="A53" s="15" t="s">
        <v>1135</v>
      </c>
      <c r="B53" s="16" t="s">
        <v>1107</v>
      </c>
      <c r="C53" s="1" t="s">
        <v>37</v>
      </c>
      <c r="D53" s="1" t="str">
        <f>VLOOKUP($C53,Sheet2!$A$2:$B$10,2,0)</f>
        <v>141150-91211</v>
      </c>
      <c r="E53" s="7" t="s">
        <v>38</v>
      </c>
      <c r="F53" s="12">
        <v>45983</v>
      </c>
      <c r="G53" s="13">
        <v>0.8125</v>
      </c>
      <c r="H53" s="1" t="s">
        <v>31</v>
      </c>
      <c r="I53" s="1" t="s">
        <v>10</v>
      </c>
      <c r="J53" s="1">
        <v>10</v>
      </c>
      <c r="K53" s="14">
        <f>VLOOKUP($C53,Sheet2!$A$2:$D$10,4,0)</f>
        <v>2</v>
      </c>
      <c r="L53" s="14" t="str">
        <f>VLOOKUP($C53,Sheet2!$A$2:$E$10,5,0)</f>
        <v>Bin</v>
      </c>
      <c r="M53" s="14">
        <f t="shared" si="11"/>
        <v>5</v>
      </c>
      <c r="N53" s="1"/>
      <c r="O53" s="1" t="s">
        <v>528</v>
      </c>
      <c r="P53" s="1" t="s">
        <v>1023</v>
      </c>
    </row>
    <row r="54" spans="1:16" x14ac:dyDescent="0.25">
      <c r="A54" s="15" t="s">
        <v>1135</v>
      </c>
      <c r="B54" s="16" t="s">
        <v>1112</v>
      </c>
      <c r="C54" s="1" t="s">
        <v>45</v>
      </c>
      <c r="D54" s="1" t="str">
        <f>VLOOKUP($C54,Sheet2!$A$2:$B$10,2,0)</f>
        <v>141186-74360</v>
      </c>
      <c r="E54" s="7" t="s">
        <v>46</v>
      </c>
      <c r="F54" s="12">
        <v>45983</v>
      </c>
      <c r="G54" s="13">
        <v>0.8125</v>
      </c>
      <c r="H54" s="1" t="s">
        <v>31</v>
      </c>
      <c r="I54" s="1" t="s">
        <v>10</v>
      </c>
      <c r="J54" s="1">
        <v>40</v>
      </c>
      <c r="K54" s="14">
        <f>VLOOKUP($C54,Sheet2!$A$2:$D$10,4,0)</f>
        <v>40</v>
      </c>
      <c r="L54" s="14" t="str">
        <f>VLOOKUP($C54,Sheet2!$A$2:$E$10,5,0)</f>
        <v>Trolley</v>
      </c>
      <c r="M54" s="14"/>
      <c r="N54" s="1">
        <f>J54/K54</f>
        <v>1</v>
      </c>
      <c r="O54" s="1" t="s">
        <v>528</v>
      </c>
      <c r="P54" s="1">
        <v>910103038</v>
      </c>
    </row>
    <row r="55" spans="1:16" x14ac:dyDescent="0.25">
      <c r="A55" s="15" t="s">
        <v>1136</v>
      </c>
      <c r="B55" s="16" t="s">
        <v>1117</v>
      </c>
      <c r="C55" s="1" t="s">
        <v>50</v>
      </c>
      <c r="D55" s="1" t="str">
        <f>VLOOKUP($C55,Sheet2!$A$2:$B$10,2,0)</f>
        <v>116040-92240</v>
      </c>
      <c r="E55" s="7" t="s">
        <v>51</v>
      </c>
      <c r="F55" s="12">
        <v>45983</v>
      </c>
      <c r="G55" s="13">
        <v>0.8125</v>
      </c>
      <c r="H55" s="1" t="s">
        <v>52</v>
      </c>
      <c r="I55" s="1" t="s">
        <v>10</v>
      </c>
      <c r="J55" s="1">
        <v>12</v>
      </c>
      <c r="K55" s="14">
        <f>VLOOKUP($C55,Sheet2!$A$2:$D$10,4,0)</f>
        <v>6</v>
      </c>
      <c r="L55" s="14" t="str">
        <f>VLOOKUP($C55,Sheet2!$A$2:$E$10,5,0)</f>
        <v>Bin</v>
      </c>
      <c r="M55" s="14">
        <f t="shared" ref="M55:M57" si="12">J55/K55</f>
        <v>2</v>
      </c>
      <c r="N55" s="1"/>
      <c r="O55" s="1" t="s">
        <v>528</v>
      </c>
      <c r="P55" s="1" t="s">
        <v>463</v>
      </c>
    </row>
    <row r="56" spans="1:16" x14ac:dyDescent="0.25">
      <c r="A56" s="15" t="s">
        <v>1136</v>
      </c>
      <c r="B56" s="16" t="s">
        <v>1122</v>
      </c>
      <c r="C56" s="1" t="s">
        <v>59</v>
      </c>
      <c r="D56" s="1" t="str">
        <f>VLOOKUP($C56,Sheet2!$A$2:$B$10,2,0)</f>
        <v>114010-50820</v>
      </c>
      <c r="E56" s="7" t="s">
        <v>60</v>
      </c>
      <c r="F56" s="12">
        <v>45983</v>
      </c>
      <c r="G56" s="13">
        <v>0.8125</v>
      </c>
      <c r="H56" s="1" t="s">
        <v>52</v>
      </c>
      <c r="I56" s="1" t="s">
        <v>10</v>
      </c>
      <c r="J56" s="1">
        <v>2</v>
      </c>
      <c r="K56" s="14">
        <f>VLOOKUP($C56,Sheet2!$A$2:$D$10,4,0)</f>
        <v>1</v>
      </c>
      <c r="L56" s="14" t="str">
        <f>VLOOKUP($C56,Sheet2!$A$2:$E$10,5,0)</f>
        <v>Bin</v>
      </c>
      <c r="M56" s="14">
        <f t="shared" si="12"/>
        <v>2</v>
      </c>
      <c r="N56" s="1"/>
      <c r="O56" s="1" t="s">
        <v>528</v>
      </c>
      <c r="P56" s="1" t="s">
        <v>1019</v>
      </c>
    </row>
    <row r="57" spans="1:16" x14ac:dyDescent="0.25">
      <c r="A57" s="15" t="s">
        <v>1136</v>
      </c>
      <c r="B57" s="16" t="s">
        <v>1127</v>
      </c>
      <c r="C57" s="1" t="s">
        <v>67</v>
      </c>
      <c r="D57" s="1" t="str">
        <f>VLOOKUP($C57,Sheet2!$A$2:$B$10,2,0)</f>
        <v>114010-50830</v>
      </c>
      <c r="E57" s="7" t="s">
        <v>60</v>
      </c>
      <c r="F57" s="12">
        <v>45983</v>
      </c>
      <c r="G57" s="13">
        <v>0.8125</v>
      </c>
      <c r="H57" s="1" t="s">
        <v>52</v>
      </c>
      <c r="I57" s="1" t="s">
        <v>10</v>
      </c>
      <c r="J57" s="1">
        <v>12</v>
      </c>
      <c r="K57" s="14">
        <f>VLOOKUP($C57,Sheet2!$A$2:$D$10,4,0)</f>
        <v>1</v>
      </c>
      <c r="L57" s="14" t="str">
        <f>VLOOKUP($C57,Sheet2!$A$2:$E$10,5,0)</f>
        <v>Bin</v>
      </c>
      <c r="M57" s="14">
        <f t="shared" si="12"/>
        <v>12</v>
      </c>
      <c r="N57" s="1"/>
      <c r="O57" s="1" t="s">
        <v>528</v>
      </c>
      <c r="P57" s="1" t="s">
        <v>1026</v>
      </c>
    </row>
    <row r="58" spans="1:16" s="20" customForma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>
        <v>65</v>
      </c>
      <c r="N58" s="9">
        <v>5</v>
      </c>
      <c r="O58" s="9"/>
      <c r="P58" s="9"/>
    </row>
  </sheetData>
  <mergeCells count="7">
    <mergeCell ref="N42:N43"/>
    <mergeCell ref="A1:F1"/>
    <mergeCell ref="J1:N1"/>
    <mergeCell ref="L2:N2"/>
    <mergeCell ref="N9:N10"/>
    <mergeCell ref="N11:N12"/>
    <mergeCell ref="N32:N33"/>
  </mergeCells>
  <conditionalFormatting sqref="B2">
    <cfRule type="duplicateValues" dxfId="318" priority="46"/>
    <cfRule type="duplicateValues" dxfId="317" priority="45"/>
  </conditionalFormatting>
  <conditionalFormatting sqref="B32:B40 B42:B57 B4:B30">
    <cfRule type="duplicateValues" dxfId="316" priority="38"/>
  </conditionalFormatting>
  <conditionalFormatting sqref="C2:D2">
    <cfRule type="duplicateValues" dxfId="315" priority="47"/>
    <cfRule type="duplicateValues" dxfId="314" priority="48"/>
  </conditionalFormatting>
  <conditionalFormatting sqref="D3">
    <cfRule type="duplicateValues" dxfId="311" priority="44"/>
    <cfRule type="duplicateValues" dxfId="310" priority="43"/>
  </conditionalFormatting>
  <conditionalFormatting sqref="D31">
    <cfRule type="duplicateValues" dxfId="306" priority="25"/>
    <cfRule type="duplicateValues" dxfId="305" priority="26"/>
  </conditionalFormatting>
  <conditionalFormatting sqref="D41">
    <cfRule type="duplicateValues" dxfId="303" priority="18"/>
    <cfRule type="duplicateValues" dxfId="302" priority="19"/>
  </conditionalFormatting>
  <conditionalFormatting sqref="D58">
    <cfRule type="duplicateValues" dxfId="300" priority="4"/>
    <cfRule type="duplicateValues" dxfId="299" priority="5"/>
  </conditionalFormatting>
  <pageMargins left="0.17" right="0.7" top="0.17" bottom="0.17" header="0.21" footer="0.17"/>
  <pageSetup paperSize="9" scale="5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6" operator="containsText" text="17521M68PA0" id="{FA1A1930-B634-417C-8998-1B84D4E280EA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C4:D30 C32:D40 C42:D57</xm:sqref>
        </x14:conditionalFormatting>
        <x14:conditionalFormatting xmlns:xm="http://schemas.microsoft.com/office/excel/2006/main">
          <x14:cfRule type="containsText" priority="53" operator="containsText" text="17521M68PA0" id="{F2916115-9811-4455-ABEC-98F6EBB77BC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1" operator="containsText" text="17521M74T00" id="{6C44CE24-232B-4D73-BFC1-C017C4FA1023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17521M68PA0" id="{81B800FD-0D51-46BA-95AC-ADA7A1E211C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9" operator="containsText" text="17521M74T00" id="{6606AD09-2B7C-483A-A0BA-EBCE3CC4BDEB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D4:D30 D32:D40 D42:D57</xm:sqref>
        </x14:conditionalFormatting>
        <x14:conditionalFormatting xmlns:xm="http://schemas.microsoft.com/office/excel/2006/main">
          <x14:cfRule type="containsText" priority="27" operator="containsText" text="17521M68PA0" id="{055162FD-3012-4565-B909-409FEE740B2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containsText" priority="20" operator="containsText" text="17521M68PA0" id="{9FA52D87-78DA-466E-8CB5-6CFCCC07761B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6" operator="containsText" text="17521M68PA0" id="{9467569E-72EC-4DD5-8C27-40B5A42763F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D58</xm:sqref>
        </x14:conditionalFormatting>
        <x14:conditionalFormatting xmlns:xm="http://schemas.microsoft.com/office/excel/2006/main">
          <x14:cfRule type="containsText" priority="49" operator="containsText" text="17521M68PA0" id="{9BABCD60-2BD3-4213-A31F-CE1607D81042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0" operator="containsText" text="17521M74T00" id="{05F7BF5B-22EA-4F6C-A4EA-0A81E2CC2A43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0" operator="containsText" text="BELT,WATER PUMP - 7PK 975" id="{D4D4CA8E-66D1-470D-944F-702D7A1ED04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28" operator="containsText" text="BELT,WATER PUMP - 5PK 913" id="{F4CA325B-2F9A-444C-9456-3AFF523D33A6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E3:E40</xm:sqref>
        </x14:conditionalFormatting>
        <x14:conditionalFormatting xmlns:xm="http://schemas.microsoft.com/office/excel/2006/main">
          <x14:cfRule type="containsText" priority="22" operator="containsText" text="BELT,WATER PUMP - 7PK 975" id="{5F204236-A0C6-447F-B696-4838891CEFE7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E31</xm:sqref>
        </x14:conditionalFormatting>
        <x14:conditionalFormatting xmlns:xm="http://schemas.microsoft.com/office/excel/2006/main">
          <x14:cfRule type="containsText" priority="15" operator="containsText" text="BELT,WATER PUMP - 7PK 975" id="{3E9EC27A-9A7C-4E69-8CD4-A1E1F0AA0281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E41</xm:sqref>
        </x14:conditionalFormatting>
        <x14:conditionalFormatting xmlns:xm="http://schemas.microsoft.com/office/excel/2006/main">
          <x14:cfRule type="containsText" priority="21" operator="containsText" text="BELT,WATER PUMP - 5PK 913" id="{823186A5-0A9B-4BBD-845C-F63F5D59CEC5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E41:E57</xm:sqref>
        </x14:conditionalFormatting>
        <x14:conditionalFormatting xmlns:xm="http://schemas.microsoft.com/office/excel/2006/main">
          <x14:cfRule type="containsText" priority="7" operator="containsText" text="BELT,WATER PUMP - 5PK 913" id="{15928537-E794-47C5-8CE5-CC1A1070024F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" operator="containsText" text="BELT,WATER PUMP - 7PK 975" id="{795F3ECA-E3B5-4B60-B6D9-DDA976FD20F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E58</xm:sqref>
        </x14:conditionalFormatting>
        <x14:conditionalFormatting xmlns:xm="http://schemas.microsoft.com/office/excel/2006/main">
          <x14:cfRule type="containsText" priority="51" operator="containsText" text="BELT,WATER PUMP - 5PK 913" id="{EB5DFBF0-7F48-41C0-97BB-AEA76918764F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2" operator="containsText" text="BELT,WATER PUMP - 7PK 975" id="{C43E94F0-E9E9-4E2D-81B2-E5441CAE25A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1" operator="containsText" text="5PK 913" id="{88DD364D-BABB-4634-9970-417664B4515D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2" operator="containsText" text="7PK 975" id="{978C0652-DF80-4CF8-A42C-735382869D70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4" operator="containsText" text="7PK 975" id="{87568B29-7CC1-42B4-BA48-CC088FEBBBD2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3" operator="containsText" text="5PK 913" id="{610BB77F-8F7D-4241-BCBD-4B1918E29078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P31</xm:sqref>
        </x14:conditionalFormatting>
        <x14:conditionalFormatting xmlns:xm="http://schemas.microsoft.com/office/excel/2006/main">
          <x14:cfRule type="containsText" priority="17" operator="containsText" text="7PK 975" id="{3D9703CF-6EF3-4CC0-8647-04F43B803E30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6" operator="containsText" text="5PK 913" id="{E24A6AA9-525C-4E4B-9253-5F7D62912B41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P41</xm:sqref>
        </x14:conditionalFormatting>
        <x14:conditionalFormatting xmlns:xm="http://schemas.microsoft.com/office/excel/2006/main">
          <x14:cfRule type="containsText" priority="3" operator="containsText" text="7PK 975" id="{7AC27BD0-4A33-4A79-891B-37007D46B7D8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" operator="containsText" text="5PK 913" id="{DC3CAC03-0865-47AF-81F2-7A33BEC138E1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P58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EAB5-977B-43AD-AC38-1BA2F19EB585}">
  <sheetPr>
    <pageSetUpPr fitToPage="1"/>
  </sheetPr>
  <dimension ref="A1:P46"/>
  <sheetViews>
    <sheetView topLeftCell="A11" workbookViewId="0">
      <selection activeCell="A4" sqref="A4:XFD45"/>
    </sheetView>
  </sheetViews>
  <sheetFormatPr defaultColWidth="17.7109375" defaultRowHeight="15" x14ac:dyDescent="0.25"/>
  <cols>
    <col min="1" max="1" width="15.42578125" bestFit="1" customWidth="1"/>
    <col min="2" max="2" width="17.28515625" customWidth="1"/>
    <col min="3" max="4" width="14.140625" bestFit="1" customWidth="1"/>
    <col min="5" max="5" width="32.5703125" bestFit="1" customWidth="1"/>
    <col min="6" max="6" width="12.7109375" bestFit="1" customWidth="1"/>
    <col min="7" max="7" width="7.7109375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140625" bestFit="1" customWidth="1"/>
    <col min="16" max="16" width="49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45985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1178</v>
      </c>
      <c r="B4" s="16" t="s">
        <v>1138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45985</v>
      </c>
      <c r="G4" s="13">
        <v>0.35416666666666669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166</v>
      </c>
      <c r="P4" s="1" t="s">
        <v>1289</v>
      </c>
    </row>
    <row r="5" spans="1:16" x14ac:dyDescent="0.25">
      <c r="A5" s="15" t="s">
        <v>1178</v>
      </c>
      <c r="B5" s="16" t="s">
        <v>1142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45985</v>
      </c>
      <c r="G5" s="13">
        <v>0.35416666666666669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1289</v>
      </c>
    </row>
    <row r="6" spans="1:16" x14ac:dyDescent="0.25">
      <c r="A6" s="15" t="s">
        <v>1178</v>
      </c>
      <c r="B6" s="16" t="s">
        <v>1146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45985</v>
      </c>
      <c r="G6" s="13">
        <v>0.35416666666666669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166</v>
      </c>
      <c r="P6" s="1">
        <v>910102103</v>
      </c>
    </row>
    <row r="7" spans="1:16" x14ac:dyDescent="0.25">
      <c r="A7" s="15" t="s">
        <v>1178</v>
      </c>
      <c r="B7" s="16" t="s">
        <v>1150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45985</v>
      </c>
      <c r="G7" s="13">
        <v>0.35416666666666669</v>
      </c>
      <c r="H7" s="1" t="s">
        <v>31</v>
      </c>
      <c r="I7" s="1" t="s">
        <v>10</v>
      </c>
      <c r="J7" s="1">
        <v>26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13</v>
      </c>
      <c r="N7" s="1"/>
      <c r="O7" s="1" t="s">
        <v>166</v>
      </c>
      <c r="P7" s="1" t="s">
        <v>1023</v>
      </c>
    </row>
    <row r="8" spans="1:16" x14ac:dyDescent="0.25">
      <c r="A8" s="15" t="s">
        <v>1178</v>
      </c>
      <c r="B8" s="16" t="s">
        <v>1151</v>
      </c>
      <c r="C8" s="1" t="s">
        <v>29</v>
      </c>
      <c r="D8" s="1" t="str">
        <f>VLOOKUP($C8,Sheet2!$A$2:$B$10,2,0)</f>
        <v>141140-91211</v>
      </c>
      <c r="E8" s="7" t="s">
        <v>30</v>
      </c>
      <c r="F8" s="12">
        <v>45985</v>
      </c>
      <c r="G8" s="13">
        <v>0.35416666666666669</v>
      </c>
      <c r="H8" s="1" t="s">
        <v>31</v>
      </c>
      <c r="I8" s="1" t="s">
        <v>10</v>
      </c>
      <c r="J8" s="1">
        <v>4</v>
      </c>
      <c r="K8" s="14">
        <f>VLOOKUP($C8,Sheet2!$A$2:$D$10,4,0)</f>
        <v>2</v>
      </c>
      <c r="L8" s="14" t="str">
        <f>VLOOKUP($C8,Sheet2!$A$2:$E$10,5,0)</f>
        <v>Bin</v>
      </c>
      <c r="M8" s="14">
        <f t="shared" ref="M8:M10" si="0">J8/K8</f>
        <v>2</v>
      </c>
      <c r="N8" s="1"/>
      <c r="O8" s="1" t="s">
        <v>166</v>
      </c>
      <c r="P8" s="1" t="s">
        <v>1023</v>
      </c>
    </row>
    <row r="9" spans="1:16" x14ac:dyDescent="0.25">
      <c r="A9" s="15" t="s">
        <v>1178</v>
      </c>
      <c r="B9" s="16" t="s">
        <v>1155</v>
      </c>
      <c r="C9" s="1" t="s">
        <v>37</v>
      </c>
      <c r="D9" s="1" t="str">
        <f>VLOOKUP($C9,Sheet2!$A$2:$B$10,2,0)</f>
        <v>141150-91211</v>
      </c>
      <c r="E9" s="7" t="s">
        <v>38</v>
      </c>
      <c r="F9" s="12">
        <v>45985</v>
      </c>
      <c r="G9" s="13">
        <v>0.35416666666666669</v>
      </c>
      <c r="H9" s="1" t="s">
        <v>31</v>
      </c>
      <c r="I9" s="1" t="s">
        <v>10</v>
      </c>
      <c r="J9" s="1">
        <v>26</v>
      </c>
      <c r="K9" s="14">
        <f>VLOOKUP($C9,Sheet2!$A$2:$D$10,4,0)</f>
        <v>2</v>
      </c>
      <c r="L9" s="14" t="str">
        <f>VLOOKUP($C9,Sheet2!$A$2:$E$10,5,0)</f>
        <v>Bin</v>
      </c>
      <c r="M9" s="14">
        <f t="shared" si="0"/>
        <v>13</v>
      </c>
      <c r="N9" s="1"/>
      <c r="O9" s="1" t="s">
        <v>166</v>
      </c>
      <c r="P9" s="1" t="s">
        <v>1023</v>
      </c>
    </row>
    <row r="10" spans="1:16" x14ac:dyDescent="0.25">
      <c r="A10" s="15" t="s">
        <v>1178</v>
      </c>
      <c r="B10" s="16" t="s">
        <v>1156</v>
      </c>
      <c r="C10" s="1" t="s">
        <v>37</v>
      </c>
      <c r="D10" s="1" t="str">
        <f>VLOOKUP($C10,Sheet2!$A$2:$B$10,2,0)</f>
        <v>141150-91211</v>
      </c>
      <c r="E10" s="7" t="s">
        <v>38</v>
      </c>
      <c r="F10" s="12">
        <v>45985</v>
      </c>
      <c r="G10" s="13">
        <v>0.35416666666666669</v>
      </c>
      <c r="H10" s="1" t="s">
        <v>31</v>
      </c>
      <c r="I10" s="1" t="s">
        <v>10</v>
      </c>
      <c r="J10" s="1">
        <v>4</v>
      </c>
      <c r="K10" s="14">
        <f>VLOOKUP($C10,Sheet2!$A$2:$D$10,4,0)</f>
        <v>2</v>
      </c>
      <c r="L10" s="14" t="str">
        <f>VLOOKUP($C10,Sheet2!$A$2:$E$10,5,0)</f>
        <v>Bin</v>
      </c>
      <c r="M10" s="14">
        <f t="shared" si="0"/>
        <v>2</v>
      </c>
      <c r="N10" s="1"/>
      <c r="O10" s="1" t="s">
        <v>166</v>
      </c>
      <c r="P10" s="1" t="s">
        <v>1023</v>
      </c>
    </row>
    <row r="11" spans="1:16" x14ac:dyDescent="0.25">
      <c r="A11" s="15" t="s">
        <v>1178</v>
      </c>
      <c r="B11" s="16" t="s">
        <v>1160</v>
      </c>
      <c r="C11" s="1" t="s">
        <v>45</v>
      </c>
      <c r="D11" s="1" t="str">
        <f>VLOOKUP($C11,Sheet2!$A$2:$B$10,2,0)</f>
        <v>141186-74360</v>
      </c>
      <c r="E11" s="7" t="s">
        <v>46</v>
      </c>
      <c r="F11" s="12">
        <v>45985</v>
      </c>
      <c r="G11" s="13">
        <v>0.35416666666666669</v>
      </c>
      <c r="H11" s="1" t="s">
        <v>31</v>
      </c>
      <c r="I11" s="1" t="s">
        <v>10</v>
      </c>
      <c r="J11" s="1">
        <v>80</v>
      </c>
      <c r="K11" s="14">
        <f>VLOOKUP($C11,Sheet2!$A$2:$D$10,4,0)</f>
        <v>40</v>
      </c>
      <c r="L11" s="14" t="str">
        <f>VLOOKUP($C11,Sheet2!$A$2:$E$10,5,0)</f>
        <v>Trolley</v>
      </c>
      <c r="M11" s="14"/>
      <c r="N11" s="1">
        <f>J11/K11</f>
        <v>2</v>
      </c>
      <c r="O11" s="1" t="s">
        <v>166</v>
      </c>
      <c r="P11" s="1">
        <v>910103038</v>
      </c>
    </row>
    <row r="12" spans="1:16" x14ac:dyDescent="0.25">
      <c r="A12" s="15" t="s">
        <v>1179</v>
      </c>
      <c r="B12" s="16" t="s">
        <v>1164</v>
      </c>
      <c r="C12" s="1" t="s">
        <v>50</v>
      </c>
      <c r="D12" s="1" t="str">
        <f>VLOOKUP($C12,Sheet2!$A$2:$B$10,2,0)</f>
        <v>116040-92240</v>
      </c>
      <c r="E12" s="7" t="s">
        <v>51</v>
      </c>
      <c r="F12" s="12">
        <v>45985</v>
      </c>
      <c r="G12" s="13">
        <v>0.35416666666666669</v>
      </c>
      <c r="H12" s="1" t="s">
        <v>52</v>
      </c>
      <c r="I12" s="1" t="s">
        <v>10</v>
      </c>
      <c r="J12" s="1">
        <v>24</v>
      </c>
      <c r="K12" s="14">
        <f>VLOOKUP($C12,Sheet2!$A$2:$D$10,4,0)</f>
        <v>6</v>
      </c>
      <c r="L12" s="14" t="str">
        <f>VLOOKUP($C12,Sheet2!$A$2:$E$10,5,0)</f>
        <v>Bin</v>
      </c>
      <c r="M12" s="14">
        <f t="shared" ref="M12:M15" si="1">J12/K12</f>
        <v>4</v>
      </c>
      <c r="N12" s="1"/>
      <c r="O12" s="1" t="s">
        <v>166</v>
      </c>
      <c r="P12" s="1" t="s">
        <v>463</v>
      </c>
    </row>
    <row r="13" spans="1:16" x14ac:dyDescent="0.25">
      <c r="A13" s="15" t="s">
        <v>1179</v>
      </c>
      <c r="B13" s="16" t="s">
        <v>1168</v>
      </c>
      <c r="C13" s="1" t="s">
        <v>59</v>
      </c>
      <c r="D13" s="1" t="str">
        <f>VLOOKUP($C13,Sheet2!$A$2:$B$10,2,0)</f>
        <v>114010-50820</v>
      </c>
      <c r="E13" s="7" t="s">
        <v>60</v>
      </c>
      <c r="F13" s="12">
        <v>45985</v>
      </c>
      <c r="G13" s="13">
        <v>0.35416666666666669</v>
      </c>
      <c r="H13" s="1" t="s">
        <v>52</v>
      </c>
      <c r="I13" s="1" t="s">
        <v>10</v>
      </c>
      <c r="J13" s="1">
        <v>13</v>
      </c>
      <c r="K13" s="14">
        <f>VLOOKUP($C13,Sheet2!$A$2:$D$10,4,0)</f>
        <v>1</v>
      </c>
      <c r="L13" s="14" t="str">
        <f>VLOOKUP($C13,Sheet2!$A$2:$E$10,5,0)</f>
        <v>Bin</v>
      </c>
      <c r="M13" s="14">
        <f t="shared" si="1"/>
        <v>13</v>
      </c>
      <c r="N13" s="1"/>
      <c r="O13" s="1" t="s">
        <v>166</v>
      </c>
      <c r="P13" s="1" t="s">
        <v>1019</v>
      </c>
    </row>
    <row r="14" spans="1:16" x14ac:dyDescent="0.25">
      <c r="A14" s="15" t="s">
        <v>1179</v>
      </c>
      <c r="B14" s="16" t="s">
        <v>1169</v>
      </c>
      <c r="C14" s="1" t="s">
        <v>59</v>
      </c>
      <c r="D14" s="1" t="str">
        <f>VLOOKUP($C14,Sheet2!$A$2:$B$10,2,0)</f>
        <v>114010-50820</v>
      </c>
      <c r="E14" s="7" t="s">
        <v>60</v>
      </c>
      <c r="F14" s="12">
        <v>45985</v>
      </c>
      <c r="G14" s="13">
        <v>0.35416666666666669</v>
      </c>
      <c r="H14" s="1" t="s">
        <v>52</v>
      </c>
      <c r="I14" s="1" t="s">
        <v>10</v>
      </c>
      <c r="J14" s="1">
        <v>3</v>
      </c>
      <c r="K14" s="14">
        <f>VLOOKUP($C14,Sheet2!$A$2:$D$10,4,0)</f>
        <v>1</v>
      </c>
      <c r="L14" s="14" t="str">
        <f>VLOOKUP($C14,Sheet2!$A$2:$E$10,5,0)</f>
        <v>Bin</v>
      </c>
      <c r="M14" s="14">
        <f t="shared" si="1"/>
        <v>3</v>
      </c>
      <c r="N14" s="1"/>
      <c r="O14" s="1" t="s">
        <v>166</v>
      </c>
      <c r="P14" s="1" t="s">
        <v>1019</v>
      </c>
    </row>
    <row r="15" spans="1:16" x14ac:dyDescent="0.25">
      <c r="A15" s="15" t="s">
        <v>1179</v>
      </c>
      <c r="B15" s="16" t="s">
        <v>1173</v>
      </c>
      <c r="C15" s="1" t="s">
        <v>67</v>
      </c>
      <c r="D15" s="1" t="str">
        <f>VLOOKUP($C15,Sheet2!$A$2:$B$10,2,0)</f>
        <v>114010-50830</v>
      </c>
      <c r="E15" s="7" t="s">
        <v>60</v>
      </c>
      <c r="F15" s="12">
        <v>45985</v>
      </c>
      <c r="G15" s="13">
        <v>0.35416666666666669</v>
      </c>
      <c r="H15" s="1" t="s">
        <v>52</v>
      </c>
      <c r="I15" s="1" t="s">
        <v>10</v>
      </c>
      <c r="J15" s="1">
        <v>13</v>
      </c>
      <c r="K15" s="14">
        <f>VLOOKUP($C15,Sheet2!$A$2:$D$10,4,0)</f>
        <v>1</v>
      </c>
      <c r="L15" s="14" t="str">
        <f>VLOOKUP($C15,Sheet2!$A$2:$E$10,5,0)</f>
        <v>Bin</v>
      </c>
      <c r="M15" s="14">
        <f t="shared" si="1"/>
        <v>13</v>
      </c>
      <c r="N15" s="1"/>
      <c r="O15" s="1" t="s">
        <v>166</v>
      </c>
      <c r="P15" s="1" t="s">
        <v>1026</v>
      </c>
    </row>
    <row r="16" spans="1:16" s="20" customForma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63</v>
      </c>
      <c r="N16" s="9">
        <v>4</v>
      </c>
      <c r="O16" s="9"/>
      <c r="P16" s="9"/>
    </row>
    <row r="17" spans="1:16" x14ac:dyDescent="0.25">
      <c r="A17" s="15" t="s">
        <v>1180</v>
      </c>
      <c r="B17" s="16" t="s">
        <v>1139</v>
      </c>
      <c r="C17" s="1" t="s">
        <v>7</v>
      </c>
      <c r="D17" s="1" t="str">
        <f>VLOOKUP($C17,Sheet2!$A$2:$B$10,2,0)</f>
        <v>141110-14600</v>
      </c>
      <c r="E17" s="7" t="s">
        <v>8</v>
      </c>
      <c r="F17" s="12">
        <v>45985</v>
      </c>
      <c r="G17" s="13">
        <v>0.5625</v>
      </c>
      <c r="H17" s="1" t="s">
        <v>9</v>
      </c>
      <c r="I17" s="1" t="s">
        <v>10</v>
      </c>
      <c r="J17" s="1">
        <v>18</v>
      </c>
      <c r="K17" s="14">
        <f>VLOOKUP($C17,Sheet2!$A$2:$D$10,4,0)</f>
        <v>18</v>
      </c>
      <c r="L17" s="14" t="str">
        <f>VLOOKUP($C17,Sheet2!$A$2:$E$10,5,0)</f>
        <v>Trolley (H)</v>
      </c>
      <c r="M17" s="14"/>
      <c r="N17" s="63">
        <v>1</v>
      </c>
      <c r="O17" s="1" t="s">
        <v>171</v>
      </c>
      <c r="P17" s="1" t="s">
        <v>1289</v>
      </c>
    </row>
    <row r="18" spans="1:16" x14ac:dyDescent="0.25">
      <c r="A18" s="15" t="s">
        <v>1180</v>
      </c>
      <c r="B18" s="16" t="s">
        <v>1143</v>
      </c>
      <c r="C18" s="1" t="s">
        <v>16</v>
      </c>
      <c r="D18" s="1" t="str">
        <f>VLOOKUP($C18,Sheet2!$A$2:$B$10,2,0)</f>
        <v>141120-14600</v>
      </c>
      <c r="E18" s="7" t="s">
        <v>17</v>
      </c>
      <c r="F18" s="12">
        <v>45985</v>
      </c>
      <c r="G18" s="13">
        <v>0.5625</v>
      </c>
      <c r="H18" s="1" t="s">
        <v>9</v>
      </c>
      <c r="I18" s="1" t="s">
        <v>10</v>
      </c>
      <c r="J18" s="1">
        <v>18</v>
      </c>
      <c r="K18" s="14">
        <f>VLOOKUP($C18,Sheet2!$A$2:$D$10,4,0)</f>
        <v>18</v>
      </c>
      <c r="L18" s="14" t="str">
        <f>VLOOKUP($C18,Sheet2!$A$2:$E$10,5,0)</f>
        <v>Trolley (H)</v>
      </c>
      <c r="M18" s="14"/>
      <c r="N18" s="64"/>
      <c r="O18" s="1" t="s">
        <v>171</v>
      </c>
      <c r="P18" s="1" t="s">
        <v>1289</v>
      </c>
    </row>
    <row r="19" spans="1:16" x14ac:dyDescent="0.25">
      <c r="A19" s="15" t="s">
        <v>1180</v>
      </c>
      <c r="B19" s="16" t="s">
        <v>1147</v>
      </c>
      <c r="C19" s="1" t="s">
        <v>23</v>
      </c>
      <c r="D19" s="1" t="str">
        <f>VLOOKUP($C19,Sheet2!$A$2:$B$10,2,0)</f>
        <v>141185-74670</v>
      </c>
      <c r="E19" s="7" t="s">
        <v>24</v>
      </c>
      <c r="F19" s="12">
        <v>45985</v>
      </c>
      <c r="G19" s="13">
        <v>0.5625</v>
      </c>
      <c r="H19" s="1" t="s">
        <v>9</v>
      </c>
      <c r="I19" s="1" t="s">
        <v>10</v>
      </c>
      <c r="J19" s="1">
        <v>40</v>
      </c>
      <c r="K19" s="14">
        <f>VLOOKUP($C19,Sheet2!$A$2:$D$10,4,0)</f>
        <v>40</v>
      </c>
      <c r="L19" s="14" t="str">
        <f>VLOOKUP($C19,Sheet2!$A$2:$E$10,5,0)</f>
        <v>Trolley</v>
      </c>
      <c r="M19" s="14"/>
      <c r="N19" s="1">
        <f>J19/K19</f>
        <v>1</v>
      </c>
      <c r="O19" s="1" t="s">
        <v>171</v>
      </c>
      <c r="P19" s="1">
        <v>910102103</v>
      </c>
    </row>
    <row r="20" spans="1:16" x14ac:dyDescent="0.25">
      <c r="A20" s="15" t="s">
        <v>1180</v>
      </c>
      <c r="B20" s="16" t="s">
        <v>1152</v>
      </c>
      <c r="C20" s="1" t="s">
        <v>29</v>
      </c>
      <c r="D20" s="1" t="str">
        <f>VLOOKUP($C20,Sheet2!$A$2:$B$10,2,0)</f>
        <v>141140-91211</v>
      </c>
      <c r="E20" s="7" t="s">
        <v>30</v>
      </c>
      <c r="F20" s="12">
        <v>45985</v>
      </c>
      <c r="G20" s="13">
        <v>0.5625</v>
      </c>
      <c r="H20" s="1" t="s">
        <v>31</v>
      </c>
      <c r="I20" s="1" t="s">
        <v>10</v>
      </c>
      <c r="J20" s="1">
        <v>20</v>
      </c>
      <c r="K20" s="14">
        <f>VLOOKUP($C20,Sheet2!$A$2:$D$10,4,0)</f>
        <v>2</v>
      </c>
      <c r="L20" s="14" t="str">
        <f>VLOOKUP($C20,Sheet2!$A$2:$E$10,5,0)</f>
        <v>Bin</v>
      </c>
      <c r="M20" s="14">
        <f t="shared" ref="M20:M21" si="2">J20/K20</f>
        <v>10</v>
      </c>
      <c r="N20" s="1"/>
      <c r="O20" s="1" t="s">
        <v>171</v>
      </c>
      <c r="P20" s="1" t="s">
        <v>1023</v>
      </c>
    </row>
    <row r="21" spans="1:16" x14ac:dyDescent="0.25">
      <c r="A21" s="15" t="s">
        <v>1180</v>
      </c>
      <c r="B21" s="16" t="s">
        <v>1157</v>
      </c>
      <c r="C21" s="1" t="s">
        <v>37</v>
      </c>
      <c r="D21" s="1" t="str">
        <f>VLOOKUP($C21,Sheet2!$A$2:$B$10,2,0)</f>
        <v>141150-91211</v>
      </c>
      <c r="E21" s="7" t="s">
        <v>38</v>
      </c>
      <c r="F21" s="12">
        <v>45985</v>
      </c>
      <c r="G21" s="13">
        <v>0.5625</v>
      </c>
      <c r="H21" s="1" t="s">
        <v>31</v>
      </c>
      <c r="I21" s="1" t="s">
        <v>10</v>
      </c>
      <c r="J21" s="1">
        <v>20</v>
      </c>
      <c r="K21" s="14">
        <f>VLOOKUP($C21,Sheet2!$A$2:$D$10,4,0)</f>
        <v>2</v>
      </c>
      <c r="L21" s="14" t="str">
        <f>VLOOKUP($C21,Sheet2!$A$2:$E$10,5,0)</f>
        <v>Bin</v>
      </c>
      <c r="M21" s="14">
        <f t="shared" si="2"/>
        <v>10</v>
      </c>
      <c r="N21" s="1"/>
      <c r="O21" s="1" t="s">
        <v>171</v>
      </c>
      <c r="P21" s="1" t="s">
        <v>1023</v>
      </c>
    </row>
    <row r="22" spans="1:16" x14ac:dyDescent="0.25">
      <c r="A22" s="15" t="s">
        <v>1180</v>
      </c>
      <c r="B22" s="16" t="s">
        <v>1161</v>
      </c>
      <c r="C22" s="1" t="s">
        <v>45</v>
      </c>
      <c r="D22" s="1" t="str">
        <f>VLOOKUP($C22,Sheet2!$A$2:$B$10,2,0)</f>
        <v>141186-74360</v>
      </c>
      <c r="E22" s="7" t="s">
        <v>46</v>
      </c>
      <c r="F22" s="12">
        <v>45985</v>
      </c>
      <c r="G22" s="13">
        <v>0.5625</v>
      </c>
      <c r="H22" s="1" t="s">
        <v>31</v>
      </c>
      <c r="I22" s="1" t="s">
        <v>10</v>
      </c>
      <c r="J22" s="1">
        <v>40</v>
      </c>
      <c r="K22" s="14">
        <f>VLOOKUP($C22,Sheet2!$A$2:$D$10,4,0)</f>
        <v>40</v>
      </c>
      <c r="L22" s="14" t="str">
        <f>VLOOKUP($C22,Sheet2!$A$2:$E$10,5,0)</f>
        <v>Trolley</v>
      </c>
      <c r="M22" s="14"/>
      <c r="N22" s="1">
        <f>J22/K22</f>
        <v>1</v>
      </c>
      <c r="O22" s="1" t="s">
        <v>171</v>
      </c>
      <c r="P22" s="1">
        <v>910103038</v>
      </c>
    </row>
    <row r="23" spans="1:16" x14ac:dyDescent="0.25">
      <c r="A23" s="15" t="s">
        <v>1181</v>
      </c>
      <c r="B23" s="16" t="s">
        <v>1165</v>
      </c>
      <c r="C23" s="1" t="s">
        <v>50</v>
      </c>
      <c r="D23" s="1" t="str">
        <f>VLOOKUP($C23,Sheet2!$A$2:$B$10,2,0)</f>
        <v>116040-92240</v>
      </c>
      <c r="E23" s="7" t="s">
        <v>51</v>
      </c>
      <c r="F23" s="12">
        <v>45985</v>
      </c>
      <c r="G23" s="13">
        <v>0.5625</v>
      </c>
      <c r="H23" s="1" t="s">
        <v>52</v>
      </c>
      <c r="I23" s="1" t="s">
        <v>10</v>
      </c>
      <c r="J23" s="1">
        <v>24</v>
      </c>
      <c r="K23" s="14">
        <f>VLOOKUP($C23,Sheet2!$A$2:$D$10,4,0)</f>
        <v>6</v>
      </c>
      <c r="L23" s="14" t="str">
        <f>VLOOKUP($C23,Sheet2!$A$2:$E$10,5,0)</f>
        <v>Bin</v>
      </c>
      <c r="M23" s="14">
        <f t="shared" ref="M23:M25" si="3">J23/K23</f>
        <v>4</v>
      </c>
      <c r="N23" s="1"/>
      <c r="O23" s="1" t="s">
        <v>171</v>
      </c>
      <c r="P23" s="1" t="s">
        <v>463</v>
      </c>
    </row>
    <row r="24" spans="1:16" x14ac:dyDescent="0.25">
      <c r="A24" s="15" t="s">
        <v>1181</v>
      </c>
      <c r="B24" s="16" t="s">
        <v>1170</v>
      </c>
      <c r="C24" s="1" t="s">
        <v>59</v>
      </c>
      <c r="D24" s="1" t="str">
        <f>VLOOKUP($C24,Sheet2!$A$2:$B$10,2,0)</f>
        <v>114010-50820</v>
      </c>
      <c r="E24" s="7" t="s">
        <v>60</v>
      </c>
      <c r="F24" s="12">
        <v>45985</v>
      </c>
      <c r="G24" s="13">
        <v>0.5625</v>
      </c>
      <c r="H24" s="1" t="s">
        <v>52</v>
      </c>
      <c r="I24" s="1" t="s">
        <v>10</v>
      </c>
      <c r="J24" s="1">
        <v>5</v>
      </c>
      <c r="K24" s="14">
        <f>VLOOKUP($C24,Sheet2!$A$2:$D$10,4,0)</f>
        <v>1</v>
      </c>
      <c r="L24" s="14" t="str">
        <f>VLOOKUP($C24,Sheet2!$A$2:$E$10,5,0)</f>
        <v>Bin</v>
      </c>
      <c r="M24" s="14">
        <f t="shared" si="3"/>
        <v>5</v>
      </c>
      <c r="N24" s="1"/>
      <c r="O24" s="1" t="s">
        <v>171</v>
      </c>
      <c r="P24" s="1" t="s">
        <v>1019</v>
      </c>
    </row>
    <row r="25" spans="1:16" ht="15.75" thickBot="1" x14ac:dyDescent="0.3">
      <c r="A25" s="15" t="s">
        <v>1181</v>
      </c>
      <c r="B25" s="16" t="s">
        <v>1174</v>
      </c>
      <c r="C25" s="1" t="s">
        <v>67</v>
      </c>
      <c r="D25" s="1" t="str">
        <f>VLOOKUP($C25,Sheet2!$A$2:$B$10,2,0)</f>
        <v>114010-50830</v>
      </c>
      <c r="E25" s="7" t="s">
        <v>60</v>
      </c>
      <c r="F25" s="12">
        <v>45985</v>
      </c>
      <c r="G25" s="27">
        <v>0.5625</v>
      </c>
      <c r="H25" s="1" t="s">
        <v>52</v>
      </c>
      <c r="I25" s="1" t="s">
        <v>10</v>
      </c>
      <c r="J25" s="1">
        <v>15</v>
      </c>
      <c r="K25" s="14">
        <f>VLOOKUP($C25,Sheet2!$A$2:$D$10,4,0)</f>
        <v>1</v>
      </c>
      <c r="L25" s="14" t="str">
        <f>VLOOKUP($C25,Sheet2!$A$2:$E$10,5,0)</f>
        <v>Bin</v>
      </c>
      <c r="M25" s="14">
        <f t="shared" si="3"/>
        <v>15</v>
      </c>
      <c r="N25" s="1"/>
      <c r="O25" s="1" t="s">
        <v>171</v>
      </c>
      <c r="P25" s="1" t="s">
        <v>1026</v>
      </c>
    </row>
    <row r="26" spans="1:16" ht="15.75" thickTop="1" x14ac:dyDescent="0.25">
      <c r="A26" s="15" t="s">
        <v>1182</v>
      </c>
      <c r="B26" s="16" t="s">
        <v>1140</v>
      </c>
      <c r="C26" s="1" t="s">
        <v>7</v>
      </c>
      <c r="D26" s="1" t="str">
        <f>VLOOKUP($C26,Sheet2!$A$2:$B$10,2,0)</f>
        <v>141110-14600</v>
      </c>
      <c r="E26" s="7" t="s">
        <v>8</v>
      </c>
      <c r="F26" s="12">
        <v>45985</v>
      </c>
      <c r="G26" s="28">
        <v>0.77083333333333337</v>
      </c>
      <c r="H26" s="1" t="s">
        <v>9</v>
      </c>
      <c r="I26" s="1" t="s">
        <v>10</v>
      </c>
      <c r="J26" s="1">
        <v>18</v>
      </c>
      <c r="K26" s="14">
        <f>VLOOKUP($C26,Sheet2!$A$2:$D$10,4,0)</f>
        <v>18</v>
      </c>
      <c r="L26" s="14" t="str">
        <f>VLOOKUP($C26,Sheet2!$A$2:$E$10,5,0)</f>
        <v>Trolley (H)</v>
      </c>
      <c r="M26" s="14"/>
      <c r="N26" s="63">
        <v>1</v>
      </c>
      <c r="O26" s="1" t="s">
        <v>171</v>
      </c>
      <c r="P26" s="1" t="s">
        <v>1289</v>
      </c>
    </row>
    <row r="27" spans="1:16" x14ac:dyDescent="0.25">
      <c r="A27" s="15" t="s">
        <v>1182</v>
      </c>
      <c r="B27" s="16" t="s">
        <v>1144</v>
      </c>
      <c r="C27" s="1" t="s">
        <v>16</v>
      </c>
      <c r="D27" s="1" t="str">
        <f>VLOOKUP($C27,Sheet2!$A$2:$B$10,2,0)</f>
        <v>141120-14600</v>
      </c>
      <c r="E27" s="7" t="s">
        <v>17</v>
      </c>
      <c r="F27" s="12">
        <v>45985</v>
      </c>
      <c r="G27" s="13">
        <v>0.77083333333333337</v>
      </c>
      <c r="H27" s="1" t="s">
        <v>9</v>
      </c>
      <c r="I27" s="1" t="s">
        <v>10</v>
      </c>
      <c r="J27" s="1">
        <v>18</v>
      </c>
      <c r="K27" s="14">
        <f>VLOOKUP($C27,Sheet2!$A$2:$D$10,4,0)</f>
        <v>18</v>
      </c>
      <c r="L27" s="14" t="str">
        <f>VLOOKUP($C27,Sheet2!$A$2:$E$10,5,0)</f>
        <v>Trolley (H)</v>
      </c>
      <c r="M27" s="14"/>
      <c r="N27" s="64"/>
      <c r="O27" s="1" t="s">
        <v>171</v>
      </c>
      <c r="P27" s="1" t="s">
        <v>1289</v>
      </c>
    </row>
    <row r="28" spans="1:16" x14ac:dyDescent="0.25">
      <c r="A28" s="15" t="s">
        <v>1182</v>
      </c>
      <c r="B28" s="16" t="s">
        <v>1148</v>
      </c>
      <c r="C28" s="1" t="s">
        <v>23</v>
      </c>
      <c r="D28" s="1" t="str">
        <f>VLOOKUP($C28,Sheet2!$A$2:$B$10,2,0)</f>
        <v>141185-74670</v>
      </c>
      <c r="E28" s="7" t="s">
        <v>24</v>
      </c>
      <c r="F28" s="12">
        <v>45985</v>
      </c>
      <c r="G28" s="13">
        <v>0.77083333333333337</v>
      </c>
      <c r="H28" s="1" t="s">
        <v>9</v>
      </c>
      <c r="I28" s="1" t="s">
        <v>10</v>
      </c>
      <c r="J28" s="1">
        <v>40</v>
      </c>
      <c r="K28" s="14">
        <f>VLOOKUP($C28,Sheet2!$A$2:$D$10,4,0)</f>
        <v>40</v>
      </c>
      <c r="L28" s="14" t="str">
        <f>VLOOKUP($C28,Sheet2!$A$2:$E$10,5,0)</f>
        <v>Trolley</v>
      </c>
      <c r="M28" s="14"/>
      <c r="N28" s="1">
        <f>J28/K28</f>
        <v>1</v>
      </c>
      <c r="O28" s="1" t="s">
        <v>171</v>
      </c>
      <c r="P28" s="1">
        <v>910102103</v>
      </c>
    </row>
    <row r="29" spans="1:16" x14ac:dyDescent="0.25">
      <c r="A29" s="15" t="s">
        <v>1182</v>
      </c>
      <c r="B29" s="16" t="s">
        <v>1153</v>
      </c>
      <c r="C29" s="1" t="s">
        <v>29</v>
      </c>
      <c r="D29" s="1" t="str">
        <f>VLOOKUP($C29,Sheet2!$A$2:$B$10,2,0)</f>
        <v>141140-91211</v>
      </c>
      <c r="E29" s="7" t="s">
        <v>30</v>
      </c>
      <c r="F29" s="12">
        <v>45985</v>
      </c>
      <c r="G29" s="13">
        <v>0.77083333333333337</v>
      </c>
      <c r="H29" s="1" t="s">
        <v>31</v>
      </c>
      <c r="I29" s="1" t="s">
        <v>10</v>
      </c>
      <c r="J29" s="1">
        <v>20</v>
      </c>
      <c r="K29" s="14">
        <f>VLOOKUP($C29,Sheet2!$A$2:$D$10,4,0)</f>
        <v>2</v>
      </c>
      <c r="L29" s="14" t="str">
        <f>VLOOKUP($C29,Sheet2!$A$2:$E$10,5,0)</f>
        <v>Bin</v>
      </c>
      <c r="M29" s="14">
        <f t="shared" ref="M29:M30" si="4">J29/K29</f>
        <v>10</v>
      </c>
      <c r="N29" s="1"/>
      <c r="O29" s="1" t="s">
        <v>171</v>
      </c>
      <c r="P29" s="1" t="s">
        <v>1023</v>
      </c>
    </row>
    <row r="30" spans="1:16" x14ac:dyDescent="0.25">
      <c r="A30" s="15" t="s">
        <v>1182</v>
      </c>
      <c r="B30" s="16" t="s">
        <v>1158</v>
      </c>
      <c r="C30" s="1" t="s">
        <v>37</v>
      </c>
      <c r="D30" s="1" t="str">
        <f>VLOOKUP($C30,Sheet2!$A$2:$B$10,2,0)</f>
        <v>141150-91211</v>
      </c>
      <c r="E30" s="7" t="s">
        <v>38</v>
      </c>
      <c r="F30" s="12">
        <v>45985</v>
      </c>
      <c r="G30" s="13">
        <v>0.77083333333333337</v>
      </c>
      <c r="H30" s="1" t="s">
        <v>31</v>
      </c>
      <c r="I30" s="1" t="s">
        <v>10</v>
      </c>
      <c r="J30" s="1">
        <v>20</v>
      </c>
      <c r="K30" s="14">
        <f>VLOOKUP($C30,Sheet2!$A$2:$D$10,4,0)</f>
        <v>2</v>
      </c>
      <c r="L30" s="14" t="str">
        <f>VLOOKUP($C30,Sheet2!$A$2:$E$10,5,0)</f>
        <v>Bin</v>
      </c>
      <c r="M30" s="14">
        <f t="shared" si="4"/>
        <v>10</v>
      </c>
      <c r="N30" s="1"/>
      <c r="O30" s="1" t="s">
        <v>171</v>
      </c>
      <c r="P30" s="1" t="s">
        <v>1023</v>
      </c>
    </row>
    <row r="31" spans="1:16" x14ac:dyDescent="0.25">
      <c r="A31" s="15" t="s">
        <v>1182</v>
      </c>
      <c r="B31" s="16" t="s">
        <v>1162</v>
      </c>
      <c r="C31" s="1" t="s">
        <v>45</v>
      </c>
      <c r="D31" s="1" t="str">
        <f>VLOOKUP($C31,Sheet2!$A$2:$B$10,2,0)</f>
        <v>141186-74360</v>
      </c>
      <c r="E31" s="7" t="s">
        <v>46</v>
      </c>
      <c r="F31" s="12">
        <v>45985</v>
      </c>
      <c r="G31" s="13">
        <v>0.77083333333333337</v>
      </c>
      <c r="H31" s="1" t="s">
        <v>31</v>
      </c>
      <c r="I31" s="1" t="s">
        <v>10</v>
      </c>
      <c r="J31" s="1">
        <v>40</v>
      </c>
      <c r="K31" s="14">
        <f>VLOOKUP($C31,Sheet2!$A$2:$D$10,4,0)</f>
        <v>40</v>
      </c>
      <c r="L31" s="14" t="str">
        <f>VLOOKUP($C31,Sheet2!$A$2:$E$10,5,0)</f>
        <v>Trolley</v>
      </c>
      <c r="M31" s="14"/>
      <c r="N31" s="1">
        <f>J31/K31</f>
        <v>1</v>
      </c>
      <c r="O31" s="1" t="s">
        <v>171</v>
      </c>
      <c r="P31" s="1">
        <v>910103038</v>
      </c>
    </row>
    <row r="32" spans="1:16" x14ac:dyDescent="0.25">
      <c r="A32" s="15" t="s">
        <v>1183</v>
      </c>
      <c r="B32" s="16" t="s">
        <v>1166</v>
      </c>
      <c r="C32" s="1" t="s">
        <v>50</v>
      </c>
      <c r="D32" s="1" t="str">
        <f>VLOOKUP($C32,Sheet2!$A$2:$B$10,2,0)</f>
        <v>116040-92240</v>
      </c>
      <c r="E32" s="7" t="s">
        <v>51</v>
      </c>
      <c r="F32" s="12">
        <v>45985</v>
      </c>
      <c r="G32" s="13">
        <v>0.77083333333333337</v>
      </c>
      <c r="H32" s="1" t="s">
        <v>52</v>
      </c>
      <c r="I32" s="1" t="s">
        <v>10</v>
      </c>
      <c r="J32" s="1">
        <v>18</v>
      </c>
      <c r="K32" s="14">
        <f>VLOOKUP($C32,Sheet2!$A$2:$D$10,4,0)</f>
        <v>6</v>
      </c>
      <c r="L32" s="14" t="str">
        <f>VLOOKUP($C32,Sheet2!$A$2:$E$10,5,0)</f>
        <v>Bin</v>
      </c>
      <c r="M32" s="14">
        <f t="shared" ref="M32:M34" si="5">J32/K32</f>
        <v>3</v>
      </c>
      <c r="N32" s="1"/>
      <c r="O32" s="1" t="s">
        <v>171</v>
      </c>
      <c r="P32" s="1" t="s">
        <v>463</v>
      </c>
    </row>
    <row r="33" spans="1:16" x14ac:dyDescent="0.25">
      <c r="A33" s="15" t="s">
        <v>1183</v>
      </c>
      <c r="B33" s="16" t="s">
        <v>1171</v>
      </c>
      <c r="C33" s="1" t="s">
        <v>59</v>
      </c>
      <c r="D33" s="1" t="str">
        <f>VLOOKUP($C33,Sheet2!$A$2:$B$10,2,0)</f>
        <v>114010-50820</v>
      </c>
      <c r="E33" s="7" t="s">
        <v>60</v>
      </c>
      <c r="F33" s="12">
        <v>45985</v>
      </c>
      <c r="G33" s="13">
        <v>0.77083333333333337</v>
      </c>
      <c r="H33" s="1" t="s">
        <v>52</v>
      </c>
      <c r="I33" s="1" t="s">
        <v>10</v>
      </c>
      <c r="J33" s="1">
        <v>5</v>
      </c>
      <c r="K33" s="14">
        <f>VLOOKUP($C33,Sheet2!$A$2:$D$10,4,0)</f>
        <v>1</v>
      </c>
      <c r="L33" s="14" t="str">
        <f>VLOOKUP($C33,Sheet2!$A$2:$E$10,5,0)</f>
        <v>Bin</v>
      </c>
      <c r="M33" s="14">
        <f t="shared" si="5"/>
        <v>5</v>
      </c>
      <c r="N33" s="1"/>
      <c r="O33" s="1" t="s">
        <v>171</v>
      </c>
      <c r="P33" s="1" t="s">
        <v>1019</v>
      </c>
    </row>
    <row r="34" spans="1:16" ht="15.75" customHeight="1" x14ac:dyDescent="0.25">
      <c r="A34" s="15" t="s">
        <v>1183</v>
      </c>
      <c r="B34" s="16" t="s">
        <v>1175</v>
      </c>
      <c r="C34" s="1" t="s">
        <v>67</v>
      </c>
      <c r="D34" s="1" t="str">
        <f>VLOOKUP($C34,Sheet2!$A$2:$B$10,2,0)</f>
        <v>114010-50830</v>
      </c>
      <c r="E34" s="7" t="s">
        <v>60</v>
      </c>
      <c r="F34" s="12">
        <v>45985</v>
      </c>
      <c r="G34" s="13">
        <v>0.77083333333333337</v>
      </c>
      <c r="H34" s="1" t="s">
        <v>52</v>
      </c>
      <c r="I34" s="1" t="s">
        <v>10</v>
      </c>
      <c r="J34" s="1">
        <v>15</v>
      </c>
      <c r="K34" s="14">
        <f>VLOOKUP($C34,Sheet2!$A$2:$D$10,4,0)</f>
        <v>1</v>
      </c>
      <c r="L34" s="14" t="str">
        <f>VLOOKUP($C34,Sheet2!$A$2:$E$10,5,0)</f>
        <v>Bin</v>
      </c>
      <c r="M34" s="14">
        <f t="shared" si="5"/>
        <v>15</v>
      </c>
      <c r="N34" s="1"/>
      <c r="O34" s="1" t="s">
        <v>171</v>
      </c>
      <c r="P34" s="1" t="s">
        <v>1026</v>
      </c>
    </row>
    <row r="35" spans="1:16" s="20" customForma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>
        <v>87</v>
      </c>
      <c r="N35" s="9">
        <v>6</v>
      </c>
      <c r="O35" s="9"/>
      <c r="P35" s="9"/>
    </row>
    <row r="36" spans="1:16" x14ac:dyDescent="0.25">
      <c r="A36" s="15" t="s">
        <v>1184</v>
      </c>
      <c r="B36" s="16" t="s">
        <v>1141</v>
      </c>
      <c r="C36" s="1" t="s">
        <v>7</v>
      </c>
      <c r="D36" s="1" t="str">
        <f>VLOOKUP($C36,Sheet2!$A$2:$B$10,2,0)</f>
        <v>141110-14600</v>
      </c>
      <c r="E36" s="7" t="s">
        <v>8</v>
      </c>
      <c r="F36" s="12">
        <v>45985</v>
      </c>
      <c r="G36" s="13">
        <v>0.97916666666666663</v>
      </c>
      <c r="H36" s="1" t="s">
        <v>9</v>
      </c>
      <c r="I36" s="1" t="s">
        <v>10</v>
      </c>
      <c r="J36" s="1">
        <v>36</v>
      </c>
      <c r="K36" s="14">
        <f>VLOOKUP($C36,Sheet2!$A$2:$D$10,4,0)</f>
        <v>18</v>
      </c>
      <c r="L36" s="14" t="str">
        <f>VLOOKUP($C36,Sheet2!$A$2:$E$10,5,0)</f>
        <v>Trolley (H)</v>
      </c>
      <c r="M36" s="14"/>
      <c r="N36" s="63">
        <v>2</v>
      </c>
      <c r="O36" s="1" t="s">
        <v>528</v>
      </c>
      <c r="P36" s="1" t="s">
        <v>1289</v>
      </c>
    </row>
    <row r="37" spans="1:16" x14ac:dyDescent="0.25">
      <c r="A37" s="15" t="s">
        <v>1184</v>
      </c>
      <c r="B37" s="16" t="s">
        <v>1145</v>
      </c>
      <c r="C37" s="1" t="s">
        <v>16</v>
      </c>
      <c r="D37" s="1" t="str">
        <f>VLOOKUP($C37,Sheet2!$A$2:$B$10,2,0)</f>
        <v>141120-14600</v>
      </c>
      <c r="E37" s="7" t="s">
        <v>17</v>
      </c>
      <c r="F37" s="12">
        <v>45985</v>
      </c>
      <c r="G37" s="13">
        <v>0.97916666666666663</v>
      </c>
      <c r="H37" s="1" t="s">
        <v>9</v>
      </c>
      <c r="I37" s="1" t="s">
        <v>10</v>
      </c>
      <c r="J37" s="1">
        <v>36</v>
      </c>
      <c r="K37" s="14">
        <f>VLOOKUP($C37,Sheet2!$A$2:$D$10,4,0)</f>
        <v>18</v>
      </c>
      <c r="L37" s="14" t="str">
        <f>VLOOKUP($C37,Sheet2!$A$2:$E$10,5,0)</f>
        <v>Trolley (H)</v>
      </c>
      <c r="M37" s="14"/>
      <c r="N37" s="64"/>
      <c r="O37" s="1" t="s">
        <v>528</v>
      </c>
      <c r="P37" s="1" t="s">
        <v>1289</v>
      </c>
    </row>
    <row r="38" spans="1:16" x14ac:dyDescent="0.25">
      <c r="A38" s="15" t="s">
        <v>1184</v>
      </c>
      <c r="B38" s="16" t="s">
        <v>1149</v>
      </c>
      <c r="C38" s="1" t="s">
        <v>23</v>
      </c>
      <c r="D38" s="1" t="str">
        <f>VLOOKUP($C38,Sheet2!$A$2:$B$10,2,0)</f>
        <v>141185-74670</v>
      </c>
      <c r="E38" s="7" t="s">
        <v>24</v>
      </c>
      <c r="F38" s="12">
        <v>45985</v>
      </c>
      <c r="G38" s="13">
        <v>0.97916666666666663</v>
      </c>
      <c r="H38" s="1" t="s">
        <v>9</v>
      </c>
      <c r="I38" s="1" t="s">
        <v>10</v>
      </c>
      <c r="J38" s="1">
        <v>40</v>
      </c>
      <c r="K38" s="14">
        <f>VLOOKUP($C38,Sheet2!$A$2:$D$10,4,0)</f>
        <v>40</v>
      </c>
      <c r="L38" s="14" t="str">
        <f>VLOOKUP($C38,Sheet2!$A$2:$E$10,5,0)</f>
        <v>Trolley</v>
      </c>
      <c r="M38" s="14"/>
      <c r="N38" s="1">
        <f>J38/K38</f>
        <v>1</v>
      </c>
      <c r="O38" s="1" t="s">
        <v>528</v>
      </c>
      <c r="P38" s="1">
        <v>910102103</v>
      </c>
    </row>
    <row r="39" spans="1:16" x14ac:dyDescent="0.25">
      <c r="A39" s="15" t="s">
        <v>1184</v>
      </c>
      <c r="B39" s="16" t="s">
        <v>1154</v>
      </c>
      <c r="C39" s="1" t="s">
        <v>29</v>
      </c>
      <c r="D39" s="1" t="str">
        <f>VLOOKUP($C39,Sheet2!$A$2:$B$10,2,0)</f>
        <v>141140-91211</v>
      </c>
      <c r="E39" s="7" t="s">
        <v>30</v>
      </c>
      <c r="F39" s="12">
        <v>45985</v>
      </c>
      <c r="G39" s="13">
        <v>0.97916666666666663</v>
      </c>
      <c r="H39" s="1" t="s">
        <v>31</v>
      </c>
      <c r="I39" s="1" t="s">
        <v>10</v>
      </c>
      <c r="J39" s="1">
        <v>30</v>
      </c>
      <c r="K39" s="14">
        <f>VLOOKUP($C39,Sheet2!$A$2:$D$10,4,0)</f>
        <v>2</v>
      </c>
      <c r="L39" s="14" t="str">
        <f>VLOOKUP($C39,Sheet2!$A$2:$E$10,5,0)</f>
        <v>Bin</v>
      </c>
      <c r="M39" s="14">
        <f t="shared" ref="M39:M40" si="6">J39/K39</f>
        <v>15</v>
      </c>
      <c r="N39" s="1"/>
      <c r="O39" s="1" t="s">
        <v>528</v>
      </c>
      <c r="P39" s="1" t="s">
        <v>1023</v>
      </c>
    </row>
    <row r="40" spans="1:16" x14ac:dyDescent="0.25">
      <c r="A40" s="15" t="s">
        <v>1184</v>
      </c>
      <c r="B40" s="16" t="s">
        <v>1159</v>
      </c>
      <c r="C40" s="1" t="s">
        <v>37</v>
      </c>
      <c r="D40" s="1" t="str">
        <f>VLOOKUP($C40,Sheet2!$A$2:$B$10,2,0)</f>
        <v>141150-91211</v>
      </c>
      <c r="E40" s="7" t="s">
        <v>38</v>
      </c>
      <c r="F40" s="12">
        <v>45985</v>
      </c>
      <c r="G40" s="13">
        <v>0.97916666666666663</v>
      </c>
      <c r="H40" s="1" t="s">
        <v>31</v>
      </c>
      <c r="I40" s="1" t="s">
        <v>10</v>
      </c>
      <c r="J40" s="1">
        <v>30</v>
      </c>
      <c r="K40" s="14">
        <f>VLOOKUP($C40,Sheet2!$A$2:$D$10,4,0)</f>
        <v>2</v>
      </c>
      <c r="L40" s="14" t="str">
        <f>VLOOKUP($C40,Sheet2!$A$2:$E$10,5,0)</f>
        <v>Bin</v>
      </c>
      <c r="M40" s="14">
        <f t="shared" si="6"/>
        <v>15</v>
      </c>
      <c r="N40" s="1"/>
      <c r="O40" s="1" t="s">
        <v>528</v>
      </c>
      <c r="P40" s="1" t="s">
        <v>1023</v>
      </c>
    </row>
    <row r="41" spans="1:16" x14ac:dyDescent="0.25">
      <c r="A41" s="15" t="s">
        <v>1184</v>
      </c>
      <c r="B41" s="16" t="s">
        <v>1163</v>
      </c>
      <c r="C41" s="1" t="s">
        <v>45</v>
      </c>
      <c r="D41" s="1" t="str">
        <f>VLOOKUP($C41,Sheet2!$A$2:$B$10,2,0)</f>
        <v>141186-74360</v>
      </c>
      <c r="E41" s="7" t="s">
        <v>46</v>
      </c>
      <c r="F41" s="12">
        <v>45985</v>
      </c>
      <c r="G41" s="13">
        <v>0.97916666666666663</v>
      </c>
      <c r="H41" s="1" t="s">
        <v>31</v>
      </c>
      <c r="I41" s="1" t="s">
        <v>10</v>
      </c>
      <c r="J41" s="1">
        <v>40</v>
      </c>
      <c r="K41" s="14">
        <f>VLOOKUP($C41,Sheet2!$A$2:$D$10,4,0)</f>
        <v>40</v>
      </c>
      <c r="L41" s="14" t="str">
        <f>VLOOKUP($C41,Sheet2!$A$2:$E$10,5,0)</f>
        <v>Trolley</v>
      </c>
      <c r="M41" s="14"/>
      <c r="N41" s="1">
        <f>J41/K41</f>
        <v>1</v>
      </c>
      <c r="O41" s="1" t="s">
        <v>528</v>
      </c>
      <c r="P41" s="1">
        <v>910103038</v>
      </c>
    </row>
    <row r="42" spans="1:16" x14ac:dyDescent="0.25">
      <c r="A42" s="15" t="s">
        <v>1185</v>
      </c>
      <c r="B42" s="16" t="s">
        <v>1167</v>
      </c>
      <c r="C42" s="1" t="s">
        <v>50</v>
      </c>
      <c r="D42" s="1" t="str">
        <f>VLOOKUP($C42,Sheet2!$A$2:$B$10,2,0)</f>
        <v>116040-92240</v>
      </c>
      <c r="E42" s="7" t="s">
        <v>51</v>
      </c>
      <c r="F42" s="12">
        <v>45985</v>
      </c>
      <c r="G42" s="13">
        <v>0.97916666666666663</v>
      </c>
      <c r="H42" s="1" t="s">
        <v>52</v>
      </c>
      <c r="I42" s="1" t="s">
        <v>10</v>
      </c>
      <c r="J42" s="1">
        <v>30</v>
      </c>
      <c r="K42" s="14">
        <f>VLOOKUP($C42,Sheet2!$A$2:$D$10,4,0)</f>
        <v>6</v>
      </c>
      <c r="L42" s="14" t="str">
        <f>VLOOKUP($C42,Sheet2!$A$2:$E$10,5,0)</f>
        <v>Bin</v>
      </c>
      <c r="M42" s="14">
        <f t="shared" ref="M42:M44" si="7">J42/K42</f>
        <v>5</v>
      </c>
      <c r="N42" s="1"/>
      <c r="O42" s="1" t="s">
        <v>528</v>
      </c>
      <c r="P42" s="1" t="s">
        <v>463</v>
      </c>
    </row>
    <row r="43" spans="1:16" x14ac:dyDescent="0.25">
      <c r="A43" s="15" t="s">
        <v>1185</v>
      </c>
      <c r="B43" s="16" t="s">
        <v>1172</v>
      </c>
      <c r="C43" s="1" t="s">
        <v>59</v>
      </c>
      <c r="D43" s="1" t="str">
        <f>VLOOKUP($C43,Sheet2!$A$2:$B$10,2,0)</f>
        <v>114010-50820</v>
      </c>
      <c r="E43" s="7" t="s">
        <v>60</v>
      </c>
      <c r="F43" s="12">
        <v>45985</v>
      </c>
      <c r="G43" s="13">
        <v>0.97916666666666663</v>
      </c>
      <c r="H43" s="1" t="s">
        <v>52</v>
      </c>
      <c r="I43" s="1" t="s">
        <v>10</v>
      </c>
      <c r="J43" s="1">
        <v>15</v>
      </c>
      <c r="K43" s="14">
        <f>VLOOKUP($C43,Sheet2!$A$2:$D$10,4,0)</f>
        <v>1</v>
      </c>
      <c r="L43" s="14" t="str">
        <f>VLOOKUP($C43,Sheet2!$A$2:$E$10,5,0)</f>
        <v>Bin</v>
      </c>
      <c r="M43" s="14">
        <f t="shared" si="7"/>
        <v>15</v>
      </c>
      <c r="N43" s="1"/>
      <c r="O43" s="1" t="s">
        <v>528</v>
      </c>
      <c r="P43" s="1" t="s">
        <v>1019</v>
      </c>
    </row>
    <row r="44" spans="1:16" x14ac:dyDescent="0.25">
      <c r="A44" s="15" t="s">
        <v>1185</v>
      </c>
      <c r="B44" s="16" t="s">
        <v>1176</v>
      </c>
      <c r="C44" s="1" t="s">
        <v>67</v>
      </c>
      <c r="D44" s="1" t="str">
        <f>VLOOKUP($C44,Sheet2!$A$2:$B$10,2,0)</f>
        <v>114010-50830</v>
      </c>
      <c r="E44" s="7" t="s">
        <v>60</v>
      </c>
      <c r="F44" s="12">
        <v>45985</v>
      </c>
      <c r="G44" s="13">
        <v>0.97916666666666663</v>
      </c>
      <c r="H44" s="1" t="s">
        <v>52</v>
      </c>
      <c r="I44" s="1" t="s">
        <v>10</v>
      </c>
      <c r="J44" s="1">
        <v>15</v>
      </c>
      <c r="K44" s="14">
        <f>VLOOKUP($C44,Sheet2!$A$2:$D$10,4,0)</f>
        <v>1</v>
      </c>
      <c r="L44" s="14" t="str">
        <f>VLOOKUP($C44,Sheet2!$A$2:$E$10,5,0)</f>
        <v>Bin</v>
      </c>
      <c r="M44" s="14">
        <f t="shared" si="7"/>
        <v>15</v>
      </c>
      <c r="N44" s="1"/>
      <c r="O44" s="1" t="s">
        <v>528</v>
      </c>
      <c r="P44" s="1" t="s">
        <v>1026</v>
      </c>
    </row>
    <row r="45" spans="1:16" s="20" customForma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>
        <v>65</v>
      </c>
      <c r="N45" s="9">
        <v>4</v>
      </c>
      <c r="O45" s="9"/>
      <c r="P45" s="9"/>
    </row>
    <row r="46" spans="1:16" ht="15" customHeight="1" x14ac:dyDescent="0.25">
      <c r="B46" s="45" t="s">
        <v>1177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7"/>
    </row>
  </sheetData>
  <mergeCells count="7">
    <mergeCell ref="N36:N37"/>
    <mergeCell ref="A1:F1"/>
    <mergeCell ref="J1:N1"/>
    <mergeCell ref="L2:N2"/>
    <mergeCell ref="N4:N5"/>
    <mergeCell ref="N17:N18"/>
    <mergeCell ref="N26:N27"/>
  </mergeCells>
  <conditionalFormatting sqref="B2">
    <cfRule type="duplicateValues" dxfId="278" priority="46"/>
    <cfRule type="duplicateValues" dxfId="277" priority="45"/>
  </conditionalFormatting>
  <conditionalFormatting sqref="B4:B15 B17:B34 B36:B44">
    <cfRule type="duplicateValues" dxfId="276" priority="38"/>
  </conditionalFormatting>
  <conditionalFormatting sqref="C2:D2">
    <cfRule type="duplicateValues" dxfId="275" priority="48"/>
    <cfRule type="duplicateValues" dxfId="274" priority="47"/>
  </conditionalFormatting>
  <conditionalFormatting sqref="D3">
    <cfRule type="duplicateValues" dxfId="271" priority="44"/>
    <cfRule type="duplicateValues" dxfId="270" priority="43"/>
  </conditionalFormatting>
  <conditionalFormatting sqref="D16">
    <cfRule type="duplicateValues" dxfId="265" priority="27"/>
    <cfRule type="duplicateValues" dxfId="264" priority="26"/>
  </conditionalFormatting>
  <conditionalFormatting sqref="D35">
    <cfRule type="duplicateValues" dxfId="263" priority="12"/>
    <cfRule type="duplicateValues" dxfId="261" priority="13"/>
  </conditionalFormatting>
  <conditionalFormatting sqref="D45">
    <cfRule type="duplicateValues" dxfId="260" priority="5"/>
    <cfRule type="duplicateValues" dxfId="259" priority="6"/>
  </conditionalFormatting>
  <hyperlinks>
    <hyperlink ref="B46" r:id="rId1" display="http://192.168.1.249/downloads/temp/X539_eNagare_20251122.log" xr:uid="{B201A932-50D7-408F-B04D-66F59FE94679}"/>
  </hyperlinks>
  <pageMargins left="0.17" right="0.17" top="0.26" bottom="0.17" header="0.3" footer="0.3"/>
  <pageSetup paperSize="9" scale="62" orientation="landscape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operator="containsText" text="17521M68PA0" id="{F4698D1E-7BC3-4B7A-BDEE-B14AB1D7D63D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C4:D15 C17:D34 C36:D44</xm:sqref>
        </x14:conditionalFormatting>
        <x14:conditionalFormatting xmlns:xm="http://schemas.microsoft.com/office/excel/2006/main">
          <x14:cfRule type="containsText" priority="53" operator="containsText" text="17521M68PA0" id="{C5FE9DA4-8F4C-4B8C-A565-097451494CB3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1" operator="containsText" text="17521M74T00" id="{DF9FE5C5-8595-4929-9D45-7CD818E69484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29" operator="containsText" text="17521M74T00" id="{44D741DF-50A7-410C-AC45-8265910CB607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17521M68PA0" id="{484F971A-BCE3-43CD-BF38-E30464E74A1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D4:D15 D17:D34 D36:D44</xm:sqref>
        </x14:conditionalFormatting>
        <x14:conditionalFormatting xmlns:xm="http://schemas.microsoft.com/office/excel/2006/main">
          <x14:cfRule type="containsText" priority="28" operator="containsText" text="17521M68PA0" id="{6F784E6C-4DF8-4397-B80E-68CEFB33F38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containsText" priority="14" operator="containsText" text="17521M68PA0" id="{347A8596-CA03-43FC-88E9-B6BECFAD5B1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containsText" priority="7" operator="containsText" text="17521M68PA0" id="{C1184F75-0326-4C3D-ADDE-5ECE30575E2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D45</xm:sqref>
        </x14:conditionalFormatting>
        <x14:conditionalFormatting xmlns:xm="http://schemas.microsoft.com/office/excel/2006/main">
          <x14:cfRule type="containsText" priority="49" operator="containsText" text="17521M68PA0" id="{5CE7AF09-2556-4A52-8DC1-E67CE8682D61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0" operator="containsText" text="17521M74T00" id="{5816125C-68F9-4071-8EF9-8CF754B629C5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0" operator="containsText" text="BELT,WATER PUMP - 7PK 975" id="{8BD0F293-2A4F-4052-A3C4-1E02BAA749F4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431BA7B6-DD38-4014-97C1-DF905D1BB014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E3:E45</xm:sqref>
        </x14:conditionalFormatting>
        <x14:conditionalFormatting xmlns:xm="http://schemas.microsoft.com/office/excel/2006/main">
          <x14:cfRule type="containsText" priority="23" operator="containsText" text="BELT,WATER PUMP - 7PK 975" id="{BAE20115-D6CC-4C57-ADB6-7D3C96FCCED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9" operator="containsText" text="BELT,WATER PUMP - 7PK 975" id="{E4D760B9-54E0-4FEF-9F10-F5BF2008A98A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E35</xm:sqref>
        </x14:conditionalFormatting>
        <x14:conditionalFormatting xmlns:xm="http://schemas.microsoft.com/office/excel/2006/main">
          <x14:cfRule type="containsText" priority="2" operator="containsText" text="BELT,WATER PUMP - 7PK 975" id="{10D5A955-ABA0-4D5D-8650-00B0E79CD64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E45</xm:sqref>
        </x14:conditionalFormatting>
        <x14:conditionalFormatting xmlns:xm="http://schemas.microsoft.com/office/excel/2006/main">
          <x14:cfRule type="containsText" priority="51" operator="containsText" text="BELT,WATER PUMP - 5PK 913" id="{3542081A-FDC8-456E-870C-4E101D4D1F3F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2" operator="containsText" text="BELT,WATER PUMP - 7PK 975" id="{11C93440-4A22-4658-B684-8EB24C9BE79A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1" operator="containsText" text="5PK 913" id="{C637ADB7-1185-48FD-873F-F379B7441DD5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2" operator="containsText" text="7PK 975" id="{177E31B1-AA83-4711-AFF6-03131D1B836C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5" operator="containsText" text="7PK 975" id="{CB4A0FC2-F1B9-488F-8F73-65BC7AB16E1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" operator="containsText" text="5PK 913" id="{28FC5FDA-850B-4C4A-8CFE-0D566A5E781E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P16</xm:sqref>
        </x14:conditionalFormatting>
        <x14:conditionalFormatting xmlns:xm="http://schemas.microsoft.com/office/excel/2006/main">
          <x14:cfRule type="containsText" priority="10" operator="containsText" text="5PK 913" id="{1C96339D-FA68-4473-9939-7655B7496D9F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1" operator="containsText" text="7PK 975" id="{6D4720B9-395E-415E-B9A0-B8C726A5A20C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P35</xm:sqref>
        </x14:conditionalFormatting>
        <x14:conditionalFormatting xmlns:xm="http://schemas.microsoft.com/office/excel/2006/main">
          <x14:cfRule type="containsText" priority="3" operator="containsText" text="5PK 913" id="{BDEEECB3-6D24-4330-8D55-CAC2554D0FB3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7PK 975" id="{72E900DA-476A-45BF-B433-FCAA6046A198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P45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471C-A7C6-4D55-B1FD-FA0271E6B8EF}">
  <sheetPr>
    <pageSetUpPr fitToPage="1"/>
  </sheetPr>
  <dimension ref="A1:P54"/>
  <sheetViews>
    <sheetView topLeftCell="A19" workbookViewId="0">
      <selection activeCell="A4" sqref="A4:XFD54"/>
    </sheetView>
  </sheetViews>
  <sheetFormatPr defaultColWidth="79.140625" defaultRowHeight="15" x14ac:dyDescent="0.25"/>
  <cols>
    <col min="1" max="1" width="15.425781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7.7109375" bestFit="1" customWidth="1"/>
    <col min="8" max="8" width="16.14062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28515625" bestFit="1" customWidth="1"/>
    <col min="16" max="16" width="42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45986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1227</v>
      </c>
      <c r="B4" s="16" t="s">
        <v>1186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45986</v>
      </c>
      <c r="G4" s="13">
        <v>0.35416666666666669</v>
      </c>
      <c r="H4" s="1" t="s">
        <v>9</v>
      </c>
      <c r="I4" s="1" t="s">
        <v>10</v>
      </c>
      <c r="J4" s="1">
        <v>36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2</v>
      </c>
      <c r="O4" s="1" t="s">
        <v>166</v>
      </c>
      <c r="P4" s="1" t="s">
        <v>1289</v>
      </c>
    </row>
    <row r="5" spans="1:16" x14ac:dyDescent="0.25">
      <c r="A5" s="15" t="s">
        <v>1227</v>
      </c>
      <c r="B5" s="16" t="s">
        <v>1190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45986</v>
      </c>
      <c r="G5" s="13">
        <v>0.35416666666666669</v>
      </c>
      <c r="H5" s="1" t="s">
        <v>9</v>
      </c>
      <c r="I5" s="1" t="s">
        <v>10</v>
      </c>
      <c r="J5" s="1">
        <v>36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1289</v>
      </c>
    </row>
    <row r="6" spans="1:16" x14ac:dyDescent="0.25">
      <c r="A6" s="15" t="s">
        <v>1227</v>
      </c>
      <c r="B6" s="16" t="s">
        <v>1194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45986</v>
      </c>
      <c r="G6" s="13">
        <v>0.35416666666666669</v>
      </c>
      <c r="H6" s="1" t="s">
        <v>9</v>
      </c>
      <c r="I6" s="1" t="s">
        <v>10</v>
      </c>
      <c r="J6" s="1">
        <v>80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2</v>
      </c>
      <c r="O6" s="1" t="s">
        <v>166</v>
      </c>
      <c r="P6" s="1">
        <v>910102103</v>
      </c>
    </row>
    <row r="7" spans="1:16" x14ac:dyDescent="0.25">
      <c r="A7" s="15" t="s">
        <v>1227</v>
      </c>
      <c r="B7" s="16" t="s">
        <v>1198</v>
      </c>
      <c r="C7" s="1" t="s">
        <v>29</v>
      </c>
      <c r="D7" s="1" t="str">
        <f>VLOOKUP($C7,Sheet2!$A$2:$B$10,2,0)</f>
        <v>141140-91211</v>
      </c>
      <c r="E7" s="7" t="s">
        <v>30</v>
      </c>
      <c r="F7" s="12">
        <v>45986</v>
      </c>
      <c r="G7" s="13">
        <v>0.35416666666666669</v>
      </c>
      <c r="H7" s="1" t="s">
        <v>31</v>
      </c>
      <c r="I7" s="1" t="s">
        <v>10</v>
      </c>
      <c r="J7" s="1">
        <v>30</v>
      </c>
      <c r="K7" s="14">
        <f>VLOOKUP($C7,Sheet2!$A$2:$D$10,4,0)</f>
        <v>2</v>
      </c>
      <c r="L7" s="14" t="str">
        <f>VLOOKUP($C7,Sheet2!$A$2:$E$10,5,0)</f>
        <v>Bin</v>
      </c>
      <c r="M7" s="14">
        <f>J7/K7</f>
        <v>15</v>
      </c>
      <c r="N7" s="1"/>
      <c r="O7" s="1" t="s">
        <v>166</v>
      </c>
      <c r="P7" s="1" t="s">
        <v>1023</v>
      </c>
    </row>
    <row r="8" spans="1:16" x14ac:dyDescent="0.25">
      <c r="A8" s="15" t="s">
        <v>1227</v>
      </c>
      <c r="B8" s="16" t="s">
        <v>1199</v>
      </c>
      <c r="C8" s="1" t="s">
        <v>29</v>
      </c>
      <c r="D8" s="1" t="str">
        <f>VLOOKUP($C8,Sheet2!$A$2:$B$10,2,0)</f>
        <v>141140-91211</v>
      </c>
      <c r="E8" s="7" t="s">
        <v>30</v>
      </c>
      <c r="F8" s="12">
        <v>45986</v>
      </c>
      <c r="G8" s="13">
        <v>0.35416666666666669</v>
      </c>
      <c r="H8" s="1" t="s">
        <v>31</v>
      </c>
      <c r="I8" s="1" t="s">
        <v>10</v>
      </c>
      <c r="J8" s="1">
        <v>8</v>
      </c>
      <c r="K8" s="14">
        <f>VLOOKUP($C8,Sheet2!$A$2:$D$10,4,0)</f>
        <v>2</v>
      </c>
      <c r="L8" s="14" t="str">
        <f>VLOOKUP($C8,Sheet2!$A$2:$E$10,5,0)</f>
        <v>Bin</v>
      </c>
      <c r="M8" s="14">
        <f t="shared" ref="M8:M10" si="0">J8/K8</f>
        <v>4</v>
      </c>
      <c r="N8" s="1"/>
      <c r="O8" s="1" t="s">
        <v>166</v>
      </c>
      <c r="P8" s="1" t="s">
        <v>1023</v>
      </c>
    </row>
    <row r="9" spans="1:16" x14ac:dyDescent="0.25">
      <c r="A9" s="15" t="s">
        <v>1227</v>
      </c>
      <c r="B9" s="16" t="s">
        <v>1203</v>
      </c>
      <c r="C9" s="1" t="s">
        <v>37</v>
      </c>
      <c r="D9" s="1" t="str">
        <f>VLOOKUP($C9,Sheet2!$A$2:$B$10,2,0)</f>
        <v>141150-91211</v>
      </c>
      <c r="E9" s="7" t="s">
        <v>38</v>
      </c>
      <c r="F9" s="12">
        <v>45986</v>
      </c>
      <c r="G9" s="13">
        <v>0.35416666666666669</v>
      </c>
      <c r="H9" s="1" t="s">
        <v>31</v>
      </c>
      <c r="I9" s="1" t="s">
        <v>10</v>
      </c>
      <c r="J9" s="1">
        <v>30</v>
      </c>
      <c r="K9" s="14">
        <f>VLOOKUP($C9,Sheet2!$A$2:$D$10,4,0)</f>
        <v>2</v>
      </c>
      <c r="L9" s="14" t="str">
        <f>VLOOKUP($C9,Sheet2!$A$2:$E$10,5,0)</f>
        <v>Bin</v>
      </c>
      <c r="M9" s="14">
        <f t="shared" si="0"/>
        <v>15</v>
      </c>
      <c r="N9" s="1"/>
      <c r="O9" s="1" t="s">
        <v>166</v>
      </c>
      <c r="P9" s="1" t="s">
        <v>1023</v>
      </c>
    </row>
    <row r="10" spans="1:16" x14ac:dyDescent="0.25">
      <c r="A10" s="15" t="s">
        <v>1227</v>
      </c>
      <c r="B10" s="16" t="s">
        <v>1204</v>
      </c>
      <c r="C10" s="1" t="s">
        <v>37</v>
      </c>
      <c r="D10" s="1" t="str">
        <f>VLOOKUP($C10,Sheet2!$A$2:$B$10,2,0)</f>
        <v>141150-91211</v>
      </c>
      <c r="E10" s="7" t="s">
        <v>38</v>
      </c>
      <c r="F10" s="12">
        <v>45986</v>
      </c>
      <c r="G10" s="13">
        <v>0.35416666666666669</v>
      </c>
      <c r="H10" s="1" t="s">
        <v>31</v>
      </c>
      <c r="I10" s="1" t="s">
        <v>10</v>
      </c>
      <c r="J10" s="1">
        <v>8</v>
      </c>
      <c r="K10" s="14">
        <f>VLOOKUP($C10,Sheet2!$A$2:$D$10,4,0)</f>
        <v>2</v>
      </c>
      <c r="L10" s="14" t="str">
        <f>VLOOKUP($C10,Sheet2!$A$2:$E$10,5,0)</f>
        <v>Bin</v>
      </c>
      <c r="M10" s="14">
        <f t="shared" si="0"/>
        <v>4</v>
      </c>
      <c r="N10" s="1"/>
      <c r="O10" s="1" t="s">
        <v>166</v>
      </c>
      <c r="P10" s="1" t="s">
        <v>1023</v>
      </c>
    </row>
    <row r="11" spans="1:16" x14ac:dyDescent="0.25">
      <c r="A11" s="15" t="s">
        <v>1227</v>
      </c>
      <c r="B11" s="16" t="s">
        <v>1208</v>
      </c>
      <c r="C11" s="1" t="s">
        <v>45</v>
      </c>
      <c r="D11" s="1" t="str">
        <f>VLOOKUP($C11,Sheet2!$A$2:$B$10,2,0)</f>
        <v>141186-74360</v>
      </c>
      <c r="E11" s="7" t="s">
        <v>46</v>
      </c>
      <c r="F11" s="12">
        <v>45986</v>
      </c>
      <c r="G11" s="13">
        <v>0.35416666666666669</v>
      </c>
      <c r="H11" s="1" t="s">
        <v>31</v>
      </c>
      <c r="I11" s="1" t="s">
        <v>10</v>
      </c>
      <c r="J11" s="1">
        <v>80</v>
      </c>
      <c r="K11" s="14">
        <f>VLOOKUP($C11,Sheet2!$A$2:$D$10,4,0)</f>
        <v>40</v>
      </c>
      <c r="L11" s="14" t="str">
        <f>VLOOKUP($C11,Sheet2!$A$2:$E$10,5,0)</f>
        <v>Trolley</v>
      </c>
      <c r="M11" s="14"/>
      <c r="N11" s="1">
        <f t="shared" ref="N11:N12" si="1">J11/K11</f>
        <v>2</v>
      </c>
      <c r="O11" s="1" t="s">
        <v>166</v>
      </c>
      <c r="P11" s="1">
        <v>910103038</v>
      </c>
    </row>
    <row r="12" spans="1:16" x14ac:dyDescent="0.25">
      <c r="A12" s="15" t="s">
        <v>1227</v>
      </c>
      <c r="B12" s="16" t="s">
        <v>1209</v>
      </c>
      <c r="C12" s="1" t="s">
        <v>45</v>
      </c>
      <c r="D12" s="1" t="str">
        <f>VLOOKUP($C12,Sheet2!$A$2:$B$10,2,0)</f>
        <v>141186-74360</v>
      </c>
      <c r="E12" s="7" t="s">
        <v>46</v>
      </c>
      <c r="F12" s="12">
        <v>45986</v>
      </c>
      <c r="G12" s="13">
        <v>0.35416666666666669</v>
      </c>
      <c r="H12" s="1" t="s">
        <v>31</v>
      </c>
      <c r="I12" s="1" t="s">
        <v>10</v>
      </c>
      <c r="J12" s="1">
        <v>40</v>
      </c>
      <c r="K12" s="14">
        <f>VLOOKUP($C12,Sheet2!$A$2:$D$10,4,0)</f>
        <v>40</v>
      </c>
      <c r="L12" s="14" t="str">
        <f>VLOOKUP($C12,Sheet2!$A$2:$E$10,5,0)</f>
        <v>Trolley</v>
      </c>
      <c r="M12" s="14"/>
      <c r="N12" s="1">
        <f t="shared" si="1"/>
        <v>1</v>
      </c>
      <c r="O12" s="1" t="s">
        <v>166</v>
      </c>
      <c r="P12" s="1">
        <v>910103038</v>
      </c>
    </row>
    <row r="13" spans="1:16" x14ac:dyDescent="0.25">
      <c r="A13" s="15" t="s">
        <v>1228</v>
      </c>
      <c r="B13" s="16" t="s">
        <v>1212</v>
      </c>
      <c r="C13" s="1" t="s">
        <v>50</v>
      </c>
      <c r="D13" s="1" t="str">
        <f>VLOOKUP($C13,Sheet2!$A$2:$B$10,2,0)</f>
        <v>116040-92240</v>
      </c>
      <c r="E13" s="7" t="s">
        <v>51</v>
      </c>
      <c r="F13" s="12">
        <v>45986</v>
      </c>
      <c r="G13" s="13">
        <v>0.35416666666666669</v>
      </c>
      <c r="H13" s="1" t="s">
        <v>52</v>
      </c>
      <c r="I13" s="1" t="s">
        <v>10</v>
      </c>
      <c r="J13" s="1">
        <v>30</v>
      </c>
      <c r="K13" s="14">
        <f>VLOOKUP($C13,Sheet2!$A$2:$D$10,4,0)</f>
        <v>6</v>
      </c>
      <c r="L13" s="14" t="str">
        <f>VLOOKUP($C13,Sheet2!$A$2:$E$10,5,0)</f>
        <v>Bin</v>
      </c>
      <c r="M13" s="14">
        <f t="shared" ref="M13:M18" si="2">J13/K13</f>
        <v>5</v>
      </c>
      <c r="N13" s="1"/>
      <c r="O13" s="1" t="s">
        <v>166</v>
      </c>
      <c r="P13" s="1" t="s">
        <v>463</v>
      </c>
    </row>
    <row r="14" spans="1:16" x14ac:dyDescent="0.25">
      <c r="A14" s="15" t="s">
        <v>1228</v>
      </c>
      <c r="B14" s="16" t="s">
        <v>1213</v>
      </c>
      <c r="C14" s="1" t="s">
        <v>50</v>
      </c>
      <c r="D14" s="1" t="str">
        <f>VLOOKUP($C14,Sheet2!$A$2:$B$10,2,0)</f>
        <v>116040-92240</v>
      </c>
      <c r="E14" s="7" t="s">
        <v>51</v>
      </c>
      <c r="F14" s="12">
        <v>45986</v>
      </c>
      <c r="G14" s="13">
        <v>0.35416666666666669</v>
      </c>
      <c r="H14" s="1" t="s">
        <v>52</v>
      </c>
      <c r="I14" s="1" t="s">
        <v>10</v>
      </c>
      <c r="J14" s="1">
        <v>6</v>
      </c>
      <c r="K14" s="14">
        <f>VLOOKUP($C14,Sheet2!$A$2:$D$10,4,0)</f>
        <v>6</v>
      </c>
      <c r="L14" s="14" t="str">
        <f>VLOOKUP($C14,Sheet2!$A$2:$E$10,5,0)</f>
        <v>Bin</v>
      </c>
      <c r="M14" s="14">
        <f t="shared" si="2"/>
        <v>1</v>
      </c>
      <c r="N14" s="1"/>
      <c r="O14" s="1" t="s">
        <v>166</v>
      </c>
      <c r="P14" s="1" t="s">
        <v>463</v>
      </c>
    </row>
    <row r="15" spans="1:16" x14ac:dyDescent="0.25">
      <c r="A15" s="15" t="s">
        <v>1228</v>
      </c>
      <c r="B15" s="16" t="s">
        <v>1217</v>
      </c>
      <c r="C15" s="1" t="s">
        <v>59</v>
      </c>
      <c r="D15" s="1" t="str">
        <f>VLOOKUP($C15,Sheet2!$A$2:$B$10,2,0)</f>
        <v>114010-50820</v>
      </c>
      <c r="E15" s="7" t="s">
        <v>60</v>
      </c>
      <c r="F15" s="12">
        <v>45986</v>
      </c>
      <c r="G15" s="13">
        <v>0.35416666666666669</v>
      </c>
      <c r="H15" s="1" t="s">
        <v>52</v>
      </c>
      <c r="I15" s="1" t="s">
        <v>10</v>
      </c>
      <c r="J15" s="1">
        <v>9</v>
      </c>
      <c r="K15" s="14">
        <f>VLOOKUP($C15,Sheet2!$A$2:$D$10,4,0)</f>
        <v>1</v>
      </c>
      <c r="L15" s="14" t="str">
        <f>VLOOKUP($C15,Sheet2!$A$2:$E$10,5,0)</f>
        <v>Bin</v>
      </c>
      <c r="M15" s="14">
        <f t="shared" si="2"/>
        <v>9</v>
      </c>
      <c r="N15" s="1"/>
      <c r="O15" s="1" t="s">
        <v>166</v>
      </c>
      <c r="P15" s="1" t="s">
        <v>1019</v>
      </c>
    </row>
    <row r="16" spans="1:16" x14ac:dyDescent="0.25">
      <c r="A16" s="15" t="s">
        <v>1228</v>
      </c>
      <c r="B16" s="16" t="s">
        <v>1218</v>
      </c>
      <c r="C16" s="1" t="s">
        <v>59</v>
      </c>
      <c r="D16" s="1" t="str">
        <f>VLOOKUP($C16,Sheet2!$A$2:$B$10,2,0)</f>
        <v>114010-50820</v>
      </c>
      <c r="E16" s="7" t="s">
        <v>60</v>
      </c>
      <c r="F16" s="12">
        <v>45986</v>
      </c>
      <c r="G16" s="13">
        <v>0.35416666666666669</v>
      </c>
      <c r="H16" s="1" t="s">
        <v>52</v>
      </c>
      <c r="I16" s="1" t="s">
        <v>10</v>
      </c>
      <c r="J16" s="1">
        <v>5</v>
      </c>
      <c r="K16" s="14">
        <f>VLOOKUP($C16,Sheet2!$A$2:$D$10,4,0)</f>
        <v>1</v>
      </c>
      <c r="L16" s="14" t="str">
        <f>VLOOKUP($C16,Sheet2!$A$2:$E$10,5,0)</f>
        <v>Bin</v>
      </c>
      <c r="M16" s="14">
        <f t="shared" si="2"/>
        <v>5</v>
      </c>
      <c r="N16" s="1"/>
      <c r="O16" s="1" t="s">
        <v>166</v>
      </c>
      <c r="P16" s="1" t="s">
        <v>1019</v>
      </c>
    </row>
    <row r="17" spans="1:16" x14ac:dyDescent="0.25">
      <c r="A17" s="15" t="s">
        <v>1228</v>
      </c>
      <c r="B17" s="16" t="s">
        <v>1222</v>
      </c>
      <c r="C17" s="1" t="s">
        <v>67</v>
      </c>
      <c r="D17" s="1" t="str">
        <f>VLOOKUP($C17,Sheet2!$A$2:$B$10,2,0)</f>
        <v>114010-50830</v>
      </c>
      <c r="E17" s="7" t="s">
        <v>60</v>
      </c>
      <c r="F17" s="12">
        <v>45986</v>
      </c>
      <c r="G17" s="13">
        <v>0.35416666666666669</v>
      </c>
      <c r="H17" s="1" t="s">
        <v>52</v>
      </c>
      <c r="I17" s="1" t="s">
        <v>10</v>
      </c>
      <c r="J17" s="1">
        <v>21</v>
      </c>
      <c r="K17" s="14">
        <f>VLOOKUP($C17,Sheet2!$A$2:$D$10,4,0)</f>
        <v>1</v>
      </c>
      <c r="L17" s="14" t="str">
        <f>VLOOKUP($C17,Sheet2!$A$2:$E$10,5,0)</f>
        <v>Bin</v>
      </c>
      <c r="M17" s="14">
        <f t="shared" si="2"/>
        <v>21</v>
      </c>
      <c r="N17" s="1"/>
      <c r="O17" s="1" t="s">
        <v>166</v>
      </c>
      <c r="P17" s="1" t="s">
        <v>1026</v>
      </c>
    </row>
    <row r="18" spans="1:16" x14ac:dyDescent="0.25">
      <c r="A18" s="15" t="s">
        <v>1228</v>
      </c>
      <c r="B18" s="16" t="s">
        <v>1223</v>
      </c>
      <c r="C18" s="1" t="s">
        <v>67</v>
      </c>
      <c r="D18" s="1" t="str">
        <f>VLOOKUP($C18,Sheet2!$A$2:$B$10,2,0)</f>
        <v>114010-50830</v>
      </c>
      <c r="E18" s="7" t="s">
        <v>60</v>
      </c>
      <c r="F18" s="12">
        <v>45986</v>
      </c>
      <c r="G18" s="13">
        <v>0.35416666666666669</v>
      </c>
      <c r="H18" s="1" t="s">
        <v>52</v>
      </c>
      <c r="I18" s="1" t="s">
        <v>10</v>
      </c>
      <c r="J18" s="1">
        <v>4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2"/>
        <v>4</v>
      </c>
      <c r="N18" s="1"/>
      <c r="O18" s="1" t="s">
        <v>166</v>
      </c>
      <c r="P18" s="1" t="s">
        <v>1026</v>
      </c>
    </row>
    <row r="19" spans="1:16" s="20" customForma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>
        <v>83</v>
      </c>
      <c r="N19" s="9">
        <v>7</v>
      </c>
      <c r="O19" s="9"/>
      <c r="P19" s="9"/>
    </row>
    <row r="20" spans="1:16" x14ac:dyDescent="0.25">
      <c r="A20" s="15" t="s">
        <v>1229</v>
      </c>
      <c r="B20" s="16" t="s">
        <v>1187</v>
      </c>
      <c r="C20" s="1" t="s">
        <v>7</v>
      </c>
      <c r="D20" s="1" t="str">
        <f>VLOOKUP($C20,Sheet2!$A$2:$B$10,2,0)</f>
        <v>141110-14600</v>
      </c>
      <c r="E20" s="7" t="s">
        <v>8</v>
      </c>
      <c r="F20" s="12">
        <v>45986</v>
      </c>
      <c r="G20" s="13">
        <v>0.52083333333333337</v>
      </c>
      <c r="H20" s="1" t="s">
        <v>9</v>
      </c>
      <c r="I20" s="1" t="s">
        <v>10</v>
      </c>
      <c r="J20" s="1">
        <v>18</v>
      </c>
      <c r="K20" s="14">
        <f>VLOOKUP($C20,Sheet2!$A$2:$D$10,4,0)</f>
        <v>18</v>
      </c>
      <c r="L20" s="14" t="str">
        <f>VLOOKUP($C20,Sheet2!$A$2:$E$10,5,0)</f>
        <v>Trolley (H)</v>
      </c>
      <c r="M20" s="14"/>
      <c r="N20" s="63">
        <v>1</v>
      </c>
      <c r="O20" s="1" t="s">
        <v>1304</v>
      </c>
      <c r="P20" s="1" t="s">
        <v>1289</v>
      </c>
    </row>
    <row r="21" spans="1:16" x14ac:dyDescent="0.25">
      <c r="A21" s="15" t="s">
        <v>1229</v>
      </c>
      <c r="B21" s="16" t="s">
        <v>1191</v>
      </c>
      <c r="C21" s="1" t="s">
        <v>16</v>
      </c>
      <c r="D21" s="1" t="str">
        <f>VLOOKUP($C21,Sheet2!$A$2:$B$10,2,0)</f>
        <v>141120-14600</v>
      </c>
      <c r="E21" s="7" t="s">
        <v>17</v>
      </c>
      <c r="F21" s="12">
        <v>45986</v>
      </c>
      <c r="G21" s="13">
        <v>0.52083333333333337</v>
      </c>
      <c r="H21" s="1" t="s">
        <v>9</v>
      </c>
      <c r="I21" s="1" t="s">
        <v>10</v>
      </c>
      <c r="J21" s="1">
        <v>18</v>
      </c>
      <c r="K21" s="14">
        <f>VLOOKUP($C21,Sheet2!$A$2:$D$10,4,0)</f>
        <v>18</v>
      </c>
      <c r="L21" s="14" t="str">
        <f>VLOOKUP($C21,Sheet2!$A$2:$E$10,5,0)</f>
        <v>Trolley (H)</v>
      </c>
      <c r="M21" s="14"/>
      <c r="N21" s="64"/>
      <c r="O21" s="1" t="s">
        <v>1304</v>
      </c>
      <c r="P21" s="1" t="s">
        <v>1289</v>
      </c>
    </row>
    <row r="22" spans="1:16" x14ac:dyDescent="0.25">
      <c r="A22" s="15" t="s">
        <v>1229</v>
      </c>
      <c r="B22" s="16" t="s">
        <v>1195</v>
      </c>
      <c r="C22" s="1" t="s">
        <v>23</v>
      </c>
      <c r="D22" s="1" t="str">
        <f>VLOOKUP($C22,Sheet2!$A$2:$B$10,2,0)</f>
        <v>141185-74670</v>
      </c>
      <c r="E22" s="7" t="s">
        <v>24</v>
      </c>
      <c r="F22" s="12">
        <v>45986</v>
      </c>
      <c r="G22" s="13">
        <v>0.52083333333333337</v>
      </c>
      <c r="H22" s="1" t="s">
        <v>9</v>
      </c>
      <c r="I22" s="1" t="s">
        <v>10</v>
      </c>
      <c r="J22" s="1">
        <v>40</v>
      </c>
      <c r="K22" s="14">
        <f>VLOOKUP($C22,Sheet2!$A$2:$D$10,4,0)</f>
        <v>40</v>
      </c>
      <c r="L22" s="14" t="str">
        <f>VLOOKUP($C22,Sheet2!$A$2:$E$10,5,0)</f>
        <v>Trolley</v>
      </c>
      <c r="M22" s="14"/>
      <c r="N22" s="1">
        <f>J22/K22</f>
        <v>1</v>
      </c>
      <c r="O22" s="1" t="s">
        <v>1304</v>
      </c>
      <c r="P22" s="1">
        <v>910102103</v>
      </c>
    </row>
    <row r="23" spans="1:16" x14ac:dyDescent="0.25">
      <c r="A23" s="15" t="s">
        <v>1229</v>
      </c>
      <c r="B23" s="16" t="s">
        <v>1200</v>
      </c>
      <c r="C23" s="1" t="s">
        <v>29</v>
      </c>
      <c r="D23" s="1" t="str">
        <f>VLOOKUP($C23,Sheet2!$A$2:$B$10,2,0)</f>
        <v>141140-91211</v>
      </c>
      <c r="E23" s="7" t="s">
        <v>30</v>
      </c>
      <c r="F23" s="12">
        <v>45986</v>
      </c>
      <c r="G23" s="13">
        <v>0.52083333333333337</v>
      </c>
      <c r="H23" s="1" t="s">
        <v>31</v>
      </c>
      <c r="I23" s="1" t="s">
        <v>10</v>
      </c>
      <c r="J23" s="1">
        <v>30</v>
      </c>
      <c r="K23" s="14">
        <f>VLOOKUP($C23,Sheet2!$A$2:$D$10,4,0)</f>
        <v>2</v>
      </c>
      <c r="L23" s="14" t="str">
        <f>VLOOKUP($C23,Sheet2!$A$2:$E$10,5,0)</f>
        <v>Bin</v>
      </c>
      <c r="M23" s="14">
        <f t="shared" ref="M23:M24" si="3">J23/K23</f>
        <v>15</v>
      </c>
      <c r="N23" s="1"/>
      <c r="O23" s="1" t="s">
        <v>1304</v>
      </c>
      <c r="P23" s="1" t="s">
        <v>1023</v>
      </c>
    </row>
    <row r="24" spans="1:16" x14ac:dyDescent="0.25">
      <c r="A24" s="15" t="s">
        <v>1229</v>
      </c>
      <c r="B24" s="16" t="s">
        <v>1205</v>
      </c>
      <c r="C24" s="1" t="s">
        <v>37</v>
      </c>
      <c r="D24" s="1" t="str">
        <f>VLOOKUP($C24,Sheet2!$A$2:$B$10,2,0)</f>
        <v>141150-91211</v>
      </c>
      <c r="E24" s="7" t="s">
        <v>38</v>
      </c>
      <c r="F24" s="12">
        <v>45986</v>
      </c>
      <c r="G24" s="13">
        <v>0.52083333333333337</v>
      </c>
      <c r="H24" s="1" t="s">
        <v>31</v>
      </c>
      <c r="I24" s="1" t="s">
        <v>10</v>
      </c>
      <c r="J24" s="1">
        <v>30</v>
      </c>
      <c r="K24" s="14">
        <f>VLOOKUP($C24,Sheet2!$A$2:$D$10,4,0)</f>
        <v>2</v>
      </c>
      <c r="L24" s="14" t="str">
        <f>VLOOKUP($C24,Sheet2!$A$2:$E$10,5,0)</f>
        <v>Bin</v>
      </c>
      <c r="M24" s="14">
        <f t="shared" si="3"/>
        <v>15</v>
      </c>
      <c r="N24" s="1"/>
      <c r="O24" s="1" t="s">
        <v>1304</v>
      </c>
      <c r="P24" s="1" t="s">
        <v>1023</v>
      </c>
    </row>
    <row r="25" spans="1:16" x14ac:dyDescent="0.25">
      <c r="A25" s="15" t="s">
        <v>1229</v>
      </c>
      <c r="B25" s="16" t="s">
        <v>1210</v>
      </c>
      <c r="C25" s="1" t="s">
        <v>45</v>
      </c>
      <c r="D25" s="1" t="str">
        <f>VLOOKUP($C25,Sheet2!$A$2:$B$10,2,0)</f>
        <v>141186-74360</v>
      </c>
      <c r="E25" s="7" t="s">
        <v>46</v>
      </c>
      <c r="F25" s="12">
        <v>45986</v>
      </c>
      <c r="G25" s="13">
        <v>0.52083333333333337</v>
      </c>
      <c r="H25" s="1" t="s">
        <v>31</v>
      </c>
      <c r="I25" s="1" t="s">
        <v>10</v>
      </c>
      <c r="J25" s="1">
        <v>40</v>
      </c>
      <c r="K25" s="14">
        <f>VLOOKUP($C25,Sheet2!$A$2:$D$10,4,0)</f>
        <v>40</v>
      </c>
      <c r="L25" s="14" t="str">
        <f>VLOOKUP($C25,Sheet2!$A$2:$E$10,5,0)</f>
        <v>Trolley</v>
      </c>
      <c r="M25" s="14"/>
      <c r="N25" s="1">
        <f>J25/K25</f>
        <v>1</v>
      </c>
      <c r="O25" s="1" t="s">
        <v>1304</v>
      </c>
      <c r="P25" s="1">
        <v>910103038</v>
      </c>
    </row>
    <row r="26" spans="1:16" x14ac:dyDescent="0.25">
      <c r="A26" s="15" t="s">
        <v>1230</v>
      </c>
      <c r="B26" s="16" t="s">
        <v>1214</v>
      </c>
      <c r="C26" s="1" t="s">
        <v>50</v>
      </c>
      <c r="D26" s="1" t="str">
        <f>VLOOKUP($C26,Sheet2!$A$2:$B$10,2,0)</f>
        <v>116040-92240</v>
      </c>
      <c r="E26" s="7" t="s">
        <v>51</v>
      </c>
      <c r="F26" s="12">
        <v>45986</v>
      </c>
      <c r="G26" s="13">
        <v>0.52083333333333337</v>
      </c>
      <c r="H26" s="1" t="s">
        <v>52</v>
      </c>
      <c r="I26" s="1" t="s">
        <v>10</v>
      </c>
      <c r="J26" s="1">
        <v>30</v>
      </c>
      <c r="K26" s="14">
        <f>VLOOKUP($C26,Sheet2!$A$2:$D$10,4,0)</f>
        <v>6</v>
      </c>
      <c r="L26" s="14" t="str">
        <f>VLOOKUP($C26,Sheet2!$A$2:$E$10,5,0)</f>
        <v>Bin</v>
      </c>
      <c r="M26" s="14">
        <f t="shared" ref="M26:M28" si="4">J26/K26</f>
        <v>5</v>
      </c>
      <c r="N26" s="1"/>
      <c r="O26" s="1" t="s">
        <v>1304</v>
      </c>
      <c r="P26" s="1" t="s">
        <v>463</v>
      </c>
    </row>
    <row r="27" spans="1:16" x14ac:dyDescent="0.25">
      <c r="A27" s="15" t="s">
        <v>1230</v>
      </c>
      <c r="B27" s="16" t="s">
        <v>1219</v>
      </c>
      <c r="C27" s="1" t="s">
        <v>59</v>
      </c>
      <c r="D27" s="1" t="str">
        <f>VLOOKUP($C27,Sheet2!$A$2:$B$10,2,0)</f>
        <v>114010-50820</v>
      </c>
      <c r="E27" s="7" t="s">
        <v>60</v>
      </c>
      <c r="F27" s="12">
        <v>45986</v>
      </c>
      <c r="G27" s="13">
        <v>0.52083333333333337</v>
      </c>
      <c r="H27" s="1" t="s">
        <v>52</v>
      </c>
      <c r="I27" s="1" t="s">
        <v>10</v>
      </c>
      <c r="J27" s="1">
        <v>8</v>
      </c>
      <c r="K27" s="14">
        <f>VLOOKUP($C27,Sheet2!$A$2:$D$10,4,0)</f>
        <v>1</v>
      </c>
      <c r="L27" s="14" t="str">
        <f>VLOOKUP($C27,Sheet2!$A$2:$E$10,5,0)</f>
        <v>Bin</v>
      </c>
      <c r="M27" s="14">
        <f t="shared" si="4"/>
        <v>8</v>
      </c>
      <c r="N27" s="1"/>
      <c r="O27" s="1" t="s">
        <v>1304</v>
      </c>
      <c r="P27" s="1" t="s">
        <v>1019</v>
      </c>
    </row>
    <row r="28" spans="1:16" x14ac:dyDescent="0.25">
      <c r="A28" s="15" t="s">
        <v>1230</v>
      </c>
      <c r="B28" s="16" t="s">
        <v>1224</v>
      </c>
      <c r="C28" s="1" t="s">
        <v>67</v>
      </c>
      <c r="D28" s="1" t="str">
        <f>VLOOKUP($C28,Sheet2!$A$2:$B$10,2,0)</f>
        <v>114010-50830</v>
      </c>
      <c r="E28" s="7" t="s">
        <v>60</v>
      </c>
      <c r="F28" s="12">
        <v>45986</v>
      </c>
      <c r="G28" s="13">
        <v>0.52083333333333337</v>
      </c>
      <c r="H28" s="1" t="s">
        <v>52</v>
      </c>
      <c r="I28" s="1" t="s">
        <v>10</v>
      </c>
      <c r="J28" s="1">
        <v>22</v>
      </c>
      <c r="K28" s="14">
        <f>VLOOKUP($C28,Sheet2!$A$2:$D$10,4,0)</f>
        <v>1</v>
      </c>
      <c r="L28" s="14" t="str">
        <f>VLOOKUP($C28,Sheet2!$A$2:$E$10,5,0)</f>
        <v>Bin</v>
      </c>
      <c r="M28" s="14">
        <f t="shared" si="4"/>
        <v>22</v>
      </c>
      <c r="N28" s="1"/>
      <c r="O28" s="1" t="s">
        <v>1304</v>
      </c>
      <c r="P28" s="1" t="s">
        <v>1026</v>
      </c>
    </row>
    <row r="29" spans="1:16" s="20" customForma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>
        <v>65</v>
      </c>
      <c r="N29" s="9">
        <v>3</v>
      </c>
      <c r="O29" s="9"/>
      <c r="P29" s="9"/>
    </row>
    <row r="30" spans="1:16" x14ac:dyDescent="0.25">
      <c r="A30" s="15" t="s">
        <v>1231</v>
      </c>
      <c r="B30" s="16" t="s">
        <v>1188</v>
      </c>
      <c r="C30" s="1" t="s">
        <v>7</v>
      </c>
      <c r="D30" s="1" t="str">
        <f>VLOOKUP($C30,Sheet2!$A$2:$B$10,2,0)</f>
        <v>141110-14600</v>
      </c>
      <c r="E30" s="7" t="s">
        <v>8</v>
      </c>
      <c r="F30" s="12">
        <v>45986</v>
      </c>
      <c r="G30" s="13">
        <v>0.60416666666666663</v>
      </c>
      <c r="H30" s="1" t="s">
        <v>9</v>
      </c>
      <c r="I30" s="1" t="s">
        <v>10</v>
      </c>
      <c r="J30" s="1">
        <v>36</v>
      </c>
      <c r="K30" s="14">
        <f>VLOOKUP($C30,Sheet2!$A$2:$D$10,4,0)</f>
        <v>18</v>
      </c>
      <c r="L30" s="14" t="str">
        <f>VLOOKUP($C30,Sheet2!$A$2:$E$10,5,0)</f>
        <v>Trolley (H)</v>
      </c>
      <c r="M30" s="14"/>
      <c r="N30" s="63">
        <v>2</v>
      </c>
      <c r="O30" s="1" t="s">
        <v>171</v>
      </c>
      <c r="P30" s="1" t="s">
        <v>1289</v>
      </c>
    </row>
    <row r="31" spans="1:16" x14ac:dyDescent="0.25">
      <c r="A31" s="15" t="s">
        <v>1231</v>
      </c>
      <c r="B31" s="16" t="s">
        <v>1192</v>
      </c>
      <c r="C31" s="1" t="s">
        <v>16</v>
      </c>
      <c r="D31" s="1" t="str">
        <f>VLOOKUP($C31,Sheet2!$A$2:$B$10,2,0)</f>
        <v>141120-14600</v>
      </c>
      <c r="E31" s="7" t="s">
        <v>17</v>
      </c>
      <c r="F31" s="12">
        <v>45986</v>
      </c>
      <c r="G31" s="13">
        <v>0.60416666666666663</v>
      </c>
      <c r="H31" s="1" t="s">
        <v>9</v>
      </c>
      <c r="I31" s="1" t="s">
        <v>10</v>
      </c>
      <c r="J31" s="1">
        <v>36</v>
      </c>
      <c r="K31" s="14">
        <f>VLOOKUP($C31,Sheet2!$A$2:$D$10,4,0)</f>
        <v>18</v>
      </c>
      <c r="L31" s="14" t="str">
        <f>VLOOKUP($C31,Sheet2!$A$2:$E$10,5,0)</f>
        <v>Trolley (H)</v>
      </c>
      <c r="M31" s="14"/>
      <c r="N31" s="64"/>
      <c r="O31" s="1" t="s">
        <v>171</v>
      </c>
      <c r="P31" s="1" t="s">
        <v>1289</v>
      </c>
    </row>
    <row r="32" spans="1:16" x14ac:dyDescent="0.25">
      <c r="A32" s="15" t="s">
        <v>1231</v>
      </c>
      <c r="B32" s="16" t="s">
        <v>1196</v>
      </c>
      <c r="C32" s="1" t="s">
        <v>23</v>
      </c>
      <c r="D32" s="1" t="str">
        <f>VLOOKUP($C32,Sheet2!$A$2:$B$10,2,0)</f>
        <v>141185-74670</v>
      </c>
      <c r="E32" s="7" t="s">
        <v>24</v>
      </c>
      <c r="F32" s="12">
        <v>45986</v>
      </c>
      <c r="G32" s="13">
        <v>0.60416666666666663</v>
      </c>
      <c r="H32" s="1" t="s">
        <v>9</v>
      </c>
      <c r="I32" s="1" t="s">
        <v>10</v>
      </c>
      <c r="J32" s="1">
        <v>40</v>
      </c>
      <c r="K32" s="14">
        <f>VLOOKUP($C32,Sheet2!$A$2:$D$10,4,0)</f>
        <v>40</v>
      </c>
      <c r="L32" s="14" t="str">
        <f>VLOOKUP($C32,Sheet2!$A$2:$E$10,5,0)</f>
        <v>Trolley</v>
      </c>
      <c r="M32" s="14"/>
      <c r="N32" s="1">
        <f>J32/K32</f>
        <v>1</v>
      </c>
      <c r="O32" s="1" t="s">
        <v>171</v>
      </c>
      <c r="P32" s="1">
        <v>910102103</v>
      </c>
    </row>
    <row r="33" spans="1:16" x14ac:dyDescent="0.25">
      <c r="A33" s="15" t="s">
        <v>1231</v>
      </c>
      <c r="B33" s="16" t="s">
        <v>1201</v>
      </c>
      <c r="C33" s="1" t="s">
        <v>29</v>
      </c>
      <c r="D33" s="1" t="str">
        <f>VLOOKUP($C33,Sheet2!$A$2:$B$10,2,0)</f>
        <v>141140-91211</v>
      </c>
      <c r="E33" s="7" t="s">
        <v>30</v>
      </c>
      <c r="F33" s="12">
        <v>45986</v>
      </c>
      <c r="G33" s="13">
        <v>0.60416666666666663</v>
      </c>
      <c r="H33" s="1" t="s">
        <v>31</v>
      </c>
      <c r="I33" s="1" t="s">
        <v>10</v>
      </c>
      <c r="J33" s="1">
        <v>26</v>
      </c>
      <c r="K33" s="14">
        <f>VLOOKUP($C33,Sheet2!$A$2:$D$10,4,0)</f>
        <v>2</v>
      </c>
      <c r="L33" s="14" t="str">
        <f>VLOOKUP($C33,Sheet2!$A$2:$E$10,5,0)</f>
        <v>Bin</v>
      </c>
      <c r="M33" s="14">
        <f t="shared" ref="M33:M34" si="5">J33/K33</f>
        <v>13</v>
      </c>
      <c r="N33" s="1"/>
      <c r="O33" s="1" t="s">
        <v>171</v>
      </c>
      <c r="P33" s="1" t="s">
        <v>1023</v>
      </c>
    </row>
    <row r="34" spans="1:16" x14ac:dyDescent="0.25">
      <c r="A34" s="15" t="s">
        <v>1231</v>
      </c>
      <c r="B34" s="16" t="s">
        <v>1206</v>
      </c>
      <c r="C34" s="1" t="s">
        <v>37</v>
      </c>
      <c r="D34" s="1" t="str">
        <f>VLOOKUP($C34,Sheet2!$A$2:$B$10,2,0)</f>
        <v>141150-91211</v>
      </c>
      <c r="E34" s="7" t="s">
        <v>38</v>
      </c>
      <c r="F34" s="12">
        <v>45986</v>
      </c>
      <c r="G34" s="13">
        <v>0.60416666666666663</v>
      </c>
      <c r="H34" s="1" t="s">
        <v>31</v>
      </c>
      <c r="I34" s="1" t="s">
        <v>10</v>
      </c>
      <c r="J34" s="1">
        <v>26</v>
      </c>
      <c r="K34" s="14">
        <f>VLOOKUP($C34,Sheet2!$A$2:$D$10,4,0)</f>
        <v>2</v>
      </c>
      <c r="L34" s="14" t="str">
        <f>VLOOKUP($C34,Sheet2!$A$2:$E$10,5,0)</f>
        <v>Bin</v>
      </c>
      <c r="M34" s="14">
        <f t="shared" si="5"/>
        <v>13</v>
      </c>
      <c r="N34" s="1"/>
      <c r="O34" s="1" t="s">
        <v>171</v>
      </c>
      <c r="P34" s="1" t="s">
        <v>1023</v>
      </c>
    </row>
    <row r="35" spans="1:16" x14ac:dyDescent="0.25">
      <c r="A35" s="15" t="s">
        <v>1231</v>
      </c>
      <c r="B35" s="16" t="s">
        <v>1211</v>
      </c>
      <c r="C35" s="1" t="s">
        <v>45</v>
      </c>
      <c r="D35" s="1" t="str">
        <f>VLOOKUP($C35,Sheet2!$A$2:$B$10,2,0)</f>
        <v>141186-74360</v>
      </c>
      <c r="E35" s="7" t="s">
        <v>46</v>
      </c>
      <c r="F35" s="12">
        <v>45986</v>
      </c>
      <c r="G35" s="13">
        <v>0.60416666666666663</v>
      </c>
      <c r="H35" s="1" t="s">
        <v>31</v>
      </c>
      <c r="I35" s="1" t="s">
        <v>10</v>
      </c>
      <c r="J35" s="1">
        <v>80</v>
      </c>
      <c r="K35" s="14">
        <f>VLOOKUP($C35,Sheet2!$A$2:$D$10,4,0)</f>
        <v>40</v>
      </c>
      <c r="L35" s="14" t="str">
        <f>VLOOKUP($C35,Sheet2!$A$2:$E$10,5,0)</f>
        <v>Trolley</v>
      </c>
      <c r="M35" s="14"/>
      <c r="N35" s="1">
        <f>J35/K35</f>
        <v>2</v>
      </c>
      <c r="O35" s="1" t="s">
        <v>171</v>
      </c>
      <c r="P35" s="1">
        <v>910101143</v>
      </c>
    </row>
    <row r="36" spans="1:16" x14ac:dyDescent="0.25">
      <c r="A36" s="15" t="s">
        <v>1232</v>
      </c>
      <c r="B36" s="16" t="s">
        <v>1215</v>
      </c>
      <c r="C36" s="1" t="s">
        <v>50</v>
      </c>
      <c r="D36" s="1" t="str">
        <f>VLOOKUP($C36,Sheet2!$A$2:$B$10,2,0)</f>
        <v>116040-92240</v>
      </c>
      <c r="E36" s="7" t="s">
        <v>51</v>
      </c>
      <c r="F36" s="12">
        <v>45986</v>
      </c>
      <c r="G36" s="13">
        <v>0.60416666666666663</v>
      </c>
      <c r="H36" s="1" t="s">
        <v>52</v>
      </c>
      <c r="I36" s="1" t="s">
        <v>10</v>
      </c>
      <c r="J36" s="1">
        <v>30</v>
      </c>
      <c r="K36" s="14">
        <f>VLOOKUP($C36,Sheet2!$A$2:$D$10,4,0)</f>
        <v>6</v>
      </c>
      <c r="L36" s="14" t="str">
        <f>VLOOKUP($C36,Sheet2!$A$2:$E$10,5,0)</f>
        <v>Bin</v>
      </c>
      <c r="M36" s="14">
        <f t="shared" ref="M36:M38" si="6">J36/K36</f>
        <v>5</v>
      </c>
      <c r="N36" s="1"/>
      <c r="O36" s="1" t="s">
        <v>171</v>
      </c>
      <c r="P36" s="1" t="s">
        <v>1302</v>
      </c>
    </row>
    <row r="37" spans="1:16" x14ac:dyDescent="0.25">
      <c r="A37" s="15" t="s">
        <v>1232</v>
      </c>
      <c r="B37" s="16" t="s">
        <v>1220</v>
      </c>
      <c r="C37" s="1" t="s">
        <v>59</v>
      </c>
      <c r="D37" s="1" t="str">
        <f>VLOOKUP($C37,Sheet2!$A$2:$B$10,2,0)</f>
        <v>114010-50820</v>
      </c>
      <c r="E37" s="7" t="s">
        <v>60</v>
      </c>
      <c r="F37" s="12">
        <v>45986</v>
      </c>
      <c r="G37" s="13">
        <v>0.60416666666666663</v>
      </c>
      <c r="H37" s="1" t="s">
        <v>52</v>
      </c>
      <c r="I37" s="1" t="s">
        <v>10</v>
      </c>
      <c r="J37" s="1">
        <v>12</v>
      </c>
      <c r="K37" s="14">
        <f>VLOOKUP($C37,Sheet2!$A$2:$D$10,4,0)</f>
        <v>1</v>
      </c>
      <c r="L37" s="14" t="str">
        <f>VLOOKUP($C37,Sheet2!$A$2:$E$10,5,0)</f>
        <v>Bin</v>
      </c>
      <c r="M37" s="14">
        <f t="shared" si="6"/>
        <v>12</v>
      </c>
      <c r="N37" s="1"/>
      <c r="O37" s="1" t="s">
        <v>171</v>
      </c>
      <c r="P37" s="1" t="s">
        <v>1019</v>
      </c>
    </row>
    <row r="38" spans="1:16" x14ac:dyDescent="0.25">
      <c r="A38" s="15" t="s">
        <v>1232</v>
      </c>
      <c r="B38" s="16" t="s">
        <v>1225</v>
      </c>
      <c r="C38" s="1" t="s">
        <v>67</v>
      </c>
      <c r="D38" s="1" t="str">
        <f>VLOOKUP($C38,Sheet2!$A$2:$B$10,2,0)</f>
        <v>114010-50830</v>
      </c>
      <c r="E38" s="7" t="s">
        <v>60</v>
      </c>
      <c r="F38" s="12">
        <v>45986</v>
      </c>
      <c r="G38" s="13">
        <v>0.60416666666666663</v>
      </c>
      <c r="H38" s="1" t="s">
        <v>52</v>
      </c>
      <c r="I38" s="1" t="s">
        <v>10</v>
      </c>
      <c r="J38" s="1">
        <v>15</v>
      </c>
      <c r="K38" s="14">
        <f>VLOOKUP($C38,Sheet2!$A$2:$D$10,4,0)</f>
        <v>1</v>
      </c>
      <c r="L38" s="14" t="str">
        <f>VLOOKUP($C38,Sheet2!$A$2:$E$10,5,0)</f>
        <v>Bin</v>
      </c>
      <c r="M38" s="14">
        <f t="shared" si="6"/>
        <v>15</v>
      </c>
      <c r="N38" s="1"/>
      <c r="O38" s="1" t="s">
        <v>171</v>
      </c>
      <c r="P38" s="1" t="s">
        <v>1026</v>
      </c>
    </row>
    <row r="39" spans="1:16" s="20" customForma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>
        <v>58</v>
      </c>
      <c r="N39" s="9">
        <v>5</v>
      </c>
      <c r="O39" s="9"/>
      <c r="P39" s="9"/>
    </row>
    <row r="40" spans="1:16" x14ac:dyDescent="0.25">
      <c r="A40" s="15" t="s">
        <v>1233</v>
      </c>
      <c r="B40" s="16" t="s">
        <v>1189</v>
      </c>
      <c r="C40" s="1" t="s">
        <v>7</v>
      </c>
      <c r="D40" s="1" t="str">
        <f>VLOOKUP($C40,Sheet2!$A$2:$B$10,2,0)</f>
        <v>141110-14600</v>
      </c>
      <c r="E40" s="7" t="s">
        <v>8</v>
      </c>
      <c r="F40" s="12">
        <v>45986</v>
      </c>
      <c r="G40" s="13">
        <v>0.6875</v>
      </c>
      <c r="H40" s="1" t="s">
        <v>9</v>
      </c>
      <c r="I40" s="1" t="s">
        <v>10</v>
      </c>
      <c r="J40" s="1">
        <v>36</v>
      </c>
      <c r="K40" s="14">
        <f>VLOOKUP($C40,Sheet2!$A$2:$D$10,4,0)</f>
        <v>18</v>
      </c>
      <c r="L40" s="14" t="str">
        <f>VLOOKUP($C40,Sheet2!$A$2:$E$10,5,0)</f>
        <v>Trolley (H)</v>
      </c>
      <c r="M40" s="14"/>
      <c r="N40" s="63">
        <v>2</v>
      </c>
      <c r="O40" s="1" t="s">
        <v>528</v>
      </c>
      <c r="P40" s="1" t="s">
        <v>1289</v>
      </c>
    </row>
    <row r="41" spans="1:16" x14ac:dyDescent="0.25">
      <c r="A41" s="15" t="s">
        <v>1233</v>
      </c>
      <c r="B41" s="16" t="s">
        <v>1193</v>
      </c>
      <c r="C41" s="1" t="s">
        <v>16</v>
      </c>
      <c r="D41" s="1" t="str">
        <f>VLOOKUP($C41,Sheet2!$A$2:$B$10,2,0)</f>
        <v>141120-14600</v>
      </c>
      <c r="E41" s="7" t="s">
        <v>17</v>
      </c>
      <c r="F41" s="12">
        <v>45986</v>
      </c>
      <c r="G41" s="13">
        <v>0.6875</v>
      </c>
      <c r="H41" s="1" t="s">
        <v>9</v>
      </c>
      <c r="I41" s="1" t="s">
        <v>10</v>
      </c>
      <c r="J41" s="1">
        <v>36</v>
      </c>
      <c r="K41" s="14">
        <f>VLOOKUP($C41,Sheet2!$A$2:$D$10,4,0)</f>
        <v>18</v>
      </c>
      <c r="L41" s="14" t="str">
        <f>VLOOKUP($C41,Sheet2!$A$2:$E$10,5,0)</f>
        <v>Trolley (H)</v>
      </c>
      <c r="M41" s="14"/>
      <c r="N41" s="64"/>
      <c r="O41" s="1" t="s">
        <v>528</v>
      </c>
      <c r="P41" s="1" t="s">
        <v>1289</v>
      </c>
    </row>
    <row r="42" spans="1:16" x14ac:dyDescent="0.25">
      <c r="A42" s="15" t="s">
        <v>1233</v>
      </c>
      <c r="B42" s="16" t="s">
        <v>1197</v>
      </c>
      <c r="C42" s="1" t="s">
        <v>23</v>
      </c>
      <c r="D42" s="1" t="str">
        <f>VLOOKUP($C42,Sheet2!$A$2:$B$10,2,0)</f>
        <v>141185-74670</v>
      </c>
      <c r="E42" s="7" t="s">
        <v>24</v>
      </c>
      <c r="F42" s="12">
        <v>45986</v>
      </c>
      <c r="G42" s="13">
        <v>0.6875</v>
      </c>
      <c r="H42" s="1" t="s">
        <v>9</v>
      </c>
      <c r="I42" s="1" t="s">
        <v>10</v>
      </c>
      <c r="J42" s="1">
        <v>80</v>
      </c>
      <c r="K42" s="14">
        <f>VLOOKUP($C42,Sheet2!$A$2:$D$10,4,0)</f>
        <v>40</v>
      </c>
      <c r="L42" s="14" t="str">
        <f>VLOOKUP($C42,Sheet2!$A$2:$E$10,5,0)</f>
        <v>Trolley</v>
      </c>
      <c r="M42" s="14"/>
      <c r="N42" s="1">
        <f>J42/K42</f>
        <v>2</v>
      </c>
      <c r="O42" s="1" t="s">
        <v>528</v>
      </c>
      <c r="P42" s="1">
        <v>910102103</v>
      </c>
    </row>
    <row r="43" spans="1:16" x14ac:dyDescent="0.25">
      <c r="A43" s="15" t="s">
        <v>1233</v>
      </c>
      <c r="B43" s="16" t="s">
        <v>1202</v>
      </c>
      <c r="C43" s="1" t="s">
        <v>29</v>
      </c>
      <c r="D43" s="1" t="str">
        <f>VLOOKUP($C43,Sheet2!$A$2:$B$10,2,0)</f>
        <v>141140-91211</v>
      </c>
      <c r="E43" s="7" t="s">
        <v>30</v>
      </c>
      <c r="F43" s="12">
        <v>45986</v>
      </c>
      <c r="G43" s="13">
        <v>0.6875</v>
      </c>
      <c r="H43" s="1" t="s">
        <v>31</v>
      </c>
      <c r="I43" s="1" t="s">
        <v>10</v>
      </c>
      <c r="J43" s="1">
        <v>24</v>
      </c>
      <c r="K43" s="14">
        <f>VLOOKUP($C43,Sheet2!$A$2:$D$10,4,0)</f>
        <v>2</v>
      </c>
      <c r="L43" s="14" t="str">
        <f>VLOOKUP($C43,Sheet2!$A$2:$E$10,5,0)</f>
        <v>Bin</v>
      </c>
      <c r="M43" s="14">
        <f t="shared" ref="M43:M47" si="7">J43/K43</f>
        <v>12</v>
      </c>
      <c r="N43" s="1"/>
      <c r="O43" s="1" t="s">
        <v>528</v>
      </c>
      <c r="P43" s="1" t="s">
        <v>1023</v>
      </c>
    </row>
    <row r="44" spans="1:16" x14ac:dyDescent="0.25">
      <c r="A44" s="15" t="s">
        <v>1233</v>
      </c>
      <c r="B44" s="16" t="s">
        <v>1207</v>
      </c>
      <c r="C44" s="1" t="s">
        <v>37</v>
      </c>
      <c r="D44" s="1" t="str">
        <f>VLOOKUP($C44,Sheet2!$A$2:$B$10,2,0)</f>
        <v>141150-91211</v>
      </c>
      <c r="E44" s="7" t="s">
        <v>38</v>
      </c>
      <c r="F44" s="12">
        <v>45986</v>
      </c>
      <c r="G44" s="13">
        <v>0.6875</v>
      </c>
      <c r="H44" s="1" t="s">
        <v>31</v>
      </c>
      <c r="I44" s="1" t="s">
        <v>10</v>
      </c>
      <c r="J44" s="1">
        <v>24</v>
      </c>
      <c r="K44" s="14">
        <f>VLOOKUP($C44,Sheet2!$A$2:$D$10,4,0)</f>
        <v>2</v>
      </c>
      <c r="L44" s="14" t="str">
        <f>VLOOKUP($C44,Sheet2!$A$2:$E$10,5,0)</f>
        <v>Bin</v>
      </c>
      <c r="M44" s="14">
        <f t="shared" si="7"/>
        <v>12</v>
      </c>
      <c r="N44" s="1"/>
      <c r="O44" s="1" t="s">
        <v>528</v>
      </c>
      <c r="P44" s="1" t="s">
        <v>1023</v>
      </c>
    </row>
    <row r="45" spans="1:16" x14ac:dyDescent="0.25">
      <c r="A45" s="15" t="s">
        <v>1234</v>
      </c>
      <c r="B45" s="16" t="s">
        <v>1216</v>
      </c>
      <c r="C45" s="1" t="s">
        <v>50</v>
      </c>
      <c r="D45" s="1" t="str">
        <f>VLOOKUP($C45,Sheet2!$A$2:$B$10,2,0)</f>
        <v>116040-92240</v>
      </c>
      <c r="E45" s="7" t="s">
        <v>51</v>
      </c>
      <c r="F45" s="12">
        <v>45986</v>
      </c>
      <c r="G45" s="13">
        <v>0.6875</v>
      </c>
      <c r="H45" s="1" t="s">
        <v>52</v>
      </c>
      <c r="I45" s="1" t="s">
        <v>10</v>
      </c>
      <c r="J45" s="1">
        <v>24</v>
      </c>
      <c r="K45" s="14">
        <f>VLOOKUP($C45,Sheet2!$A$2:$D$10,4,0)</f>
        <v>6</v>
      </c>
      <c r="L45" s="14" t="str">
        <f>VLOOKUP($C45,Sheet2!$A$2:$E$10,5,0)</f>
        <v>Bin</v>
      </c>
      <c r="M45" s="14">
        <f t="shared" si="7"/>
        <v>4</v>
      </c>
      <c r="N45" s="1"/>
      <c r="O45" s="1" t="s">
        <v>528</v>
      </c>
      <c r="P45" s="1">
        <v>910101143</v>
      </c>
    </row>
    <row r="46" spans="1:16" x14ac:dyDescent="0.25">
      <c r="A46" s="15" t="s">
        <v>1234</v>
      </c>
      <c r="B46" s="16" t="s">
        <v>1221</v>
      </c>
      <c r="C46" s="1" t="s">
        <v>59</v>
      </c>
      <c r="D46" s="1" t="str">
        <f>VLOOKUP($C46,Sheet2!$A$2:$B$10,2,0)</f>
        <v>114010-50820</v>
      </c>
      <c r="E46" s="7" t="s">
        <v>60</v>
      </c>
      <c r="F46" s="12">
        <v>45986</v>
      </c>
      <c r="G46" s="13">
        <v>0.6875</v>
      </c>
      <c r="H46" s="1" t="s">
        <v>52</v>
      </c>
      <c r="I46" s="1" t="s">
        <v>10</v>
      </c>
      <c r="J46" s="1">
        <v>12</v>
      </c>
      <c r="K46" s="14">
        <f>VLOOKUP($C46,Sheet2!$A$2:$D$10,4,0)</f>
        <v>1</v>
      </c>
      <c r="L46" s="14" t="str">
        <f>VLOOKUP($C46,Sheet2!$A$2:$E$10,5,0)</f>
        <v>Bin</v>
      </c>
      <c r="M46" s="14">
        <f t="shared" si="7"/>
        <v>12</v>
      </c>
      <c r="N46" s="1"/>
      <c r="O46" s="1" t="s">
        <v>528</v>
      </c>
      <c r="P46" s="1" t="s">
        <v>1019</v>
      </c>
    </row>
    <row r="47" spans="1:16" ht="15.75" thickBot="1" x14ac:dyDescent="0.3">
      <c r="A47" s="15" t="s">
        <v>1234</v>
      </c>
      <c r="B47" s="16" t="s">
        <v>1226</v>
      </c>
      <c r="C47" s="1" t="s">
        <v>67</v>
      </c>
      <c r="D47" s="1" t="str">
        <f>VLOOKUP($C47,Sheet2!$A$2:$B$10,2,0)</f>
        <v>114010-50830</v>
      </c>
      <c r="E47" s="7" t="s">
        <v>60</v>
      </c>
      <c r="F47" s="12">
        <v>45986</v>
      </c>
      <c r="G47" s="19">
        <v>0.6875</v>
      </c>
      <c r="H47" s="1" t="s">
        <v>52</v>
      </c>
      <c r="I47" s="1" t="s">
        <v>10</v>
      </c>
      <c r="J47" s="1">
        <v>11</v>
      </c>
      <c r="K47" s="14">
        <f>VLOOKUP($C47,Sheet2!$A$2:$D$10,4,0)</f>
        <v>1</v>
      </c>
      <c r="L47" s="14" t="str">
        <f>VLOOKUP($C47,Sheet2!$A$2:$E$10,5,0)</f>
        <v>Bin</v>
      </c>
      <c r="M47" s="14">
        <f t="shared" si="7"/>
        <v>11</v>
      </c>
      <c r="N47" s="1"/>
      <c r="O47" s="1" t="s">
        <v>528</v>
      </c>
      <c r="P47" s="1" t="s">
        <v>1026</v>
      </c>
    </row>
    <row r="48" spans="1:16" ht="15.75" thickTop="1" x14ac:dyDescent="0.25">
      <c r="A48" s="15" t="s">
        <v>1291</v>
      </c>
      <c r="B48" s="16" t="s">
        <v>1235</v>
      </c>
      <c r="C48" s="1" t="s">
        <v>23</v>
      </c>
      <c r="D48" s="1" t="str">
        <f>VLOOKUP($C48,Sheet2!$A$2:$B$10,2,0)</f>
        <v>141185-74670</v>
      </c>
      <c r="E48" s="7" t="s">
        <v>24</v>
      </c>
      <c r="F48" s="12">
        <v>45986</v>
      </c>
      <c r="G48" s="18">
        <v>0.86458333333333337</v>
      </c>
      <c r="H48" s="1" t="s">
        <v>9</v>
      </c>
      <c r="I48" s="1" t="s">
        <v>10</v>
      </c>
      <c r="J48" s="1">
        <v>40</v>
      </c>
      <c r="K48" s="14">
        <f>VLOOKUP($C48,Sheet2!$A$2:$D$10,4,0)</f>
        <v>40</v>
      </c>
      <c r="L48" s="14" t="str">
        <f>VLOOKUP($C48,Sheet2!$A$2:$E$10,5,0)</f>
        <v>Trolley</v>
      </c>
      <c r="M48" s="14"/>
      <c r="N48" s="1">
        <v>1</v>
      </c>
      <c r="O48" s="1" t="s">
        <v>528</v>
      </c>
      <c r="P48" s="1">
        <v>910102394</v>
      </c>
    </row>
    <row r="49" spans="1:16" x14ac:dyDescent="0.25">
      <c r="A49" s="15" t="s">
        <v>1291</v>
      </c>
      <c r="B49" s="16" t="s">
        <v>1236</v>
      </c>
      <c r="C49" s="1" t="s">
        <v>29</v>
      </c>
      <c r="D49" s="1" t="str">
        <f>VLOOKUP($C49,Sheet2!$A$2:$B$10,2,0)</f>
        <v>141140-91211</v>
      </c>
      <c r="E49" s="7" t="s">
        <v>30</v>
      </c>
      <c r="F49" s="12">
        <v>45986</v>
      </c>
      <c r="G49" s="13">
        <v>0.86458333333333337</v>
      </c>
      <c r="H49" s="1" t="s">
        <v>31</v>
      </c>
      <c r="I49" s="1" t="s">
        <v>10</v>
      </c>
      <c r="J49" s="1">
        <v>10</v>
      </c>
      <c r="K49" s="14">
        <f>VLOOKUP($C49,Sheet2!$A$2:$D$10,4,0)</f>
        <v>2</v>
      </c>
      <c r="L49" s="14" t="str">
        <f>VLOOKUP($C49,Sheet2!$A$2:$E$10,5,0)</f>
        <v>Bin</v>
      </c>
      <c r="M49" s="14">
        <f>J49/K49</f>
        <v>5</v>
      </c>
      <c r="N49" s="1"/>
      <c r="O49" s="1" t="s">
        <v>528</v>
      </c>
      <c r="P49" s="1" t="s">
        <v>1023</v>
      </c>
    </row>
    <row r="50" spans="1:16" x14ac:dyDescent="0.25">
      <c r="A50" s="15" t="s">
        <v>1291</v>
      </c>
      <c r="B50" s="16" t="s">
        <v>1237</v>
      </c>
      <c r="C50" s="1" t="s">
        <v>37</v>
      </c>
      <c r="D50" s="1" t="str">
        <f>VLOOKUP($C50,Sheet2!$A$2:$B$10,2,0)</f>
        <v>141150-91211</v>
      </c>
      <c r="E50" s="7" t="s">
        <v>38</v>
      </c>
      <c r="F50" s="12">
        <v>45986</v>
      </c>
      <c r="G50" s="13">
        <v>0.86458333333333337</v>
      </c>
      <c r="H50" s="1" t="s">
        <v>31</v>
      </c>
      <c r="I50" s="1" t="s">
        <v>10</v>
      </c>
      <c r="J50" s="1">
        <v>10</v>
      </c>
      <c r="K50" s="14">
        <f>VLOOKUP($C50,Sheet2!$A$2:$D$10,4,0)</f>
        <v>2</v>
      </c>
      <c r="L50" s="14" t="str">
        <f>VLOOKUP($C50,Sheet2!$A$2:$E$10,5,0)</f>
        <v>Bin</v>
      </c>
      <c r="M50" s="14">
        <f t="shared" ref="M50:M53" si="8">J50/K50</f>
        <v>5</v>
      </c>
      <c r="N50" s="1"/>
      <c r="O50" s="1" t="s">
        <v>528</v>
      </c>
      <c r="P50" s="1" t="s">
        <v>1023</v>
      </c>
    </row>
    <row r="51" spans="1:16" x14ac:dyDescent="0.25">
      <c r="A51" s="15" t="s">
        <v>1292</v>
      </c>
      <c r="B51" s="16" t="s">
        <v>1238</v>
      </c>
      <c r="C51" s="1" t="s">
        <v>50</v>
      </c>
      <c r="D51" s="1" t="str">
        <f>VLOOKUP($C51,Sheet2!$A$2:$B$10,2,0)</f>
        <v>116040-92240</v>
      </c>
      <c r="E51" s="7" t="s">
        <v>51</v>
      </c>
      <c r="F51" s="12">
        <v>45986</v>
      </c>
      <c r="G51" s="13">
        <v>0.86458333333333337</v>
      </c>
      <c r="H51" s="1" t="s">
        <v>52</v>
      </c>
      <c r="I51" s="1" t="s">
        <v>10</v>
      </c>
      <c r="J51" s="1">
        <v>12</v>
      </c>
      <c r="K51" s="14">
        <f>VLOOKUP($C51,Sheet2!$A$2:$D$10,4,0)</f>
        <v>6</v>
      </c>
      <c r="L51" s="14" t="str">
        <f>VLOOKUP($C51,Sheet2!$A$2:$E$10,5,0)</f>
        <v>Bin</v>
      </c>
      <c r="M51" s="14">
        <f t="shared" si="8"/>
        <v>2</v>
      </c>
      <c r="N51" s="1"/>
      <c r="O51" s="1" t="s">
        <v>528</v>
      </c>
      <c r="P51" s="1" t="s">
        <v>1303</v>
      </c>
    </row>
    <row r="52" spans="1:16" x14ac:dyDescent="0.25">
      <c r="A52" s="15" t="s">
        <v>1292</v>
      </c>
      <c r="B52" s="16" t="s">
        <v>1239</v>
      </c>
      <c r="C52" s="1" t="s">
        <v>59</v>
      </c>
      <c r="D52" s="1" t="str">
        <f>VLOOKUP($C52,Sheet2!$A$2:$B$10,2,0)</f>
        <v>114010-50820</v>
      </c>
      <c r="E52" s="7" t="s">
        <v>60</v>
      </c>
      <c r="F52" s="12">
        <v>45986</v>
      </c>
      <c r="G52" s="13">
        <v>0.86458333333333337</v>
      </c>
      <c r="H52" s="1" t="s">
        <v>52</v>
      </c>
      <c r="I52" s="1" t="s">
        <v>10</v>
      </c>
      <c r="J52" s="1">
        <v>4</v>
      </c>
      <c r="K52" s="14">
        <f>VLOOKUP($C52,Sheet2!$A$2:$D$10,4,0)</f>
        <v>1</v>
      </c>
      <c r="L52" s="14" t="str">
        <f>VLOOKUP($C52,Sheet2!$A$2:$E$10,5,0)</f>
        <v>Bin</v>
      </c>
      <c r="M52" s="14">
        <f t="shared" si="8"/>
        <v>4</v>
      </c>
      <c r="N52" s="1"/>
      <c r="O52" s="1" t="s">
        <v>528</v>
      </c>
      <c r="P52" s="1" t="s">
        <v>1019</v>
      </c>
    </row>
    <row r="53" spans="1:16" x14ac:dyDescent="0.25">
      <c r="A53" s="15" t="s">
        <v>1292</v>
      </c>
      <c r="B53" s="16" t="s">
        <v>1240</v>
      </c>
      <c r="C53" s="1" t="s">
        <v>67</v>
      </c>
      <c r="D53" s="1" t="str">
        <f>VLOOKUP($C53,Sheet2!$A$2:$B$10,2,0)</f>
        <v>114010-50830</v>
      </c>
      <c r="E53" s="7" t="s">
        <v>60</v>
      </c>
      <c r="F53" s="12">
        <v>45986</v>
      </c>
      <c r="G53" s="13">
        <v>0.86458333333333337</v>
      </c>
      <c r="H53" s="1" t="s">
        <v>52</v>
      </c>
      <c r="I53" s="1" t="s">
        <v>10</v>
      </c>
      <c r="J53" s="1">
        <v>6</v>
      </c>
      <c r="K53" s="14">
        <f>VLOOKUP($C53,Sheet2!$A$2:$D$10,4,0)</f>
        <v>1</v>
      </c>
      <c r="L53" s="14" t="str">
        <f>VLOOKUP($C53,Sheet2!$A$2:$E$10,5,0)</f>
        <v>Bin</v>
      </c>
      <c r="M53" s="14">
        <f t="shared" si="8"/>
        <v>6</v>
      </c>
      <c r="N53" s="1"/>
      <c r="O53" s="1" t="s">
        <v>528</v>
      </c>
      <c r="P53" s="1" t="s">
        <v>1026</v>
      </c>
    </row>
    <row r="54" spans="1:16" s="20" customForma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>
        <v>73</v>
      </c>
      <c r="N54" s="9">
        <v>5</v>
      </c>
      <c r="O54" s="9"/>
      <c r="P54" s="9"/>
    </row>
  </sheetData>
  <mergeCells count="7">
    <mergeCell ref="N40:N41"/>
    <mergeCell ref="A1:F1"/>
    <mergeCell ref="J1:N1"/>
    <mergeCell ref="L2:N2"/>
    <mergeCell ref="N4:N5"/>
    <mergeCell ref="N20:N21"/>
    <mergeCell ref="N30:N31"/>
  </mergeCells>
  <conditionalFormatting sqref="B2">
    <cfRule type="duplicateValues" dxfId="240" priority="70"/>
    <cfRule type="duplicateValues" dxfId="239" priority="71"/>
  </conditionalFormatting>
  <conditionalFormatting sqref="B4:B18 B20:B28 B30:B38 B40:B47">
    <cfRule type="duplicateValues" dxfId="238" priority="63"/>
  </conditionalFormatting>
  <conditionalFormatting sqref="B48:B53">
    <cfRule type="duplicateValues" dxfId="237" priority="15"/>
  </conditionalFormatting>
  <conditionalFormatting sqref="C2:D2">
    <cfRule type="duplicateValues" dxfId="236" priority="72"/>
    <cfRule type="duplicateValues" dxfId="235" priority="73"/>
  </conditionalFormatting>
  <conditionalFormatting sqref="D3">
    <cfRule type="duplicateValues" dxfId="231" priority="68"/>
    <cfRule type="duplicateValues" dxfId="230" priority="69"/>
  </conditionalFormatting>
  <conditionalFormatting sqref="D19">
    <cfRule type="duplicateValues" dxfId="226" priority="51"/>
    <cfRule type="duplicateValues" dxfId="225" priority="52"/>
  </conditionalFormatting>
  <conditionalFormatting sqref="D29">
    <cfRule type="duplicateValues" dxfId="223" priority="45"/>
    <cfRule type="duplicateValues" dxfId="222" priority="44"/>
  </conditionalFormatting>
  <conditionalFormatting sqref="D39">
    <cfRule type="duplicateValues" dxfId="220" priority="38"/>
    <cfRule type="duplicateValues" dxfId="219" priority="37"/>
  </conditionalFormatting>
  <conditionalFormatting sqref="D54">
    <cfRule type="duplicateValues" dxfId="213" priority="5"/>
    <cfRule type="duplicateValues" dxfId="212" priority="4"/>
  </conditionalFormatting>
  <pageMargins left="0.17" right="0.17" top="0.21" bottom="0.75" header="0.17" footer="0.3"/>
  <pageSetup paperSize="9" scale="6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" operator="containsText" text="17521M68PA0" id="{38CF85C1-FA13-4D1E-A86D-6AACBB572083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C4:D18 C20:D28 C30:D38 C40:D47</xm:sqref>
        </x14:conditionalFormatting>
        <x14:conditionalFormatting xmlns:xm="http://schemas.microsoft.com/office/excel/2006/main">
          <x14:cfRule type="containsText" priority="10" operator="containsText" text="17521M68PA0" id="{DB143167-6154-479A-8C35-9703BCF6621B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C48:D53</xm:sqref>
        </x14:conditionalFormatting>
        <x14:conditionalFormatting xmlns:xm="http://schemas.microsoft.com/office/excel/2006/main">
          <x14:cfRule type="containsText" priority="78" operator="containsText" text="17521M68PA0" id="{C725194B-61BE-4127-B765-8656F4BEC669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56" operator="containsText" text="17521M74T00" id="{D6D0AF24-2C4B-47E9-ACA1-0F8387576525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D4:D18 D20:D28 D30:D38 D40:D47</xm:sqref>
        </x14:conditionalFormatting>
        <x14:conditionalFormatting xmlns:xm="http://schemas.microsoft.com/office/excel/2006/main">
          <x14:cfRule type="containsText" priority="54" operator="containsText" text="17521M74T00" id="{2DD3AE32-BF2D-4713-8174-ACD13D788C3B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55" operator="containsText" text="17521M68PA0" id="{C3CE4AEA-3FA3-4A70-A904-D660131FBE7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D4:D18 D20:D28 D30:D38</xm:sqref>
        </x14:conditionalFormatting>
        <x14:conditionalFormatting xmlns:xm="http://schemas.microsoft.com/office/excel/2006/main">
          <x14:cfRule type="containsText" priority="53" operator="containsText" text="17521M68PA0" id="{19C5ACFB-AC2C-4B78-86C6-5193DBBDC09C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containsText" priority="46" operator="containsText" text="17521M68PA0" id="{265CC900-3A1C-4D73-A792-D0B5DD705127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containsText" priority="39" operator="containsText" text="17521M68PA0" id="{4DA91600-E330-4176-88CF-29A42DC7278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D39:D47</xm:sqref>
        </x14:conditionalFormatting>
        <x14:conditionalFormatting xmlns:xm="http://schemas.microsoft.com/office/excel/2006/main">
          <x14:cfRule type="containsText" priority="7" operator="containsText" text="17521M74T00" id="{4CB750F2-9A68-4C6E-9063-E2DC5877AFA3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D40:D53</xm:sqref>
        </x14:conditionalFormatting>
        <x14:conditionalFormatting xmlns:xm="http://schemas.microsoft.com/office/excel/2006/main">
          <x14:cfRule type="containsText" priority="9" operator="containsText" text="17521M74T00" id="{70D8270F-08BB-444A-A352-A9E3D987F40D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8" operator="containsText" text="17521M68PA0" id="{DB2FE6A4-4AC4-476D-BDA9-1E0F1E2AFA65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D48:D53</xm:sqref>
        </x14:conditionalFormatting>
        <x14:conditionalFormatting xmlns:xm="http://schemas.microsoft.com/office/excel/2006/main">
          <x14:cfRule type="containsText" priority="6" operator="containsText" text="17521M68PA0" id="{F3995633-D968-435F-805C-A5F2A0EE0566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D54</xm:sqref>
        </x14:conditionalFormatting>
        <x14:conditionalFormatting xmlns:xm="http://schemas.microsoft.com/office/excel/2006/main">
          <x14:cfRule type="containsText" priority="74" operator="containsText" text="17521M68PA0" id="{1E06625F-7CEE-407A-8566-9E9A4949918B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75" operator="containsText" text="17521M74T00" id="{EC39AA1D-EA3D-427C-84E7-E2461975B173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65" operator="containsText" text="BELT,WATER PUMP - 7PK 975" id="{4E242CE2-0936-4E94-8E7A-C4B03F3E6E8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26" operator="containsText" text="BELT,WATER PUMP - 5PK 913" id="{16F277E4-323A-48BD-96E7-73F580CC791B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E3:E54</xm:sqref>
        </x14:conditionalFormatting>
        <x14:conditionalFormatting xmlns:xm="http://schemas.microsoft.com/office/excel/2006/main">
          <x14:cfRule type="containsText" priority="48" operator="containsText" text="BELT,WATER PUMP - 7PK 975" id="{44F4F64C-8C67-4E6C-B244-6A3F7152C28F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containsText" priority="41" operator="containsText" text="BELT,WATER PUMP - 7PK 975" id="{61078FBD-762C-49F4-AB4D-CAD90CBEAC6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containsText" priority="34" operator="containsText" text="BELT,WATER PUMP - 7PK 975" id="{971AEAE3-A286-46DF-B443-343F73634F4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E39</xm:sqref>
        </x14:conditionalFormatting>
        <x14:conditionalFormatting xmlns:xm="http://schemas.microsoft.com/office/excel/2006/main">
          <x14:cfRule type="containsText" priority="1" operator="containsText" text="BELT,WATER PUMP - 7PK 975" id="{60BFE8CD-4A12-48B9-BAA2-7A55267E364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E54</xm:sqref>
        </x14:conditionalFormatting>
        <x14:conditionalFormatting xmlns:xm="http://schemas.microsoft.com/office/excel/2006/main">
          <x14:cfRule type="containsText" priority="76" operator="containsText" text="BELT,WATER PUMP - 5PK 913" id="{B85920E1-3230-4219-82A9-4A6731CB8C1E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77" operator="containsText" text="BELT,WATER PUMP - 7PK 975" id="{6BA85048-1986-48FD-BC34-0FCF5C20E27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67" operator="containsText" text="7PK 975" id="{5DC38D69-0B3C-4F9C-BB9D-77CDE9B7E5D1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66" operator="containsText" text="5PK 913" id="{80CCEDAF-9994-4700-B9F3-1363B7D8F263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49" operator="containsText" text="5PK 913" id="{A5DB7D90-0516-4199-B23D-D6FA87BB6B5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0" operator="containsText" text="7PK 975" id="{F69A4D00-C585-4A3C-82B2-5AE124A8A509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P19</xm:sqref>
        </x14:conditionalFormatting>
        <x14:conditionalFormatting xmlns:xm="http://schemas.microsoft.com/office/excel/2006/main">
          <x14:cfRule type="containsText" priority="43" operator="containsText" text="7PK 975" id="{8A90EF54-ED0F-49A4-AB35-283B289259B2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42" operator="containsText" text="5PK 913" id="{2A0A9F0A-D444-405B-8F88-C538AD33BF7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P29</xm:sqref>
        </x14:conditionalFormatting>
        <x14:conditionalFormatting xmlns:xm="http://schemas.microsoft.com/office/excel/2006/main">
          <x14:cfRule type="containsText" priority="36" operator="containsText" text="7PK 975" id="{8891E215-76FC-4D68-B899-2140DA7C5A5A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35" operator="containsText" text="5PK 913" id="{C345D133-0862-4C08-9DBB-074DA38B118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P39</xm:sqref>
        </x14:conditionalFormatting>
        <x14:conditionalFormatting xmlns:xm="http://schemas.microsoft.com/office/excel/2006/main">
          <x14:cfRule type="containsText" priority="2" operator="containsText" text="5PK 913" id="{D988BABA-9538-42C3-89B6-F6183A2D8590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7PK 975" id="{D20ECA09-E089-4EE4-BE50-EDCFE8F5AE8A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P54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CAFA-1132-443D-800C-3481CC7446FF}">
  <sheetPr>
    <pageSetUpPr fitToPage="1"/>
  </sheetPr>
  <dimension ref="A1:P51"/>
  <sheetViews>
    <sheetView topLeftCell="A26" workbookViewId="0">
      <selection activeCell="A4" sqref="A4:XFD49"/>
    </sheetView>
  </sheetViews>
  <sheetFormatPr defaultColWidth="57.28515625" defaultRowHeight="15" x14ac:dyDescent="0.25"/>
  <cols>
    <col min="1" max="1" width="15.42578125" bestFit="1" customWidth="1"/>
    <col min="2" max="2" width="19" customWidth="1"/>
    <col min="3" max="4" width="14.140625" bestFit="1" customWidth="1"/>
    <col min="5" max="5" width="32.5703125" bestFit="1" customWidth="1"/>
    <col min="6" max="6" width="10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4.42578125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0.85546875" bestFit="1" customWidth="1"/>
    <col min="16" max="16" width="41.42578125" bestFit="1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45987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1293</v>
      </c>
      <c r="B4" s="16" t="s">
        <v>1241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45987</v>
      </c>
      <c r="G4" s="13">
        <v>0.47916666666666669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166</v>
      </c>
      <c r="P4" s="1" t="s">
        <v>1289</v>
      </c>
    </row>
    <row r="5" spans="1:16" x14ac:dyDescent="0.25">
      <c r="A5" s="15" t="s">
        <v>1293</v>
      </c>
      <c r="B5" s="16" t="s">
        <v>1245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45987</v>
      </c>
      <c r="G5" s="13">
        <v>0.47916666666666669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166</v>
      </c>
      <c r="P5" s="1" t="s">
        <v>1289</v>
      </c>
    </row>
    <row r="6" spans="1:16" x14ac:dyDescent="0.25">
      <c r="A6" s="15" t="s">
        <v>1293</v>
      </c>
      <c r="B6" s="16" t="s">
        <v>1242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45987</v>
      </c>
      <c r="G6" s="13">
        <v>0.47916666666666669</v>
      </c>
      <c r="H6" s="1" t="s">
        <v>9</v>
      </c>
      <c r="I6" s="1" t="s">
        <v>10</v>
      </c>
      <c r="J6" s="1">
        <v>36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2</v>
      </c>
      <c r="O6" s="1" t="s">
        <v>166</v>
      </c>
      <c r="P6" s="1" t="s">
        <v>1289</v>
      </c>
    </row>
    <row r="7" spans="1:16" x14ac:dyDescent="0.25">
      <c r="A7" s="15" t="s">
        <v>1293</v>
      </c>
      <c r="B7" s="16" t="s">
        <v>1246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45987</v>
      </c>
      <c r="G7" s="13">
        <v>0.47916666666666669</v>
      </c>
      <c r="H7" s="1" t="s">
        <v>9</v>
      </c>
      <c r="I7" s="1" t="s">
        <v>10</v>
      </c>
      <c r="J7" s="1">
        <v>36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166</v>
      </c>
      <c r="P7" s="1" t="s">
        <v>1289</v>
      </c>
    </row>
    <row r="8" spans="1:16" x14ac:dyDescent="0.25">
      <c r="A8" s="15" t="s">
        <v>1293</v>
      </c>
      <c r="B8" s="16" t="s">
        <v>1249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45987</v>
      </c>
      <c r="G8" s="13">
        <v>0.47916666666666669</v>
      </c>
      <c r="H8" s="1" t="s">
        <v>9</v>
      </c>
      <c r="I8" s="1" t="s">
        <v>10</v>
      </c>
      <c r="J8" s="1">
        <v>40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1</v>
      </c>
      <c r="O8" s="1" t="s">
        <v>166</v>
      </c>
      <c r="P8" s="1">
        <v>910102103</v>
      </c>
    </row>
    <row r="9" spans="1:16" x14ac:dyDescent="0.25">
      <c r="A9" s="15" t="s">
        <v>1293</v>
      </c>
      <c r="B9" s="16" t="s">
        <v>1250</v>
      </c>
      <c r="C9" s="1" t="s">
        <v>23</v>
      </c>
      <c r="D9" s="1" t="str">
        <f>VLOOKUP($C9,Sheet2!$A$2:$B$10,2,0)</f>
        <v>141185-74670</v>
      </c>
      <c r="E9" s="7" t="s">
        <v>24</v>
      </c>
      <c r="F9" s="12">
        <v>45987</v>
      </c>
      <c r="G9" s="13">
        <v>0.47916666666666669</v>
      </c>
      <c r="H9" s="1" t="s">
        <v>9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166</v>
      </c>
      <c r="P9" s="1">
        <v>910102103</v>
      </c>
    </row>
    <row r="10" spans="1:16" x14ac:dyDescent="0.25">
      <c r="A10" s="15" t="s">
        <v>1293</v>
      </c>
      <c r="B10" s="16" t="s">
        <v>1254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45987</v>
      </c>
      <c r="G10" s="13">
        <v>0.47916666666666669</v>
      </c>
      <c r="H10" s="1" t="s">
        <v>31</v>
      </c>
      <c r="I10" s="1" t="s">
        <v>10</v>
      </c>
      <c r="J10" s="1">
        <v>20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10</v>
      </c>
      <c r="N10" s="1"/>
      <c r="O10" s="1" t="s">
        <v>166</v>
      </c>
      <c r="P10" s="1" t="s">
        <v>1023</v>
      </c>
    </row>
    <row r="11" spans="1:16" x14ac:dyDescent="0.25">
      <c r="A11" s="15" t="s">
        <v>1293</v>
      </c>
      <c r="B11" s="16" t="s">
        <v>1255</v>
      </c>
      <c r="C11" s="1" t="s">
        <v>29</v>
      </c>
      <c r="D11" s="1" t="str">
        <f>VLOOKUP($C11,Sheet2!$A$2:$B$10,2,0)</f>
        <v>141140-91211</v>
      </c>
      <c r="E11" s="7" t="s">
        <v>30</v>
      </c>
      <c r="F11" s="12">
        <v>45987</v>
      </c>
      <c r="G11" s="13">
        <v>0.47916666666666669</v>
      </c>
      <c r="H11" s="1" t="s">
        <v>31</v>
      </c>
      <c r="I11" s="1" t="s">
        <v>10</v>
      </c>
      <c r="J11" s="1">
        <v>32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ref="M11:M13" si="0">J11/K11</f>
        <v>16</v>
      </c>
      <c r="N11" s="1"/>
      <c r="O11" s="1" t="s">
        <v>166</v>
      </c>
      <c r="P11" s="1" t="s">
        <v>1023</v>
      </c>
    </row>
    <row r="12" spans="1:16" x14ac:dyDescent="0.25">
      <c r="A12" s="15" t="s">
        <v>1293</v>
      </c>
      <c r="B12" s="16" t="s">
        <v>1259</v>
      </c>
      <c r="C12" s="1" t="s">
        <v>37</v>
      </c>
      <c r="D12" s="1" t="str">
        <f>VLOOKUP($C12,Sheet2!$A$2:$B$10,2,0)</f>
        <v>141150-91211</v>
      </c>
      <c r="E12" s="7" t="s">
        <v>38</v>
      </c>
      <c r="F12" s="12">
        <v>45987</v>
      </c>
      <c r="G12" s="13">
        <v>0.47916666666666669</v>
      </c>
      <c r="H12" s="1" t="s">
        <v>31</v>
      </c>
      <c r="I12" s="1" t="s">
        <v>10</v>
      </c>
      <c r="J12" s="1">
        <v>20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10</v>
      </c>
      <c r="N12" s="1"/>
      <c r="O12" s="1" t="s">
        <v>166</v>
      </c>
      <c r="P12" s="1" t="s">
        <v>1023</v>
      </c>
    </row>
    <row r="13" spans="1:16" x14ac:dyDescent="0.25">
      <c r="A13" s="15" t="s">
        <v>1293</v>
      </c>
      <c r="B13" s="16" t="s">
        <v>1260</v>
      </c>
      <c r="C13" s="1" t="s">
        <v>37</v>
      </c>
      <c r="D13" s="1" t="str">
        <f>VLOOKUP($C13,Sheet2!$A$2:$B$10,2,0)</f>
        <v>141150-91211</v>
      </c>
      <c r="E13" s="7" t="s">
        <v>38</v>
      </c>
      <c r="F13" s="12">
        <v>45987</v>
      </c>
      <c r="G13" s="13">
        <v>0.47916666666666669</v>
      </c>
      <c r="H13" s="1" t="s">
        <v>31</v>
      </c>
      <c r="I13" s="1" t="s">
        <v>10</v>
      </c>
      <c r="J13" s="1">
        <v>32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si="0"/>
        <v>16</v>
      </c>
      <c r="N13" s="1"/>
      <c r="O13" s="1" t="s">
        <v>166</v>
      </c>
      <c r="P13" s="1" t="s">
        <v>1023</v>
      </c>
    </row>
    <row r="14" spans="1:16" x14ac:dyDescent="0.25">
      <c r="A14" s="15" t="s">
        <v>1293</v>
      </c>
      <c r="B14" s="16" t="s">
        <v>1264</v>
      </c>
      <c r="C14" s="1" t="s">
        <v>45</v>
      </c>
      <c r="D14" s="1" t="str">
        <f>VLOOKUP($C14,Sheet2!$A$2:$B$10,2,0)</f>
        <v>141186-74360</v>
      </c>
      <c r="E14" s="7" t="s">
        <v>46</v>
      </c>
      <c r="F14" s="12">
        <v>45987</v>
      </c>
      <c r="G14" s="13">
        <v>0.47916666666666669</v>
      </c>
      <c r="H14" s="1" t="s">
        <v>31</v>
      </c>
      <c r="I14" s="1" t="s">
        <v>10</v>
      </c>
      <c r="J14" s="1">
        <v>40</v>
      </c>
      <c r="K14" s="14">
        <f>VLOOKUP($C14,Sheet2!$A$2:$D$10,4,0)</f>
        <v>40</v>
      </c>
      <c r="L14" s="14" t="str">
        <f>VLOOKUP($C14,Sheet2!$A$2:$E$10,5,0)</f>
        <v>Trolley</v>
      </c>
      <c r="M14" s="14"/>
      <c r="N14" s="1">
        <f t="shared" ref="N14:N15" si="1">J14/K14</f>
        <v>1</v>
      </c>
      <c r="O14" s="1" t="s">
        <v>166</v>
      </c>
      <c r="P14" s="1">
        <v>910103038</v>
      </c>
    </row>
    <row r="15" spans="1:16" x14ac:dyDescent="0.25">
      <c r="A15" s="15" t="s">
        <v>1293</v>
      </c>
      <c r="B15" s="16" t="s">
        <v>1265</v>
      </c>
      <c r="C15" s="1" t="s">
        <v>45</v>
      </c>
      <c r="D15" s="1" t="str">
        <f>VLOOKUP($C15,Sheet2!$A$2:$B$10,2,0)</f>
        <v>141186-74360</v>
      </c>
      <c r="E15" s="7" t="s">
        <v>46</v>
      </c>
      <c r="F15" s="12">
        <v>45987</v>
      </c>
      <c r="G15" s="13">
        <v>0.47916666666666669</v>
      </c>
      <c r="H15" s="1" t="s">
        <v>31</v>
      </c>
      <c r="I15" s="1" t="s">
        <v>10</v>
      </c>
      <c r="J15" s="1">
        <v>80</v>
      </c>
      <c r="K15" s="14">
        <f>VLOOKUP($C15,Sheet2!$A$2:$D$10,4,0)</f>
        <v>40</v>
      </c>
      <c r="L15" s="14" t="str">
        <f>VLOOKUP($C15,Sheet2!$A$2:$E$10,5,0)</f>
        <v>Trolley</v>
      </c>
      <c r="M15" s="14"/>
      <c r="N15" s="1">
        <f t="shared" si="1"/>
        <v>2</v>
      </c>
      <c r="O15" s="1" t="s">
        <v>166</v>
      </c>
      <c r="P15" s="1" t="s">
        <v>1437</v>
      </c>
    </row>
    <row r="16" spans="1:16" x14ac:dyDescent="0.25">
      <c r="A16" s="15" t="s">
        <v>1294</v>
      </c>
      <c r="B16" s="16" t="s">
        <v>1269</v>
      </c>
      <c r="C16" s="1" t="s">
        <v>50</v>
      </c>
      <c r="D16" s="1" t="str">
        <f>VLOOKUP($C16,Sheet2!$A$2:$B$10,2,0)</f>
        <v>116040-92240</v>
      </c>
      <c r="E16" s="7" t="s">
        <v>51</v>
      </c>
      <c r="F16" s="12">
        <v>45987</v>
      </c>
      <c r="G16" s="13">
        <v>0.47916666666666669</v>
      </c>
      <c r="H16" s="1" t="s">
        <v>52</v>
      </c>
      <c r="I16" s="1" t="s">
        <v>10</v>
      </c>
      <c r="J16" s="1">
        <v>18</v>
      </c>
      <c r="K16" s="14">
        <f>VLOOKUP($C16,Sheet2!$A$2:$D$10,4,0)</f>
        <v>6</v>
      </c>
      <c r="L16" s="14" t="str">
        <f>VLOOKUP($C16,Sheet2!$A$2:$E$10,5,0)</f>
        <v>Bin</v>
      </c>
      <c r="M16" s="14">
        <f t="shared" ref="M16:M21" si="2">J16/K16</f>
        <v>3</v>
      </c>
      <c r="N16" s="1"/>
      <c r="O16" s="1" t="s">
        <v>166</v>
      </c>
      <c r="P16" s="1" t="s">
        <v>1303</v>
      </c>
    </row>
    <row r="17" spans="1:16" x14ac:dyDescent="0.25">
      <c r="A17" s="15" t="s">
        <v>1294</v>
      </c>
      <c r="B17" s="16" t="s">
        <v>1270</v>
      </c>
      <c r="C17" s="1" t="s">
        <v>50</v>
      </c>
      <c r="D17" s="1" t="str">
        <f>VLOOKUP($C17,Sheet2!$A$2:$B$10,2,0)</f>
        <v>116040-92240</v>
      </c>
      <c r="E17" s="7" t="s">
        <v>51</v>
      </c>
      <c r="F17" s="12">
        <v>45987</v>
      </c>
      <c r="G17" s="13">
        <v>0.47916666666666669</v>
      </c>
      <c r="H17" s="1" t="s">
        <v>52</v>
      </c>
      <c r="I17" s="1" t="s">
        <v>10</v>
      </c>
      <c r="J17" s="1">
        <v>30</v>
      </c>
      <c r="K17" s="14">
        <f>VLOOKUP($C17,Sheet2!$A$2:$D$10,4,0)</f>
        <v>6</v>
      </c>
      <c r="L17" s="14" t="str">
        <f>VLOOKUP($C17,Sheet2!$A$2:$E$10,5,0)</f>
        <v>Bin</v>
      </c>
      <c r="M17" s="14">
        <f t="shared" si="2"/>
        <v>5</v>
      </c>
      <c r="N17" s="1"/>
      <c r="O17" s="1" t="s">
        <v>166</v>
      </c>
      <c r="P17" s="1" t="s">
        <v>1303</v>
      </c>
    </row>
    <row r="18" spans="1:16" x14ac:dyDescent="0.25">
      <c r="A18" s="15" t="s">
        <v>1294</v>
      </c>
      <c r="B18" s="16" t="s">
        <v>1274</v>
      </c>
      <c r="C18" s="1" t="s">
        <v>59</v>
      </c>
      <c r="D18" s="1" t="str">
        <f>VLOOKUP($C18,Sheet2!$A$2:$B$10,2,0)</f>
        <v>114010-50820</v>
      </c>
      <c r="E18" s="7" t="s">
        <v>60</v>
      </c>
      <c r="F18" s="12">
        <v>45987</v>
      </c>
      <c r="G18" s="13">
        <v>0.47916666666666669</v>
      </c>
      <c r="H18" s="1" t="s">
        <v>52</v>
      </c>
      <c r="I18" s="1" t="s">
        <v>10</v>
      </c>
      <c r="J18" s="1">
        <v>10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2"/>
        <v>10</v>
      </c>
      <c r="N18" s="1"/>
      <c r="O18" s="1" t="s">
        <v>166</v>
      </c>
      <c r="P18" s="1" t="s">
        <v>1440</v>
      </c>
    </row>
    <row r="19" spans="1:16" x14ac:dyDescent="0.25">
      <c r="A19" s="15" t="s">
        <v>1294</v>
      </c>
      <c r="B19" s="16" t="s">
        <v>1275</v>
      </c>
      <c r="C19" s="1" t="s">
        <v>59</v>
      </c>
      <c r="D19" s="1" t="str">
        <f>VLOOKUP($C19,Sheet2!$A$2:$B$10,2,0)</f>
        <v>114010-50820</v>
      </c>
      <c r="E19" s="7" t="s">
        <v>60</v>
      </c>
      <c r="F19" s="12">
        <v>45987</v>
      </c>
      <c r="G19" s="13">
        <v>0.47916666666666669</v>
      </c>
      <c r="H19" s="1" t="s">
        <v>52</v>
      </c>
      <c r="I19" s="1" t="s">
        <v>10</v>
      </c>
      <c r="J19" s="1">
        <v>16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2"/>
        <v>16</v>
      </c>
      <c r="N19" s="1"/>
      <c r="O19" s="1" t="s">
        <v>166</v>
      </c>
      <c r="P19" s="1" t="s">
        <v>910</v>
      </c>
    </row>
    <row r="20" spans="1:16" x14ac:dyDescent="0.25">
      <c r="A20" s="15" t="s">
        <v>1294</v>
      </c>
      <c r="B20" s="16" t="s">
        <v>1279</v>
      </c>
      <c r="C20" s="1" t="s">
        <v>67</v>
      </c>
      <c r="D20" s="1" t="str">
        <f>VLOOKUP($C20,Sheet2!$A$2:$B$10,2,0)</f>
        <v>114010-50830</v>
      </c>
      <c r="E20" s="7" t="s">
        <v>60</v>
      </c>
      <c r="F20" s="12">
        <v>45987</v>
      </c>
      <c r="G20" s="13">
        <v>0.47916666666666669</v>
      </c>
      <c r="H20" s="1" t="s">
        <v>52</v>
      </c>
      <c r="I20" s="1" t="s">
        <v>10</v>
      </c>
      <c r="J20" s="1">
        <v>2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2"/>
        <v>2</v>
      </c>
      <c r="N20" s="1"/>
      <c r="O20" s="1" t="s">
        <v>166</v>
      </c>
      <c r="P20" s="1" t="s">
        <v>1026</v>
      </c>
    </row>
    <row r="21" spans="1:16" x14ac:dyDescent="0.25">
      <c r="A21" s="15" t="s">
        <v>1294</v>
      </c>
      <c r="B21" s="16" t="s">
        <v>1280</v>
      </c>
      <c r="C21" s="1" t="s">
        <v>67</v>
      </c>
      <c r="D21" s="1" t="str">
        <f>VLOOKUP($C21,Sheet2!$A$2:$B$10,2,0)</f>
        <v>114010-50830</v>
      </c>
      <c r="E21" s="7" t="s">
        <v>60</v>
      </c>
      <c r="F21" s="12">
        <v>45987</v>
      </c>
      <c r="G21" s="13">
        <v>0.47916666666666669</v>
      </c>
      <c r="H21" s="1" t="s">
        <v>52</v>
      </c>
      <c r="I21" s="1" t="s">
        <v>10</v>
      </c>
      <c r="J21" s="1">
        <v>16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16</v>
      </c>
      <c r="N21" s="1"/>
      <c r="O21" s="1" t="s">
        <v>166</v>
      </c>
      <c r="P21" s="1" t="s">
        <v>1026</v>
      </c>
    </row>
    <row r="22" spans="1:16" s="20" customForma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>
        <v>104</v>
      </c>
      <c r="N22" s="9">
        <v>8</v>
      </c>
      <c r="O22" s="9"/>
      <c r="P22" s="9"/>
    </row>
    <row r="23" spans="1:16" x14ac:dyDescent="0.25">
      <c r="A23" s="15" t="s">
        <v>1295</v>
      </c>
      <c r="B23" s="16" t="s">
        <v>1243</v>
      </c>
      <c r="C23" s="1" t="s">
        <v>7</v>
      </c>
      <c r="D23" s="1" t="str">
        <f>VLOOKUP($C23,Sheet2!$A$2:$B$10,2,0)</f>
        <v>141110-14600</v>
      </c>
      <c r="E23" s="7" t="s">
        <v>8</v>
      </c>
      <c r="F23" s="12">
        <v>45987</v>
      </c>
      <c r="G23" s="13">
        <v>0.52083333333333337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3">
        <v>1</v>
      </c>
      <c r="O23" s="1" t="s">
        <v>1301</v>
      </c>
      <c r="P23" s="1" t="s">
        <v>1289</v>
      </c>
    </row>
    <row r="24" spans="1:16" x14ac:dyDescent="0.25">
      <c r="A24" s="15" t="s">
        <v>1295</v>
      </c>
      <c r="B24" s="16" t="s">
        <v>1247</v>
      </c>
      <c r="C24" s="1" t="s">
        <v>16</v>
      </c>
      <c r="D24" s="1" t="str">
        <f>VLOOKUP($C24,Sheet2!$A$2:$B$10,2,0)</f>
        <v>141120-14600</v>
      </c>
      <c r="E24" s="7" t="s">
        <v>17</v>
      </c>
      <c r="F24" s="12">
        <v>45987</v>
      </c>
      <c r="G24" s="13">
        <v>0.52083333333333337</v>
      </c>
      <c r="H24" s="1" t="s">
        <v>9</v>
      </c>
      <c r="I24" s="1" t="s">
        <v>10</v>
      </c>
      <c r="J24" s="1">
        <v>18</v>
      </c>
      <c r="K24" s="14">
        <f>VLOOKUP($C24,Sheet2!$A$2:$D$10,4,0)</f>
        <v>18</v>
      </c>
      <c r="L24" s="14" t="str">
        <f>VLOOKUP($C24,Sheet2!$A$2:$E$10,5,0)</f>
        <v>Trolley (H)</v>
      </c>
      <c r="M24" s="14"/>
      <c r="N24" s="64"/>
      <c r="O24" s="1" t="s">
        <v>1301</v>
      </c>
      <c r="P24" s="1" t="s">
        <v>1289</v>
      </c>
    </row>
    <row r="25" spans="1:16" x14ac:dyDescent="0.25">
      <c r="A25" s="15" t="s">
        <v>1295</v>
      </c>
      <c r="B25" s="16" t="s">
        <v>1251</v>
      </c>
      <c r="C25" s="1" t="s">
        <v>23</v>
      </c>
      <c r="D25" s="1" t="str">
        <f>VLOOKUP($C25,Sheet2!$A$2:$B$10,2,0)</f>
        <v>141185-74670</v>
      </c>
      <c r="E25" s="7" t="s">
        <v>24</v>
      </c>
      <c r="F25" s="12">
        <v>45987</v>
      </c>
      <c r="G25" s="13">
        <v>0.52083333333333337</v>
      </c>
      <c r="H25" s="1" t="s">
        <v>9</v>
      </c>
      <c r="I25" s="1" t="s">
        <v>10</v>
      </c>
      <c r="J25" s="1">
        <v>40</v>
      </c>
      <c r="K25" s="14">
        <f>VLOOKUP($C25,Sheet2!$A$2:$D$10,4,0)</f>
        <v>40</v>
      </c>
      <c r="L25" s="14" t="str">
        <f>VLOOKUP($C25,Sheet2!$A$2:$E$10,5,0)</f>
        <v>Trolley</v>
      </c>
      <c r="M25" s="14"/>
      <c r="N25" s="1">
        <f>J25/K25</f>
        <v>1</v>
      </c>
      <c r="O25" s="1" t="s">
        <v>1301</v>
      </c>
      <c r="P25" s="1">
        <v>910102394</v>
      </c>
    </row>
    <row r="26" spans="1:16" x14ac:dyDescent="0.25">
      <c r="A26" s="15" t="s">
        <v>1295</v>
      </c>
      <c r="B26" s="16" t="s">
        <v>1256</v>
      </c>
      <c r="C26" s="1" t="s">
        <v>29</v>
      </c>
      <c r="D26" s="1" t="str">
        <f>VLOOKUP($C26,Sheet2!$A$2:$B$10,2,0)</f>
        <v>141140-91211</v>
      </c>
      <c r="E26" s="7" t="s">
        <v>30</v>
      </c>
      <c r="F26" s="12">
        <v>45987</v>
      </c>
      <c r="G26" s="13">
        <v>0.52083333333333337</v>
      </c>
      <c r="H26" s="1" t="s">
        <v>31</v>
      </c>
      <c r="I26" s="1" t="s">
        <v>10</v>
      </c>
      <c r="J26" s="1">
        <v>20</v>
      </c>
      <c r="K26" s="14">
        <f>VLOOKUP($C26,Sheet2!$A$2:$D$10,4,0)</f>
        <v>2</v>
      </c>
      <c r="L26" s="14" t="str">
        <f>VLOOKUP($C26,Sheet2!$A$2:$E$10,5,0)</f>
        <v>Bin</v>
      </c>
      <c r="M26" s="14">
        <f t="shared" ref="M26:M27" si="3">J26/K26</f>
        <v>10</v>
      </c>
      <c r="N26" s="1"/>
      <c r="O26" s="1" t="s">
        <v>1301</v>
      </c>
      <c r="P26" s="1" t="s">
        <v>1023</v>
      </c>
    </row>
    <row r="27" spans="1:16" x14ac:dyDescent="0.25">
      <c r="A27" s="15" t="s">
        <v>1295</v>
      </c>
      <c r="B27" s="16" t="s">
        <v>1261</v>
      </c>
      <c r="C27" s="1" t="s">
        <v>37</v>
      </c>
      <c r="D27" s="1" t="str">
        <f>VLOOKUP($C27,Sheet2!$A$2:$B$10,2,0)</f>
        <v>141150-91211</v>
      </c>
      <c r="E27" s="7" t="s">
        <v>38</v>
      </c>
      <c r="F27" s="12">
        <v>45987</v>
      </c>
      <c r="G27" s="13">
        <v>0.52083333333333337</v>
      </c>
      <c r="H27" s="1" t="s">
        <v>31</v>
      </c>
      <c r="I27" s="1" t="s">
        <v>10</v>
      </c>
      <c r="J27" s="1">
        <v>20</v>
      </c>
      <c r="K27" s="14">
        <f>VLOOKUP($C27,Sheet2!$A$2:$D$10,4,0)</f>
        <v>2</v>
      </c>
      <c r="L27" s="14" t="str">
        <f>VLOOKUP($C27,Sheet2!$A$2:$E$10,5,0)</f>
        <v>Bin</v>
      </c>
      <c r="M27" s="14">
        <f t="shared" si="3"/>
        <v>10</v>
      </c>
      <c r="N27" s="1"/>
      <c r="O27" s="1" t="s">
        <v>1301</v>
      </c>
      <c r="P27" s="1" t="s">
        <v>1023</v>
      </c>
    </row>
    <row r="28" spans="1:16" x14ac:dyDescent="0.25">
      <c r="A28" s="15" t="s">
        <v>1295</v>
      </c>
      <c r="B28" s="16" t="s">
        <v>1266</v>
      </c>
      <c r="C28" s="1" t="s">
        <v>45</v>
      </c>
      <c r="D28" s="1" t="str">
        <f>VLOOKUP($C28,Sheet2!$A$2:$B$10,2,0)</f>
        <v>141186-74360</v>
      </c>
      <c r="E28" s="7" t="s">
        <v>46</v>
      </c>
      <c r="F28" s="12">
        <v>45987</v>
      </c>
      <c r="G28" s="13">
        <v>0.52083333333333337</v>
      </c>
      <c r="H28" s="1" t="s">
        <v>31</v>
      </c>
      <c r="I28" s="1" t="s">
        <v>10</v>
      </c>
      <c r="J28" s="1">
        <v>40</v>
      </c>
      <c r="K28" s="14">
        <f>VLOOKUP($C28,Sheet2!$A$2:$D$10,4,0)</f>
        <v>40</v>
      </c>
      <c r="L28" s="14" t="str">
        <f>VLOOKUP($C28,Sheet2!$A$2:$E$10,5,0)</f>
        <v>Trolley</v>
      </c>
      <c r="M28" s="14"/>
      <c r="N28" s="1">
        <f>J28/K28</f>
        <v>1</v>
      </c>
      <c r="O28" s="1" t="s">
        <v>1301</v>
      </c>
      <c r="P28" s="1">
        <v>910103038</v>
      </c>
    </row>
    <row r="29" spans="1:16" x14ac:dyDescent="0.25">
      <c r="A29" s="15" t="s">
        <v>1297</v>
      </c>
      <c r="B29" s="16" t="s">
        <v>1271</v>
      </c>
      <c r="C29" s="1" t="s">
        <v>50</v>
      </c>
      <c r="D29" s="1" t="str">
        <f>VLOOKUP($C29,Sheet2!$A$2:$B$10,2,0)</f>
        <v>116040-92240</v>
      </c>
      <c r="E29" s="7" t="s">
        <v>51</v>
      </c>
      <c r="F29" s="12">
        <v>45987</v>
      </c>
      <c r="G29" s="13">
        <v>0.52083333333333337</v>
      </c>
      <c r="H29" s="1" t="s">
        <v>52</v>
      </c>
      <c r="I29" s="1" t="s">
        <v>10</v>
      </c>
      <c r="J29" s="1">
        <v>18</v>
      </c>
      <c r="K29" s="14">
        <f>VLOOKUP($C29,Sheet2!$A$2:$D$10,4,0)</f>
        <v>6</v>
      </c>
      <c r="L29" s="14" t="str">
        <f>VLOOKUP($C29,Sheet2!$A$2:$E$10,5,0)</f>
        <v>Bin</v>
      </c>
      <c r="M29" s="14">
        <f t="shared" ref="M29:M31" si="4">J29/K29</f>
        <v>3</v>
      </c>
      <c r="N29" s="1"/>
      <c r="O29" s="1" t="s">
        <v>1301</v>
      </c>
      <c r="P29" s="1" t="s">
        <v>1303</v>
      </c>
    </row>
    <row r="30" spans="1:16" x14ac:dyDescent="0.25">
      <c r="A30" s="15" t="s">
        <v>1297</v>
      </c>
      <c r="B30" s="16" t="s">
        <v>1276</v>
      </c>
      <c r="C30" s="1" t="s">
        <v>59</v>
      </c>
      <c r="D30" s="1" t="str">
        <f>VLOOKUP($C30,Sheet2!$A$2:$B$10,2,0)</f>
        <v>114010-50820</v>
      </c>
      <c r="E30" s="7" t="s">
        <v>60</v>
      </c>
      <c r="F30" s="12">
        <v>45987</v>
      </c>
      <c r="G30" s="13">
        <v>0.52083333333333337</v>
      </c>
      <c r="H30" s="1" t="s">
        <v>52</v>
      </c>
      <c r="I30" s="1" t="s">
        <v>10</v>
      </c>
      <c r="J30" s="1">
        <v>6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si="4"/>
        <v>6</v>
      </c>
      <c r="N30" s="1"/>
      <c r="O30" s="1" t="s">
        <v>1301</v>
      </c>
      <c r="P30" s="1" t="s">
        <v>910</v>
      </c>
    </row>
    <row r="31" spans="1:16" x14ac:dyDescent="0.25">
      <c r="A31" s="15" t="s">
        <v>1297</v>
      </c>
      <c r="B31" s="16" t="s">
        <v>1281</v>
      </c>
      <c r="C31" s="1" t="s">
        <v>67</v>
      </c>
      <c r="D31" s="1" t="str">
        <f>VLOOKUP($C31,Sheet2!$A$2:$B$10,2,0)</f>
        <v>114010-50830</v>
      </c>
      <c r="E31" s="7" t="s">
        <v>60</v>
      </c>
      <c r="F31" s="12">
        <v>45987</v>
      </c>
      <c r="G31" s="13">
        <v>0.52083333333333337</v>
      </c>
      <c r="H31" s="1" t="s">
        <v>52</v>
      </c>
      <c r="I31" s="1" t="s">
        <v>10</v>
      </c>
      <c r="J31" s="1">
        <v>14</v>
      </c>
      <c r="K31" s="14">
        <f>VLOOKUP($C31,Sheet2!$A$2:$D$10,4,0)</f>
        <v>1</v>
      </c>
      <c r="L31" s="14" t="str">
        <f>VLOOKUP($C31,Sheet2!$A$2:$E$10,5,0)</f>
        <v>Bin</v>
      </c>
      <c r="M31" s="14">
        <f t="shared" si="4"/>
        <v>14</v>
      </c>
      <c r="N31" s="1"/>
      <c r="O31" s="1" t="s">
        <v>1301</v>
      </c>
      <c r="P31" s="1" t="s">
        <v>1026</v>
      </c>
    </row>
    <row r="32" spans="1:16" s="20" customForma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>
        <v>43</v>
      </c>
      <c r="N32" s="9">
        <v>3</v>
      </c>
      <c r="O32" s="9"/>
      <c r="P32" s="9"/>
    </row>
    <row r="33" spans="1:16" x14ac:dyDescent="0.25">
      <c r="A33" s="15" t="s">
        <v>1296</v>
      </c>
      <c r="B33" s="16" t="s">
        <v>1244</v>
      </c>
      <c r="C33" s="1" t="s">
        <v>7</v>
      </c>
      <c r="D33" s="1" t="str">
        <f>VLOOKUP($C33,Sheet2!$A$2:$B$10,2,0)</f>
        <v>141110-14600</v>
      </c>
      <c r="E33" s="7" t="s">
        <v>8</v>
      </c>
      <c r="F33" s="12">
        <v>45987</v>
      </c>
      <c r="G33" s="13">
        <v>0.60416666666666663</v>
      </c>
      <c r="H33" s="1" t="s">
        <v>9</v>
      </c>
      <c r="I33" s="1" t="s">
        <v>10</v>
      </c>
      <c r="J33" s="1">
        <v>18</v>
      </c>
      <c r="K33" s="14">
        <f>VLOOKUP($C33,Sheet2!$A$2:$D$10,4,0)</f>
        <v>18</v>
      </c>
      <c r="L33" s="14" t="str">
        <f>VLOOKUP($C33,Sheet2!$A$2:$E$10,5,0)</f>
        <v>Trolley (H)</v>
      </c>
      <c r="M33" s="14"/>
      <c r="N33" s="63">
        <v>1</v>
      </c>
      <c r="O33" s="1" t="s">
        <v>1304</v>
      </c>
      <c r="P33" s="1" t="s">
        <v>1289</v>
      </c>
    </row>
    <row r="34" spans="1:16" x14ac:dyDescent="0.25">
      <c r="A34" s="15" t="s">
        <v>1296</v>
      </c>
      <c r="B34" s="16" t="s">
        <v>1248</v>
      </c>
      <c r="C34" s="1" t="s">
        <v>16</v>
      </c>
      <c r="D34" s="1" t="str">
        <f>VLOOKUP($C34,Sheet2!$A$2:$B$10,2,0)</f>
        <v>141120-14600</v>
      </c>
      <c r="E34" s="7" t="s">
        <v>17</v>
      </c>
      <c r="F34" s="12">
        <v>45987</v>
      </c>
      <c r="G34" s="13">
        <v>0.60416666666666663</v>
      </c>
      <c r="H34" s="1" t="s">
        <v>9</v>
      </c>
      <c r="I34" s="1" t="s">
        <v>10</v>
      </c>
      <c r="J34" s="1">
        <v>18</v>
      </c>
      <c r="K34" s="14">
        <f>VLOOKUP($C34,Sheet2!$A$2:$D$10,4,0)</f>
        <v>18</v>
      </c>
      <c r="L34" s="14" t="str">
        <f>VLOOKUP($C34,Sheet2!$A$2:$E$10,5,0)</f>
        <v>Trolley (H)</v>
      </c>
      <c r="M34" s="14"/>
      <c r="N34" s="64"/>
      <c r="O34" s="1" t="s">
        <v>1304</v>
      </c>
      <c r="P34" s="1" t="s">
        <v>1436</v>
      </c>
    </row>
    <row r="35" spans="1:16" x14ac:dyDescent="0.25">
      <c r="A35" s="15" t="s">
        <v>1296</v>
      </c>
      <c r="B35" s="16" t="s">
        <v>1252</v>
      </c>
      <c r="C35" s="1" t="s">
        <v>23</v>
      </c>
      <c r="D35" s="1" t="str">
        <f>VLOOKUP($C35,Sheet2!$A$2:$B$10,2,0)</f>
        <v>141185-74670</v>
      </c>
      <c r="E35" s="7" t="s">
        <v>24</v>
      </c>
      <c r="F35" s="12">
        <v>45987</v>
      </c>
      <c r="G35" s="13">
        <v>0.60416666666666663</v>
      </c>
      <c r="H35" s="1" t="s">
        <v>9</v>
      </c>
      <c r="I35" s="1" t="s">
        <v>10</v>
      </c>
      <c r="J35" s="1">
        <v>40</v>
      </c>
      <c r="K35" s="14">
        <f>VLOOKUP($C35,Sheet2!$A$2:$D$10,4,0)</f>
        <v>40</v>
      </c>
      <c r="L35" s="14" t="str">
        <f>VLOOKUP($C35,Sheet2!$A$2:$E$10,5,0)</f>
        <v>Trolley</v>
      </c>
      <c r="M35" s="14"/>
      <c r="N35" s="1">
        <f>J35/K35</f>
        <v>1</v>
      </c>
      <c r="O35" s="1" t="s">
        <v>1304</v>
      </c>
      <c r="P35" s="1">
        <v>910102394</v>
      </c>
    </row>
    <row r="36" spans="1:16" x14ac:dyDescent="0.25">
      <c r="A36" s="15" t="s">
        <v>1296</v>
      </c>
      <c r="B36" s="16" t="s">
        <v>1257</v>
      </c>
      <c r="C36" s="1" t="s">
        <v>29</v>
      </c>
      <c r="D36" s="1" t="str">
        <f>VLOOKUP($C36,Sheet2!$A$2:$B$10,2,0)</f>
        <v>141140-91211</v>
      </c>
      <c r="E36" s="7" t="s">
        <v>30</v>
      </c>
      <c r="F36" s="12">
        <v>45987</v>
      </c>
      <c r="G36" s="13">
        <v>0.60416666666666663</v>
      </c>
      <c r="H36" s="1" t="s">
        <v>31</v>
      </c>
      <c r="I36" s="1" t="s">
        <v>10</v>
      </c>
      <c r="J36" s="1">
        <v>20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ref="M36:M37" si="5">J36/K36</f>
        <v>10</v>
      </c>
      <c r="N36" s="1"/>
      <c r="O36" s="1" t="s">
        <v>1304</v>
      </c>
      <c r="P36" s="1" t="s">
        <v>1023</v>
      </c>
    </row>
    <row r="37" spans="1:16" x14ac:dyDescent="0.25">
      <c r="A37" s="15" t="s">
        <v>1296</v>
      </c>
      <c r="B37" s="16" t="s">
        <v>1262</v>
      </c>
      <c r="C37" s="1" t="s">
        <v>37</v>
      </c>
      <c r="D37" s="1" t="str">
        <f>VLOOKUP($C37,Sheet2!$A$2:$B$10,2,0)</f>
        <v>141150-91211</v>
      </c>
      <c r="E37" s="7" t="s">
        <v>38</v>
      </c>
      <c r="F37" s="12">
        <v>45987</v>
      </c>
      <c r="G37" s="13">
        <v>0.60416666666666663</v>
      </c>
      <c r="H37" s="1" t="s">
        <v>31</v>
      </c>
      <c r="I37" s="1" t="s">
        <v>10</v>
      </c>
      <c r="J37" s="1">
        <v>20</v>
      </c>
      <c r="K37" s="14">
        <f>VLOOKUP($C37,Sheet2!$A$2:$D$10,4,0)</f>
        <v>2</v>
      </c>
      <c r="L37" s="14" t="str">
        <f>VLOOKUP($C37,Sheet2!$A$2:$E$10,5,0)</f>
        <v>Bin</v>
      </c>
      <c r="M37" s="14">
        <f t="shared" si="5"/>
        <v>10</v>
      </c>
      <c r="N37" s="1"/>
      <c r="O37" s="1" t="s">
        <v>1304</v>
      </c>
      <c r="P37" s="1" t="s">
        <v>1023</v>
      </c>
    </row>
    <row r="38" spans="1:16" x14ac:dyDescent="0.25">
      <c r="A38" s="15" t="s">
        <v>1296</v>
      </c>
      <c r="B38" s="16" t="s">
        <v>1267</v>
      </c>
      <c r="C38" s="1" t="s">
        <v>45</v>
      </c>
      <c r="D38" s="1" t="str">
        <f>VLOOKUP($C38,Sheet2!$A$2:$B$10,2,0)</f>
        <v>141186-74360</v>
      </c>
      <c r="E38" s="7" t="s">
        <v>46</v>
      </c>
      <c r="F38" s="12">
        <v>45987</v>
      </c>
      <c r="G38" s="13">
        <v>0.60416666666666663</v>
      </c>
      <c r="H38" s="1" t="s">
        <v>31</v>
      </c>
      <c r="I38" s="1" t="s">
        <v>10</v>
      </c>
      <c r="J38" s="1">
        <v>40</v>
      </c>
      <c r="K38" s="14">
        <f>VLOOKUP($C38,Sheet2!$A$2:$D$10,4,0)</f>
        <v>40</v>
      </c>
      <c r="L38" s="14" t="str">
        <f>VLOOKUP($C38,Sheet2!$A$2:$E$10,5,0)</f>
        <v>Trolley</v>
      </c>
      <c r="M38" s="14"/>
      <c r="N38" s="1">
        <f>J38/K38</f>
        <v>1</v>
      </c>
      <c r="O38" s="1" t="s">
        <v>1304</v>
      </c>
      <c r="P38" s="1">
        <v>910101143</v>
      </c>
    </row>
    <row r="39" spans="1:16" x14ac:dyDescent="0.25">
      <c r="A39" s="15" t="s">
        <v>1298</v>
      </c>
      <c r="B39" s="16" t="s">
        <v>1272</v>
      </c>
      <c r="C39" s="1" t="s">
        <v>50</v>
      </c>
      <c r="D39" s="1" t="str">
        <f>VLOOKUP($C39,Sheet2!$A$2:$B$10,2,0)</f>
        <v>116040-92240</v>
      </c>
      <c r="E39" s="7" t="s">
        <v>51</v>
      </c>
      <c r="F39" s="12">
        <v>45987</v>
      </c>
      <c r="G39" s="13">
        <v>0.60416666666666663</v>
      </c>
      <c r="H39" s="1" t="s">
        <v>52</v>
      </c>
      <c r="I39" s="1" t="s">
        <v>10</v>
      </c>
      <c r="J39" s="1">
        <v>24</v>
      </c>
      <c r="K39" s="14">
        <f>VLOOKUP($C39,Sheet2!$A$2:$D$10,4,0)</f>
        <v>6</v>
      </c>
      <c r="L39" s="14" t="str">
        <f>VLOOKUP($C39,Sheet2!$A$2:$E$10,5,0)</f>
        <v>Bin</v>
      </c>
      <c r="M39" s="14">
        <f t="shared" ref="M39:M41" si="6">J39/K39</f>
        <v>4</v>
      </c>
      <c r="N39" s="1"/>
      <c r="O39" s="1" t="s">
        <v>1304</v>
      </c>
      <c r="P39" s="1" t="s">
        <v>1303</v>
      </c>
    </row>
    <row r="40" spans="1:16" x14ac:dyDescent="0.25">
      <c r="A40" s="15" t="s">
        <v>1298</v>
      </c>
      <c r="B40" s="16" t="s">
        <v>1277</v>
      </c>
      <c r="C40" s="1" t="s">
        <v>59</v>
      </c>
      <c r="D40" s="1" t="str">
        <f>VLOOKUP($C40,Sheet2!$A$2:$B$10,2,0)</f>
        <v>114010-50820</v>
      </c>
      <c r="E40" s="7" t="s">
        <v>60</v>
      </c>
      <c r="F40" s="12">
        <v>45987</v>
      </c>
      <c r="G40" s="13">
        <v>0.60416666666666663</v>
      </c>
      <c r="H40" s="1" t="s">
        <v>52</v>
      </c>
      <c r="I40" s="1" t="s">
        <v>10</v>
      </c>
      <c r="J40" s="1">
        <v>8</v>
      </c>
      <c r="K40" s="14">
        <f>VLOOKUP($C40,Sheet2!$A$2:$D$10,4,0)</f>
        <v>1</v>
      </c>
      <c r="L40" s="14" t="str">
        <f>VLOOKUP($C40,Sheet2!$A$2:$E$10,5,0)</f>
        <v>Bin</v>
      </c>
      <c r="M40" s="14">
        <f t="shared" si="6"/>
        <v>8</v>
      </c>
      <c r="N40" s="1"/>
      <c r="O40" s="1" t="s">
        <v>1304</v>
      </c>
      <c r="P40" s="1" t="s">
        <v>910</v>
      </c>
    </row>
    <row r="41" spans="1:16" x14ac:dyDescent="0.25">
      <c r="A41" s="15" t="s">
        <v>1298</v>
      </c>
      <c r="B41" s="16" t="s">
        <v>1282</v>
      </c>
      <c r="C41" s="1" t="s">
        <v>67</v>
      </c>
      <c r="D41" s="1" t="str">
        <f>VLOOKUP($C41,Sheet2!$A$2:$B$10,2,0)</f>
        <v>114010-50830</v>
      </c>
      <c r="E41" s="7" t="s">
        <v>60</v>
      </c>
      <c r="F41" s="12">
        <v>45987</v>
      </c>
      <c r="G41" s="13">
        <v>0.60416666666666663</v>
      </c>
      <c r="H41" s="1" t="s">
        <v>52</v>
      </c>
      <c r="I41" s="1" t="s">
        <v>10</v>
      </c>
      <c r="J41" s="1">
        <v>9</v>
      </c>
      <c r="K41" s="14">
        <f>VLOOKUP($C41,Sheet2!$A$2:$D$10,4,0)</f>
        <v>1</v>
      </c>
      <c r="L41" s="14" t="str">
        <f>VLOOKUP($C41,Sheet2!$A$2:$E$10,5,0)</f>
        <v>Bin</v>
      </c>
      <c r="M41" s="14">
        <f t="shared" si="6"/>
        <v>9</v>
      </c>
      <c r="N41" s="1"/>
      <c r="O41" s="1" t="s">
        <v>1304</v>
      </c>
      <c r="P41" s="1" t="s">
        <v>1026</v>
      </c>
    </row>
    <row r="42" spans="1:16" s="20" customForma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>
        <v>41</v>
      </c>
      <c r="N42" s="9">
        <v>3</v>
      </c>
      <c r="O42" s="9"/>
      <c r="P42" s="9"/>
    </row>
    <row r="43" spans="1:16" x14ac:dyDescent="0.25">
      <c r="A43" s="15" t="s">
        <v>1299</v>
      </c>
      <c r="B43" s="16" t="s">
        <v>1253</v>
      </c>
      <c r="C43" s="1" t="s">
        <v>23</v>
      </c>
      <c r="D43" s="1" t="str">
        <f>VLOOKUP($C43,Sheet2!$A$2:$B$10,2,0)</f>
        <v>141185-74670</v>
      </c>
      <c r="E43" s="7" t="s">
        <v>24</v>
      </c>
      <c r="F43" s="12">
        <v>45987</v>
      </c>
      <c r="G43" s="13">
        <v>0.6875</v>
      </c>
      <c r="H43" s="1" t="s">
        <v>9</v>
      </c>
      <c r="I43" s="1" t="s">
        <v>10</v>
      </c>
      <c r="J43" s="1">
        <v>40</v>
      </c>
      <c r="K43" s="14">
        <f>VLOOKUP($C43,Sheet2!$A$2:$D$10,4,0)</f>
        <v>40</v>
      </c>
      <c r="L43" s="14" t="str">
        <f>VLOOKUP($C43,Sheet2!$A$2:$E$10,5,0)</f>
        <v>Trolley</v>
      </c>
      <c r="M43" s="14"/>
      <c r="N43" s="1">
        <f>J43/K43</f>
        <v>1</v>
      </c>
      <c r="O43" s="1" t="s">
        <v>171</v>
      </c>
      <c r="P43" s="1">
        <v>910102394</v>
      </c>
    </row>
    <row r="44" spans="1:16" x14ac:dyDescent="0.25">
      <c r="A44" s="15" t="s">
        <v>1299</v>
      </c>
      <c r="B44" s="16" t="s">
        <v>1258</v>
      </c>
      <c r="C44" s="1" t="s">
        <v>29</v>
      </c>
      <c r="D44" s="1" t="str">
        <f>VLOOKUP($C44,Sheet2!$A$2:$B$10,2,0)</f>
        <v>141140-91211</v>
      </c>
      <c r="E44" s="7" t="s">
        <v>30</v>
      </c>
      <c r="F44" s="12">
        <v>45987</v>
      </c>
      <c r="G44" s="13">
        <v>0.6875</v>
      </c>
      <c r="H44" s="1" t="s">
        <v>31</v>
      </c>
      <c r="I44" s="1" t="s">
        <v>10</v>
      </c>
      <c r="J44" s="1">
        <v>16</v>
      </c>
      <c r="K44" s="14">
        <f>VLOOKUP($C44,Sheet2!$A$2:$D$10,4,0)</f>
        <v>2</v>
      </c>
      <c r="L44" s="14" t="str">
        <f>VLOOKUP($C44,Sheet2!$A$2:$E$10,5,0)</f>
        <v>Bin</v>
      </c>
      <c r="M44" s="14">
        <f t="shared" ref="M44:M45" si="7">J44/K44</f>
        <v>8</v>
      </c>
      <c r="N44" s="1"/>
      <c r="O44" s="1" t="s">
        <v>171</v>
      </c>
      <c r="P44" s="1" t="s">
        <v>1023</v>
      </c>
    </row>
    <row r="45" spans="1:16" x14ac:dyDescent="0.25">
      <c r="A45" s="15" t="s">
        <v>1299</v>
      </c>
      <c r="B45" s="16" t="s">
        <v>1263</v>
      </c>
      <c r="C45" s="1" t="s">
        <v>37</v>
      </c>
      <c r="D45" s="1" t="str">
        <f>VLOOKUP($C45,Sheet2!$A$2:$B$10,2,0)</f>
        <v>141150-91211</v>
      </c>
      <c r="E45" s="7" t="s">
        <v>38</v>
      </c>
      <c r="F45" s="12">
        <v>45987</v>
      </c>
      <c r="G45" s="13">
        <v>0.6875</v>
      </c>
      <c r="H45" s="1" t="s">
        <v>31</v>
      </c>
      <c r="I45" s="1" t="s">
        <v>10</v>
      </c>
      <c r="J45" s="1">
        <v>16</v>
      </c>
      <c r="K45" s="14">
        <f>VLOOKUP($C45,Sheet2!$A$2:$D$10,4,0)</f>
        <v>2</v>
      </c>
      <c r="L45" s="14" t="str">
        <f>VLOOKUP($C45,Sheet2!$A$2:$E$10,5,0)</f>
        <v>Bin</v>
      </c>
      <c r="M45" s="14">
        <f t="shared" si="7"/>
        <v>8</v>
      </c>
      <c r="N45" s="1"/>
      <c r="O45" s="1" t="s">
        <v>171</v>
      </c>
      <c r="P45" s="1" t="s">
        <v>1023</v>
      </c>
    </row>
    <row r="46" spans="1:16" x14ac:dyDescent="0.25">
      <c r="A46" s="15" t="s">
        <v>1299</v>
      </c>
      <c r="B46" s="16" t="s">
        <v>1268</v>
      </c>
      <c r="C46" s="1" t="s">
        <v>45</v>
      </c>
      <c r="D46" s="1" t="str">
        <f>VLOOKUP($C46,Sheet2!$A$2:$B$10,2,0)</f>
        <v>141186-74360</v>
      </c>
      <c r="E46" s="7" t="s">
        <v>46</v>
      </c>
      <c r="F46" s="12">
        <v>45987</v>
      </c>
      <c r="G46" s="13">
        <v>0.6875</v>
      </c>
      <c r="H46" s="1" t="s">
        <v>31</v>
      </c>
      <c r="I46" s="1" t="s">
        <v>10</v>
      </c>
      <c r="J46" s="1">
        <v>40</v>
      </c>
      <c r="K46" s="14">
        <f>VLOOKUP($C46,Sheet2!$A$2:$D$10,4,0)</f>
        <v>40</v>
      </c>
      <c r="L46" s="14" t="str">
        <f>VLOOKUP($C46,Sheet2!$A$2:$E$10,5,0)</f>
        <v>Trolley</v>
      </c>
      <c r="M46" s="14"/>
      <c r="N46" s="1">
        <f>J46/K46</f>
        <v>1</v>
      </c>
      <c r="O46" s="1" t="s">
        <v>171</v>
      </c>
      <c r="P46" s="1" t="s">
        <v>1438</v>
      </c>
    </row>
    <row r="47" spans="1:16" x14ac:dyDescent="0.25">
      <c r="A47" s="15" t="s">
        <v>1300</v>
      </c>
      <c r="B47" s="16" t="s">
        <v>1273</v>
      </c>
      <c r="C47" s="1" t="s">
        <v>50</v>
      </c>
      <c r="D47" s="1" t="str">
        <f>VLOOKUP($C47,Sheet2!$A$2:$B$10,2,0)</f>
        <v>116040-92240</v>
      </c>
      <c r="E47" s="7" t="s">
        <v>51</v>
      </c>
      <c r="F47" s="12">
        <v>45987</v>
      </c>
      <c r="G47" s="13">
        <v>0.6875</v>
      </c>
      <c r="H47" s="1" t="s">
        <v>52</v>
      </c>
      <c r="I47" s="1" t="s">
        <v>10</v>
      </c>
      <c r="J47" s="1">
        <v>18</v>
      </c>
      <c r="K47" s="14">
        <f>VLOOKUP($C47,Sheet2!$A$2:$D$10,4,0)</f>
        <v>6</v>
      </c>
      <c r="L47" s="14" t="str">
        <f>VLOOKUP($C47,Sheet2!$A$2:$E$10,5,0)</f>
        <v>Bin</v>
      </c>
      <c r="M47" s="14">
        <f t="shared" ref="M47:M48" si="8">J47/K47</f>
        <v>3</v>
      </c>
      <c r="N47" s="1"/>
      <c r="O47" s="1" t="s">
        <v>171</v>
      </c>
      <c r="P47" s="1" t="s">
        <v>1303</v>
      </c>
    </row>
    <row r="48" spans="1:16" x14ac:dyDescent="0.25">
      <c r="A48" s="15" t="s">
        <v>1300</v>
      </c>
      <c r="B48" s="16" t="s">
        <v>1278</v>
      </c>
      <c r="C48" s="1" t="s">
        <v>59</v>
      </c>
      <c r="D48" s="1" t="str">
        <f>VLOOKUP($C48,Sheet2!$A$2:$B$10,2,0)</f>
        <v>114010-50820</v>
      </c>
      <c r="E48" s="7" t="s">
        <v>60</v>
      </c>
      <c r="F48" s="12">
        <v>45987</v>
      </c>
      <c r="G48" s="13">
        <v>0.6875</v>
      </c>
      <c r="H48" s="1" t="s">
        <v>52</v>
      </c>
      <c r="I48" s="1" t="s">
        <v>10</v>
      </c>
      <c r="J48" s="1">
        <v>9</v>
      </c>
      <c r="K48" s="14">
        <f>VLOOKUP($C48,Sheet2!$A$2:$D$10,4,0)</f>
        <v>1</v>
      </c>
      <c r="L48" s="14" t="str">
        <f>VLOOKUP($C48,Sheet2!$A$2:$E$10,5,0)</f>
        <v>Bin</v>
      </c>
      <c r="M48" s="14">
        <f t="shared" si="8"/>
        <v>9</v>
      </c>
      <c r="N48" s="1"/>
      <c r="O48" s="1" t="s">
        <v>171</v>
      </c>
      <c r="P48" s="1" t="s">
        <v>910</v>
      </c>
    </row>
    <row r="49" spans="1:16" s="20" customForma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>
        <v>28</v>
      </c>
      <c r="N49" s="9">
        <v>2</v>
      </c>
      <c r="O49" s="9"/>
      <c r="P49" s="9"/>
    </row>
    <row r="50" spans="1:16" x14ac:dyDescent="0.25">
      <c r="A50" s="1"/>
      <c r="C50" s="1"/>
      <c r="D50" s="1"/>
      <c r="E50" s="7"/>
      <c r="F50" s="12"/>
      <c r="G50" s="13"/>
      <c r="H50" s="1"/>
      <c r="I50" s="1"/>
      <c r="J50" s="1"/>
      <c r="K50" s="14"/>
      <c r="L50" s="14"/>
      <c r="M50" s="14"/>
      <c r="N50" s="1"/>
      <c r="O50" s="1"/>
      <c r="P50" s="1"/>
    </row>
    <row r="51" spans="1:16" x14ac:dyDescent="0.25">
      <c r="A51" s="1"/>
      <c r="B51" s="1" t="s">
        <v>1283</v>
      </c>
      <c r="C51" s="1"/>
      <c r="D51" s="1"/>
      <c r="E51" s="7"/>
      <c r="F51" s="12"/>
      <c r="G51" s="13"/>
      <c r="H51" s="1"/>
      <c r="I51" s="1"/>
      <c r="J51" s="1"/>
      <c r="K51" s="14"/>
      <c r="L51" s="14"/>
      <c r="M51" s="14"/>
      <c r="N51" s="1"/>
      <c r="O51" s="1"/>
      <c r="P51" s="1"/>
    </row>
  </sheetData>
  <mergeCells count="7">
    <mergeCell ref="N23:N24"/>
    <mergeCell ref="N33:N34"/>
    <mergeCell ref="A1:F1"/>
    <mergeCell ref="J1:N1"/>
    <mergeCell ref="L2:N2"/>
    <mergeCell ref="N4:N5"/>
    <mergeCell ref="N6:N7"/>
  </mergeCells>
  <conditionalFormatting sqref="B2">
    <cfRule type="duplicateValues" dxfId="191" priority="55"/>
    <cfRule type="duplicateValues" dxfId="190" priority="54"/>
  </conditionalFormatting>
  <conditionalFormatting sqref="B4:B21 B23:B31 B33:B41 B43:B48 B51">
    <cfRule type="duplicateValues" dxfId="189" priority="47"/>
  </conditionalFormatting>
  <conditionalFormatting sqref="C2:D2">
    <cfRule type="duplicateValues" dxfId="188" priority="57"/>
    <cfRule type="duplicateValues" dxfId="187" priority="56"/>
  </conditionalFormatting>
  <conditionalFormatting sqref="D3">
    <cfRule type="duplicateValues" dxfId="181" priority="52"/>
    <cfRule type="duplicateValues" dxfId="179" priority="53"/>
  </conditionalFormatting>
  <conditionalFormatting sqref="D22">
    <cfRule type="duplicateValues" dxfId="175" priority="40"/>
    <cfRule type="duplicateValues" dxfId="173" priority="39"/>
  </conditionalFormatting>
  <conditionalFormatting sqref="D32">
    <cfRule type="duplicateValues" dxfId="168" priority="33"/>
    <cfRule type="duplicateValues" dxfId="167" priority="34"/>
  </conditionalFormatting>
  <conditionalFormatting sqref="D42">
    <cfRule type="duplicateValues" dxfId="163" priority="27"/>
    <cfRule type="duplicateValues" dxfId="162" priority="28"/>
  </conditionalFormatting>
  <hyperlinks>
    <hyperlink ref="B51" r:id="rId1" display="http://192.168.1.249/downloads/temp/X539_eNagare_20251125.log" xr:uid="{86ED4269-CE84-4DA6-A0B9-AF536167B6B9}"/>
  </hyperlinks>
  <pageMargins left="0.17" right="0.17" top="0.17" bottom="0.17" header="0.3" footer="0.3"/>
  <pageSetup paperSize="9" scale="74" orientation="landscape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text="17521M68PA0" id="{4F68E44E-C8A8-4765-A1A9-1125F6ED65B7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C4:D21</xm:sqref>
        </x14:conditionalFormatting>
        <x14:conditionalFormatting xmlns:xm="http://schemas.microsoft.com/office/excel/2006/main">
          <x14:cfRule type="containsText" priority="13" operator="containsText" text="17521M68PA0" id="{F71774B8-4431-4338-9D79-4C5495574DB9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C23:D31</xm:sqref>
        </x14:conditionalFormatting>
        <x14:conditionalFormatting xmlns:xm="http://schemas.microsoft.com/office/excel/2006/main">
          <x14:cfRule type="containsText" priority="9" operator="containsText" text="17521M68PA0" id="{B7C8FC23-C961-402B-8B06-C383BB3A7919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C33:D41</xm:sqref>
        </x14:conditionalFormatting>
        <x14:conditionalFormatting xmlns:xm="http://schemas.microsoft.com/office/excel/2006/main">
          <x14:cfRule type="containsText" priority="5" operator="containsText" text="17521M68PA0" id="{3A2F3243-6E64-40FA-A1C6-7827D1820E4B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C43:D48</xm:sqref>
        </x14:conditionalFormatting>
        <x14:conditionalFormatting xmlns:xm="http://schemas.microsoft.com/office/excel/2006/main">
          <x14:cfRule type="containsText" priority="46" operator="containsText" text="17521M68PA0" id="{DBB6601C-4CA9-4C4D-9A05-BEB2010C4CA6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C50:D51</xm:sqref>
        </x14:conditionalFormatting>
        <x14:conditionalFormatting xmlns:xm="http://schemas.microsoft.com/office/excel/2006/main">
          <x14:cfRule type="containsText" priority="62" operator="containsText" text="17521M68PA0" id="{B664A51B-B83F-40E8-8FBD-E6EB2CDFDDC5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15" operator="containsText" text="17521M68PA0" id="{302DFC98-AA8C-4996-B3DD-7AD4E1527F5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4" operator="containsText" text="17521M74T00" id="{ED73B989-D8F7-4F82-9BC0-4A2A0F4687AF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16" operator="containsText" text="17521M74T00" id="{9C396FD5-B8BE-437C-986A-9B33A594067C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D4:D21</xm:sqref>
        </x14:conditionalFormatting>
        <x14:conditionalFormatting xmlns:xm="http://schemas.microsoft.com/office/excel/2006/main">
          <x14:cfRule type="containsText" priority="41" operator="containsText" text="17521M68PA0" id="{50BA7E73-E0AE-4650-94E2-910B11E2864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ontainsText" priority="10" operator="containsText" text="17521M74T00" id="{66FDDFB3-6D56-4758-97DC-3D6F6F9766E2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11" operator="containsText" text="17521M68PA0" id="{260AA0BD-AB01-4E8C-AD7A-4C9A689F552B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2" operator="containsText" text="17521M74T00" id="{108D9325-2F21-4945-9F2C-ABA9FC029396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D23:D31</xm:sqref>
        </x14:conditionalFormatting>
        <x14:conditionalFormatting xmlns:xm="http://schemas.microsoft.com/office/excel/2006/main">
          <x14:cfRule type="containsText" priority="35" operator="containsText" text="17521M68PA0" id="{985C4B27-6493-4B73-BA0F-C570E8F22A81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containsText" priority="6" operator="containsText" text="17521M74T00" id="{5C61AF13-DBB8-4040-908C-B36080915D0C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text="17521M68PA0" id="{ABD0BBDA-211B-40FC-8C47-592A6DD694FB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8" operator="containsText" text="17521M74T00" id="{D33DD453-FF02-40FA-8814-2E73D841D9F5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D33:D41</xm:sqref>
        </x14:conditionalFormatting>
        <x14:conditionalFormatting xmlns:xm="http://schemas.microsoft.com/office/excel/2006/main">
          <x14:cfRule type="containsText" priority="29" operator="containsText" text="17521M68PA0" id="{39C42C8C-498B-4F1D-AA25-56A917AF0958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D42</xm:sqref>
        </x14:conditionalFormatting>
        <x14:conditionalFormatting xmlns:xm="http://schemas.microsoft.com/office/excel/2006/main">
          <x14:cfRule type="containsText" priority="2" operator="containsText" text="17521M74T00" id="{41837613-6139-4C26-A405-29BEC7CE634D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" operator="containsText" text="17521M68PA0" id="{A2992F30-F987-4327-BE65-3DF252DCA0A2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17521M74T00" id="{E8421536-EE1D-4E7E-B2C7-C601699CCFE9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D43:D48</xm:sqref>
        </x14:conditionalFormatting>
        <x14:conditionalFormatting xmlns:xm="http://schemas.microsoft.com/office/excel/2006/main">
          <x14:cfRule type="containsText" priority="1" operator="containsText" text="BELT,WATER PUMP - 5PK 913" id="{78557C58-76A7-4A77-B89E-4985F30C05F4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D49</xm:sqref>
        </x14:conditionalFormatting>
        <x14:conditionalFormatting xmlns:xm="http://schemas.microsoft.com/office/excel/2006/main">
          <x14:cfRule type="containsText" priority="43" operator="containsText" text="17521M74T00" id="{A31AB398-7CE4-499C-9757-322F81255E8D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44" operator="containsText" text="17521M68PA0" id="{0C9B2EF8-3D55-44DD-97B8-90C44C3F0B2A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5" operator="containsText" text="17521M74T00" id="{5665EEB2-1806-44AA-BDF9-E71513D5DCDC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D50:D51</xm:sqref>
        </x14:conditionalFormatting>
        <x14:conditionalFormatting xmlns:xm="http://schemas.microsoft.com/office/excel/2006/main">
          <x14:cfRule type="containsText" priority="18" operator="containsText" text="BELT,WATER PUMP - 7PK 975" id="{32C69EE3-8B93-4602-A7D7-FA196EDAA85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D49:E49</xm:sqref>
        </x14:conditionalFormatting>
        <x14:conditionalFormatting xmlns:xm="http://schemas.microsoft.com/office/excel/2006/main">
          <x14:cfRule type="containsText" priority="58" operator="containsText" text="17521M68PA0" id="{5B8AA1B8-2FB0-4FA0-B501-2E0991F35299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9" operator="containsText" text="17521M74T00" id="{CBFEBB29-1DFC-4ED1-B79A-08B9C11D12E1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9" operator="containsText" text="BELT,WATER PUMP - 7PK 975" id="{968B3223-F624-4F28-87D8-E086A4344245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48" operator="containsText" text="BELT,WATER PUMP - 5PK 913" id="{BCF20DAF-B782-410F-9932-07E370CB900E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E3:E51</xm:sqref>
        </x14:conditionalFormatting>
        <x14:conditionalFormatting xmlns:xm="http://schemas.microsoft.com/office/excel/2006/main">
          <x14:cfRule type="containsText" priority="36" operator="containsText" text="BELT,WATER PUMP - 7PK 975" id="{54008EC5-1D34-41F3-BDAE-7F4139F023FA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30" operator="containsText" text="BELT,WATER PUMP - 7PK 975" id="{D9BD9D0D-161F-45A9-8706-0294286B24D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E32</xm:sqref>
        </x14:conditionalFormatting>
        <x14:conditionalFormatting xmlns:xm="http://schemas.microsoft.com/office/excel/2006/main">
          <x14:cfRule type="containsText" priority="24" operator="containsText" text="BELT,WATER PUMP - 7PK 975" id="{B68B00C7-6BB3-44E3-A21A-6C216721E33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E42</xm:sqref>
        </x14:conditionalFormatting>
        <x14:conditionalFormatting xmlns:xm="http://schemas.microsoft.com/office/excel/2006/main">
          <x14:cfRule type="containsText" priority="60" operator="containsText" text="BELT,WATER PUMP - 5PK 913" id="{C4E608CE-D014-4848-BA5E-78DC6D4D0ECF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61" operator="containsText" text="BELT,WATER PUMP - 7PK 975" id="{6AB504E9-41FF-4DD4-A884-8EB53340EEF7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50" operator="containsText" text="5PK 913" id="{30E630E0-EBBA-49CE-9E6E-08924663639F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1" operator="containsText" text="7PK 975" id="{86248037-2CCD-49E8-B143-100872AE5CD9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38" operator="containsText" text="7PK 975" id="{2E8F0B74-565C-4150-8595-0EFE0740901F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37" operator="containsText" text="5PK 913" id="{5C63D79E-5F71-4802-A44B-EAD044DE992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P22</xm:sqref>
        </x14:conditionalFormatting>
        <x14:conditionalFormatting xmlns:xm="http://schemas.microsoft.com/office/excel/2006/main">
          <x14:cfRule type="containsText" priority="32" operator="containsText" text="7PK 975" id="{D3BA78F2-EB50-4F83-9AE6-BFDDA86F692F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31" operator="containsText" text="5PK 913" id="{935B59C1-A171-4FA0-BE96-DE90EF09D9A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P32</xm:sqref>
        </x14:conditionalFormatting>
        <x14:conditionalFormatting xmlns:xm="http://schemas.microsoft.com/office/excel/2006/main">
          <x14:cfRule type="containsText" priority="26" operator="containsText" text="7PK 975" id="{29CBBEED-68EA-4301-8B25-E4C287DC0DE9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5" operator="containsText" text="5PK 913" id="{0E615467-FDEC-43A0-97FD-AE6B3C81F052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P42</xm:sqref>
        </x14:conditionalFormatting>
        <x14:conditionalFormatting xmlns:xm="http://schemas.microsoft.com/office/excel/2006/main">
          <x14:cfRule type="containsText" priority="20" operator="containsText" text="7PK 975" id="{12771F22-6939-46F9-9FEA-C8DF9030D492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9" operator="containsText" text="5PK 913" id="{FA7DDDBF-55EF-4155-A955-0F041579D94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P49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C97A-540E-4A58-8DCE-E3EA6142EA59}">
  <sheetPr>
    <pageSetUpPr fitToPage="1"/>
  </sheetPr>
  <dimension ref="A1:P51"/>
  <sheetViews>
    <sheetView topLeftCell="A19" workbookViewId="0">
      <selection activeCell="A4" sqref="A4:XFD48"/>
    </sheetView>
  </sheetViews>
  <sheetFormatPr defaultColWidth="25.85546875" defaultRowHeight="15" x14ac:dyDescent="0.25"/>
  <cols>
    <col min="1" max="1" width="15.42578125" bestFit="1" customWidth="1"/>
    <col min="2" max="2" width="18" customWidth="1"/>
    <col min="3" max="4" width="14.140625" bestFit="1" customWidth="1"/>
    <col min="5" max="5" width="32.5703125" bestFit="1" customWidth="1"/>
    <col min="6" max="6" width="12.7109375" bestFit="1" customWidth="1"/>
    <col min="7" max="7" width="7.7109375" bestFit="1" customWidth="1"/>
    <col min="8" max="8" width="9.2851562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28515625" bestFit="1" customWidth="1"/>
    <col min="16" max="16" width="43.7109375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45988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1349</v>
      </c>
      <c r="B4" s="16" t="s">
        <v>1305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45988</v>
      </c>
      <c r="G4" s="13">
        <v>0.47916666666666669</v>
      </c>
      <c r="H4" s="1" t="s">
        <v>9</v>
      </c>
      <c r="I4" s="1" t="s">
        <v>10</v>
      </c>
      <c r="J4" s="1">
        <v>36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2</v>
      </c>
      <c r="O4" s="1" t="s">
        <v>528</v>
      </c>
      <c r="P4" s="1" t="s">
        <v>1439</v>
      </c>
    </row>
    <row r="5" spans="1:16" x14ac:dyDescent="0.25">
      <c r="A5" s="15" t="s">
        <v>1349</v>
      </c>
      <c r="B5" s="16" t="s">
        <v>1309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45988</v>
      </c>
      <c r="G5" s="13">
        <v>0.47916666666666669</v>
      </c>
      <c r="H5" s="1" t="s">
        <v>9</v>
      </c>
      <c r="I5" s="1" t="s">
        <v>10</v>
      </c>
      <c r="J5" s="1">
        <v>36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528</v>
      </c>
      <c r="P5" s="1" t="s">
        <v>1439</v>
      </c>
    </row>
    <row r="6" spans="1:16" x14ac:dyDescent="0.25">
      <c r="A6" s="15" t="s">
        <v>1349</v>
      </c>
      <c r="B6" s="16" t="s">
        <v>1313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45988</v>
      </c>
      <c r="G6" s="13">
        <v>0.47916666666666669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528</v>
      </c>
      <c r="P6" s="1">
        <v>910102394</v>
      </c>
    </row>
    <row r="7" spans="1:16" x14ac:dyDescent="0.25">
      <c r="A7" s="15" t="s">
        <v>1349</v>
      </c>
      <c r="B7" s="16" t="s">
        <v>1314</v>
      </c>
      <c r="C7" s="1" t="s">
        <v>23</v>
      </c>
      <c r="D7" s="1" t="str">
        <f>VLOOKUP($C7,Sheet2!$A$2:$B$10,2,0)</f>
        <v>141185-74670</v>
      </c>
      <c r="E7" s="7" t="s">
        <v>24</v>
      </c>
      <c r="F7" s="12">
        <v>45988</v>
      </c>
      <c r="G7" s="13">
        <v>0.47916666666666669</v>
      </c>
      <c r="H7" s="1" t="s">
        <v>9</v>
      </c>
      <c r="I7" s="1" t="s">
        <v>10</v>
      </c>
      <c r="J7" s="1">
        <v>40</v>
      </c>
      <c r="K7" s="14">
        <f>VLOOKUP($C7,Sheet2!$A$2:$D$10,4,0)</f>
        <v>40</v>
      </c>
      <c r="L7" s="14" t="str">
        <f>VLOOKUP($C7,Sheet2!$A$2:$E$10,5,0)</f>
        <v>Trolley</v>
      </c>
      <c r="M7" s="14"/>
      <c r="N7" s="1">
        <f>J7/K7</f>
        <v>1</v>
      </c>
      <c r="O7" s="1" t="s">
        <v>528</v>
      </c>
      <c r="P7" s="1">
        <v>910102394</v>
      </c>
    </row>
    <row r="8" spans="1:16" x14ac:dyDescent="0.25">
      <c r="A8" s="15" t="s">
        <v>1349</v>
      </c>
      <c r="B8" s="16" t="s">
        <v>1318</v>
      </c>
      <c r="C8" s="1" t="s">
        <v>29</v>
      </c>
      <c r="D8" s="1" t="str">
        <f>VLOOKUP($C8,Sheet2!$A$2:$B$10,2,0)</f>
        <v>141140-91211</v>
      </c>
      <c r="E8" s="7" t="s">
        <v>30</v>
      </c>
      <c r="F8" s="12">
        <v>45988</v>
      </c>
      <c r="G8" s="13">
        <v>0.47916666666666669</v>
      </c>
      <c r="H8" s="1" t="s">
        <v>31</v>
      </c>
      <c r="I8" s="1" t="s">
        <v>10</v>
      </c>
      <c r="J8" s="1">
        <v>30</v>
      </c>
      <c r="K8" s="14">
        <f>VLOOKUP($C8,Sheet2!$A$2:$D$10,4,0)</f>
        <v>2</v>
      </c>
      <c r="L8" s="14" t="str">
        <f>VLOOKUP($C8,Sheet2!$A$2:$E$10,5,0)</f>
        <v>Bin</v>
      </c>
      <c r="M8" s="14">
        <f>J8/K8</f>
        <v>15</v>
      </c>
      <c r="N8" s="1"/>
      <c r="O8" s="1" t="s">
        <v>528</v>
      </c>
      <c r="P8" s="1" t="s">
        <v>1023</v>
      </c>
    </row>
    <row r="9" spans="1:16" x14ac:dyDescent="0.25">
      <c r="A9" s="15" t="s">
        <v>1349</v>
      </c>
      <c r="B9" s="16" t="s">
        <v>1319</v>
      </c>
      <c r="C9" s="1" t="s">
        <v>29</v>
      </c>
      <c r="D9" s="1" t="str">
        <f>VLOOKUP($C9,Sheet2!$A$2:$B$10,2,0)</f>
        <v>141140-91211</v>
      </c>
      <c r="E9" s="7" t="s">
        <v>30</v>
      </c>
      <c r="F9" s="12">
        <v>45988</v>
      </c>
      <c r="G9" s="13">
        <v>0.47916666666666669</v>
      </c>
      <c r="H9" s="1" t="s">
        <v>31</v>
      </c>
      <c r="I9" s="1" t="s">
        <v>10</v>
      </c>
      <c r="J9" s="1">
        <v>8</v>
      </c>
      <c r="K9" s="14">
        <f>VLOOKUP($C9,Sheet2!$A$2:$D$10,4,0)</f>
        <v>2</v>
      </c>
      <c r="L9" s="14" t="str">
        <f>VLOOKUP($C9,Sheet2!$A$2:$E$10,5,0)</f>
        <v>Bin</v>
      </c>
      <c r="M9" s="14">
        <f t="shared" ref="M9:M11" si="0">J9/K9</f>
        <v>4</v>
      </c>
      <c r="N9" s="1"/>
      <c r="O9" s="1" t="s">
        <v>528</v>
      </c>
      <c r="P9" s="1" t="s">
        <v>1023</v>
      </c>
    </row>
    <row r="10" spans="1:16" x14ac:dyDescent="0.25">
      <c r="A10" s="15" t="s">
        <v>1349</v>
      </c>
      <c r="B10" s="16" t="s">
        <v>1323</v>
      </c>
      <c r="C10" s="1" t="s">
        <v>37</v>
      </c>
      <c r="D10" s="1" t="str">
        <f>VLOOKUP($C10,Sheet2!$A$2:$B$10,2,0)</f>
        <v>141150-91211</v>
      </c>
      <c r="E10" s="7" t="s">
        <v>38</v>
      </c>
      <c r="F10" s="12">
        <v>45988</v>
      </c>
      <c r="G10" s="13">
        <v>0.47916666666666669</v>
      </c>
      <c r="H10" s="1" t="s">
        <v>31</v>
      </c>
      <c r="I10" s="1" t="s">
        <v>10</v>
      </c>
      <c r="J10" s="1">
        <v>30</v>
      </c>
      <c r="K10" s="14">
        <f>VLOOKUP($C10,Sheet2!$A$2:$D$10,4,0)</f>
        <v>2</v>
      </c>
      <c r="L10" s="14" t="str">
        <f>VLOOKUP($C10,Sheet2!$A$2:$E$10,5,0)</f>
        <v>Bin</v>
      </c>
      <c r="M10" s="14">
        <f t="shared" si="0"/>
        <v>15</v>
      </c>
      <c r="N10" s="1"/>
      <c r="O10" s="1" t="s">
        <v>528</v>
      </c>
      <c r="P10" s="1" t="s">
        <v>1023</v>
      </c>
    </row>
    <row r="11" spans="1:16" x14ac:dyDescent="0.25">
      <c r="A11" s="15" t="s">
        <v>1349</v>
      </c>
      <c r="B11" s="16" t="s">
        <v>1324</v>
      </c>
      <c r="C11" s="1" t="s">
        <v>37</v>
      </c>
      <c r="D11" s="1" t="str">
        <f>VLOOKUP($C11,Sheet2!$A$2:$B$10,2,0)</f>
        <v>141150-91211</v>
      </c>
      <c r="E11" s="7" t="s">
        <v>38</v>
      </c>
      <c r="F11" s="12">
        <v>45988</v>
      </c>
      <c r="G11" s="13">
        <v>0.47916666666666669</v>
      </c>
      <c r="H11" s="1" t="s">
        <v>31</v>
      </c>
      <c r="I11" s="1" t="s">
        <v>10</v>
      </c>
      <c r="J11" s="1">
        <v>8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si="0"/>
        <v>4</v>
      </c>
      <c r="N11" s="1"/>
      <c r="O11" s="1" t="s">
        <v>528</v>
      </c>
      <c r="P11" s="1" t="s">
        <v>1023</v>
      </c>
    </row>
    <row r="12" spans="1:16" x14ac:dyDescent="0.25">
      <c r="A12" s="15" t="s">
        <v>1349</v>
      </c>
      <c r="B12" s="16" t="s">
        <v>1328</v>
      </c>
      <c r="C12" s="1" t="s">
        <v>45</v>
      </c>
      <c r="D12" s="1" t="str">
        <f>VLOOKUP($C12,Sheet2!$A$2:$B$10,2,0)</f>
        <v>141186-74360</v>
      </c>
      <c r="E12" s="7" t="s">
        <v>46</v>
      </c>
      <c r="F12" s="12">
        <v>45988</v>
      </c>
      <c r="G12" s="13">
        <v>0.47916666666666669</v>
      </c>
      <c r="H12" s="1" t="s">
        <v>31</v>
      </c>
      <c r="I12" s="1" t="s">
        <v>10</v>
      </c>
      <c r="J12" s="1">
        <v>80</v>
      </c>
      <c r="K12" s="14">
        <f>VLOOKUP($C12,Sheet2!$A$2:$D$10,4,0)</f>
        <v>40</v>
      </c>
      <c r="L12" s="14" t="str">
        <f>VLOOKUP($C12,Sheet2!$A$2:$E$10,5,0)</f>
        <v>Trolley</v>
      </c>
      <c r="M12" s="14"/>
      <c r="N12" s="1">
        <f>J12/K12</f>
        <v>2</v>
      </c>
      <c r="O12" s="1" t="s">
        <v>528</v>
      </c>
      <c r="P12" s="1">
        <v>910103038</v>
      </c>
    </row>
    <row r="13" spans="1:16" x14ac:dyDescent="0.25">
      <c r="A13" s="15" t="s">
        <v>1350</v>
      </c>
      <c r="B13" s="16" t="s">
        <v>1332</v>
      </c>
      <c r="C13" s="1" t="s">
        <v>50</v>
      </c>
      <c r="D13" s="1" t="str">
        <f>VLOOKUP($C13,Sheet2!$A$2:$B$10,2,0)</f>
        <v>116040-92240</v>
      </c>
      <c r="E13" s="7" t="s">
        <v>51</v>
      </c>
      <c r="F13" s="12">
        <v>45988</v>
      </c>
      <c r="G13" s="13">
        <v>0.47916666666666669</v>
      </c>
      <c r="H13" s="1" t="s">
        <v>52</v>
      </c>
      <c r="I13" s="1" t="s">
        <v>10</v>
      </c>
      <c r="J13" s="1">
        <v>30</v>
      </c>
      <c r="K13" s="14">
        <f>VLOOKUP($C13,Sheet2!$A$2:$D$10,4,0)</f>
        <v>6</v>
      </c>
      <c r="L13" s="14" t="str">
        <f>VLOOKUP($C13,Sheet2!$A$2:$E$10,5,0)</f>
        <v>Bin</v>
      </c>
      <c r="M13" s="14">
        <f t="shared" ref="M13:M18" si="1">J13/K13</f>
        <v>5</v>
      </c>
      <c r="N13" s="1"/>
      <c r="O13" s="1" t="s">
        <v>528</v>
      </c>
      <c r="P13" s="1" t="s">
        <v>1303</v>
      </c>
    </row>
    <row r="14" spans="1:16" x14ac:dyDescent="0.25">
      <c r="A14" s="15" t="s">
        <v>1350</v>
      </c>
      <c r="B14" s="16" t="s">
        <v>1333</v>
      </c>
      <c r="C14" s="1" t="s">
        <v>50</v>
      </c>
      <c r="D14" s="1" t="str">
        <f>VLOOKUP($C14,Sheet2!$A$2:$B$10,2,0)</f>
        <v>116040-92240</v>
      </c>
      <c r="E14" s="7" t="s">
        <v>51</v>
      </c>
      <c r="F14" s="12">
        <v>45988</v>
      </c>
      <c r="G14" s="13">
        <v>0.47916666666666669</v>
      </c>
      <c r="H14" s="1" t="s">
        <v>52</v>
      </c>
      <c r="I14" s="1" t="s">
        <v>10</v>
      </c>
      <c r="J14" s="1">
        <v>12</v>
      </c>
      <c r="K14" s="14">
        <f>VLOOKUP($C14,Sheet2!$A$2:$D$10,4,0)</f>
        <v>6</v>
      </c>
      <c r="L14" s="14" t="str">
        <f>VLOOKUP($C14,Sheet2!$A$2:$E$10,5,0)</f>
        <v>Bin</v>
      </c>
      <c r="M14" s="14">
        <f t="shared" si="1"/>
        <v>2</v>
      </c>
      <c r="N14" s="1"/>
      <c r="O14" s="1" t="s">
        <v>528</v>
      </c>
      <c r="P14" s="1" t="s">
        <v>1303</v>
      </c>
    </row>
    <row r="15" spans="1:16" x14ac:dyDescent="0.25">
      <c r="A15" s="15" t="s">
        <v>1350</v>
      </c>
      <c r="B15" s="16" t="s">
        <v>1337</v>
      </c>
      <c r="C15" s="1" t="s">
        <v>59</v>
      </c>
      <c r="D15" s="1" t="str">
        <f>VLOOKUP($C15,Sheet2!$A$2:$B$10,2,0)</f>
        <v>114010-50820</v>
      </c>
      <c r="E15" s="7" t="s">
        <v>60</v>
      </c>
      <c r="F15" s="12">
        <v>45988</v>
      </c>
      <c r="G15" s="13">
        <v>0.47916666666666669</v>
      </c>
      <c r="H15" s="1" t="s">
        <v>52</v>
      </c>
      <c r="I15" s="1" t="s">
        <v>10</v>
      </c>
      <c r="J15" s="1">
        <v>16</v>
      </c>
      <c r="K15" s="14">
        <f>VLOOKUP($C15,Sheet2!$A$2:$D$10,4,0)</f>
        <v>1</v>
      </c>
      <c r="L15" s="14" t="str">
        <f>VLOOKUP($C15,Sheet2!$A$2:$E$10,5,0)</f>
        <v>Bin</v>
      </c>
      <c r="M15" s="14">
        <f t="shared" si="1"/>
        <v>16</v>
      </c>
      <c r="N15" s="1"/>
      <c r="O15" s="1" t="s">
        <v>528</v>
      </c>
      <c r="P15" s="1" t="s">
        <v>910</v>
      </c>
    </row>
    <row r="16" spans="1:16" x14ac:dyDescent="0.25">
      <c r="A16" s="15" t="s">
        <v>1350</v>
      </c>
      <c r="B16" s="16" t="s">
        <v>1338</v>
      </c>
      <c r="C16" s="1" t="s">
        <v>59</v>
      </c>
      <c r="D16" s="1" t="str">
        <f>VLOOKUP($C16,Sheet2!$A$2:$B$10,2,0)</f>
        <v>114010-50820</v>
      </c>
      <c r="E16" s="7" t="s">
        <v>60</v>
      </c>
      <c r="F16" s="12">
        <v>45988</v>
      </c>
      <c r="G16" s="13">
        <v>0.47916666666666669</v>
      </c>
      <c r="H16" s="1" t="s">
        <v>52</v>
      </c>
      <c r="I16" s="1" t="s">
        <v>10</v>
      </c>
      <c r="J16" s="1">
        <v>5</v>
      </c>
      <c r="K16" s="14">
        <f>VLOOKUP($C16,Sheet2!$A$2:$D$10,4,0)</f>
        <v>1</v>
      </c>
      <c r="L16" s="14" t="str">
        <f>VLOOKUP($C16,Sheet2!$A$2:$E$10,5,0)</f>
        <v>Bin</v>
      </c>
      <c r="M16" s="14">
        <f t="shared" si="1"/>
        <v>5</v>
      </c>
      <c r="N16" s="1"/>
      <c r="O16" s="1" t="s">
        <v>528</v>
      </c>
      <c r="P16" s="1" t="s">
        <v>910</v>
      </c>
    </row>
    <row r="17" spans="1:16" x14ac:dyDescent="0.25">
      <c r="A17" s="15" t="s">
        <v>1350</v>
      </c>
      <c r="B17" s="16" t="s">
        <v>1342</v>
      </c>
      <c r="C17" s="1" t="s">
        <v>67</v>
      </c>
      <c r="D17" s="1" t="str">
        <f>VLOOKUP($C17,Sheet2!$A$2:$B$10,2,0)</f>
        <v>114010-50830</v>
      </c>
      <c r="E17" s="7" t="s">
        <v>60</v>
      </c>
      <c r="F17" s="12">
        <v>45988</v>
      </c>
      <c r="G17" s="13">
        <v>0.47916666666666669</v>
      </c>
      <c r="H17" s="1" t="s">
        <v>52</v>
      </c>
      <c r="I17" s="1" t="s">
        <v>10</v>
      </c>
      <c r="J17" s="1">
        <v>14</v>
      </c>
      <c r="K17" s="14">
        <f>VLOOKUP($C17,Sheet2!$A$2:$D$10,4,0)</f>
        <v>1</v>
      </c>
      <c r="L17" s="14" t="str">
        <f>VLOOKUP($C17,Sheet2!$A$2:$E$10,5,0)</f>
        <v>Bin</v>
      </c>
      <c r="M17" s="14">
        <f t="shared" si="1"/>
        <v>14</v>
      </c>
      <c r="N17" s="1"/>
      <c r="O17" s="1" t="s">
        <v>528</v>
      </c>
      <c r="P17" s="1" t="s">
        <v>1026</v>
      </c>
    </row>
    <row r="18" spans="1:16" x14ac:dyDescent="0.25">
      <c r="A18" s="15" t="s">
        <v>1350</v>
      </c>
      <c r="B18" s="16" t="s">
        <v>1343</v>
      </c>
      <c r="C18" s="1" t="s">
        <v>67</v>
      </c>
      <c r="D18" s="1" t="str">
        <f>VLOOKUP($C18,Sheet2!$A$2:$B$10,2,0)</f>
        <v>114010-50830</v>
      </c>
      <c r="E18" s="7" t="s">
        <v>60</v>
      </c>
      <c r="F18" s="12">
        <v>45988</v>
      </c>
      <c r="G18" s="13">
        <v>0.47916666666666669</v>
      </c>
      <c r="H18" s="1" t="s">
        <v>52</v>
      </c>
      <c r="I18" s="1" t="s">
        <v>10</v>
      </c>
      <c r="J18" s="1">
        <v>4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1"/>
        <v>4</v>
      </c>
      <c r="N18" s="1"/>
      <c r="O18" s="1" t="s">
        <v>528</v>
      </c>
      <c r="P18" s="1" t="s">
        <v>1026</v>
      </c>
    </row>
    <row r="19" spans="1:16" s="20" customForma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>
        <v>84</v>
      </c>
      <c r="N19" s="9">
        <v>6</v>
      </c>
      <c r="O19" s="9"/>
      <c r="P19" s="9"/>
    </row>
    <row r="20" spans="1:16" x14ac:dyDescent="0.25">
      <c r="A20" s="15" t="s">
        <v>1351</v>
      </c>
      <c r="B20" s="16" t="s">
        <v>1306</v>
      </c>
      <c r="C20" s="1" t="s">
        <v>7</v>
      </c>
      <c r="D20" s="1" t="str">
        <f>VLOOKUP($C20,Sheet2!$A$2:$B$10,2,0)</f>
        <v>141110-14600</v>
      </c>
      <c r="E20" s="7" t="s">
        <v>8</v>
      </c>
      <c r="F20" s="12">
        <v>45988</v>
      </c>
      <c r="G20" s="13">
        <v>0.52083333333333337</v>
      </c>
      <c r="H20" s="1" t="s">
        <v>9</v>
      </c>
      <c r="I20" s="1" t="s">
        <v>10</v>
      </c>
      <c r="J20" s="1">
        <v>18</v>
      </c>
      <c r="K20" s="14">
        <f>VLOOKUP($C20,Sheet2!$A$2:$D$10,4,0)</f>
        <v>18</v>
      </c>
      <c r="L20" s="14" t="str">
        <f>VLOOKUP($C20,Sheet2!$A$2:$E$10,5,0)</f>
        <v>Trolley (H)</v>
      </c>
      <c r="M20" s="14"/>
      <c r="N20" s="63">
        <v>1</v>
      </c>
      <c r="O20" s="1" t="s">
        <v>1348</v>
      </c>
      <c r="P20" s="1" t="s">
        <v>1439</v>
      </c>
    </row>
    <row r="21" spans="1:16" x14ac:dyDescent="0.25">
      <c r="A21" s="15" t="s">
        <v>1351</v>
      </c>
      <c r="B21" s="16" t="s">
        <v>1310</v>
      </c>
      <c r="C21" s="1" t="s">
        <v>16</v>
      </c>
      <c r="D21" s="1" t="str">
        <f>VLOOKUP($C21,Sheet2!$A$2:$B$10,2,0)</f>
        <v>141120-14600</v>
      </c>
      <c r="E21" s="7" t="s">
        <v>17</v>
      </c>
      <c r="F21" s="12">
        <v>45988</v>
      </c>
      <c r="G21" s="13">
        <v>0.52083333333333337</v>
      </c>
      <c r="H21" s="1" t="s">
        <v>9</v>
      </c>
      <c r="I21" s="1" t="s">
        <v>10</v>
      </c>
      <c r="J21" s="1">
        <v>18</v>
      </c>
      <c r="K21" s="14">
        <f>VLOOKUP($C21,Sheet2!$A$2:$D$10,4,0)</f>
        <v>18</v>
      </c>
      <c r="L21" s="14" t="str">
        <f>VLOOKUP($C21,Sheet2!$A$2:$E$10,5,0)</f>
        <v>Trolley (H)</v>
      </c>
      <c r="M21" s="14"/>
      <c r="N21" s="64"/>
      <c r="O21" s="1" t="s">
        <v>1348</v>
      </c>
      <c r="P21" s="1" t="s">
        <v>1439</v>
      </c>
    </row>
    <row r="22" spans="1:16" x14ac:dyDescent="0.25">
      <c r="A22" s="15" t="s">
        <v>1351</v>
      </c>
      <c r="B22" s="16" t="s">
        <v>1315</v>
      </c>
      <c r="C22" s="1" t="s">
        <v>23</v>
      </c>
      <c r="D22" s="1" t="str">
        <f>VLOOKUP($C22,Sheet2!$A$2:$B$10,2,0)</f>
        <v>141185-74670</v>
      </c>
      <c r="E22" s="7" t="s">
        <v>24</v>
      </c>
      <c r="F22" s="12">
        <v>45988</v>
      </c>
      <c r="G22" s="13">
        <v>0.52083333333333337</v>
      </c>
      <c r="H22" s="1" t="s">
        <v>9</v>
      </c>
      <c r="I22" s="1" t="s">
        <v>10</v>
      </c>
      <c r="J22" s="1">
        <v>80</v>
      </c>
      <c r="K22" s="14">
        <f>VLOOKUP($C22,Sheet2!$A$2:$D$10,4,0)</f>
        <v>40</v>
      </c>
      <c r="L22" s="14" t="str">
        <f>VLOOKUP($C22,Sheet2!$A$2:$E$10,5,0)</f>
        <v>Trolley</v>
      </c>
      <c r="M22" s="14"/>
      <c r="N22" s="1">
        <f>J22/K22</f>
        <v>2</v>
      </c>
      <c r="O22" s="1" t="s">
        <v>1348</v>
      </c>
      <c r="P22" s="1">
        <v>910102394</v>
      </c>
    </row>
    <row r="23" spans="1:16" x14ac:dyDescent="0.25">
      <c r="A23" s="15" t="s">
        <v>1351</v>
      </c>
      <c r="B23" s="16" t="s">
        <v>1320</v>
      </c>
      <c r="C23" s="1" t="s">
        <v>29</v>
      </c>
      <c r="D23" s="1" t="str">
        <f>VLOOKUP($C23,Sheet2!$A$2:$B$10,2,0)</f>
        <v>141140-91211</v>
      </c>
      <c r="E23" s="7" t="s">
        <v>30</v>
      </c>
      <c r="F23" s="12">
        <v>45988</v>
      </c>
      <c r="G23" s="13">
        <v>0.52083333333333337</v>
      </c>
      <c r="H23" s="1" t="s">
        <v>31</v>
      </c>
      <c r="I23" s="1" t="s">
        <v>10</v>
      </c>
      <c r="J23" s="1">
        <v>30</v>
      </c>
      <c r="K23" s="14">
        <f>VLOOKUP($C23,Sheet2!$A$2:$D$10,4,0)</f>
        <v>2</v>
      </c>
      <c r="L23" s="14" t="str">
        <f>VLOOKUP($C23,Sheet2!$A$2:$E$10,5,0)</f>
        <v>Bin</v>
      </c>
      <c r="M23" s="14">
        <f t="shared" ref="M23:M24" si="2">J23/K23</f>
        <v>15</v>
      </c>
      <c r="N23" s="1"/>
      <c r="O23" s="1" t="s">
        <v>1348</v>
      </c>
      <c r="P23" s="1" t="s">
        <v>1443</v>
      </c>
    </row>
    <row r="24" spans="1:16" x14ac:dyDescent="0.25">
      <c r="A24" s="15" t="s">
        <v>1351</v>
      </c>
      <c r="B24" s="16" t="s">
        <v>1325</v>
      </c>
      <c r="C24" s="1" t="s">
        <v>37</v>
      </c>
      <c r="D24" s="1" t="str">
        <f>VLOOKUP($C24,Sheet2!$A$2:$B$10,2,0)</f>
        <v>141150-91211</v>
      </c>
      <c r="E24" s="7" t="s">
        <v>38</v>
      </c>
      <c r="F24" s="12">
        <v>45988</v>
      </c>
      <c r="G24" s="13">
        <v>0.52083333333333337</v>
      </c>
      <c r="H24" s="1" t="s">
        <v>31</v>
      </c>
      <c r="I24" s="1" t="s">
        <v>10</v>
      </c>
      <c r="J24" s="1">
        <v>30</v>
      </c>
      <c r="K24" s="14">
        <f>VLOOKUP($C24,Sheet2!$A$2:$D$10,4,0)</f>
        <v>2</v>
      </c>
      <c r="L24" s="14" t="str">
        <f>VLOOKUP($C24,Sheet2!$A$2:$E$10,5,0)</f>
        <v>Bin</v>
      </c>
      <c r="M24" s="14">
        <f t="shared" si="2"/>
        <v>15</v>
      </c>
      <c r="N24" s="1"/>
      <c r="O24" s="1" t="s">
        <v>1348</v>
      </c>
      <c r="P24" s="1" t="s">
        <v>1442</v>
      </c>
    </row>
    <row r="25" spans="1:16" x14ac:dyDescent="0.25">
      <c r="A25" s="15" t="s">
        <v>1351</v>
      </c>
      <c r="B25" s="16" t="s">
        <v>1329</v>
      </c>
      <c r="C25" s="1" t="s">
        <v>45</v>
      </c>
      <c r="D25" s="1" t="str">
        <f>VLOOKUP($C25,Sheet2!$A$2:$B$10,2,0)</f>
        <v>141186-74360</v>
      </c>
      <c r="E25" s="7" t="s">
        <v>46</v>
      </c>
      <c r="F25" s="12">
        <v>45988</v>
      </c>
      <c r="G25" s="13">
        <v>0.52083333333333337</v>
      </c>
      <c r="H25" s="1" t="s">
        <v>31</v>
      </c>
      <c r="I25" s="1" t="s">
        <v>10</v>
      </c>
      <c r="J25" s="1">
        <v>40</v>
      </c>
      <c r="K25" s="14">
        <f>VLOOKUP($C25,Sheet2!$A$2:$D$10,4,0)</f>
        <v>40</v>
      </c>
      <c r="L25" s="14" t="str">
        <f>VLOOKUP($C25,Sheet2!$A$2:$E$10,5,0)</f>
        <v>Trolley</v>
      </c>
      <c r="M25" s="14"/>
      <c r="N25" s="1">
        <f>J25/K25</f>
        <v>1</v>
      </c>
      <c r="O25" s="1" t="s">
        <v>1348</v>
      </c>
      <c r="P25" s="1">
        <v>910103227</v>
      </c>
    </row>
    <row r="26" spans="1:16" x14ac:dyDescent="0.25">
      <c r="A26" s="15" t="s">
        <v>1352</v>
      </c>
      <c r="B26" s="16" t="s">
        <v>1334</v>
      </c>
      <c r="C26" s="1" t="s">
        <v>50</v>
      </c>
      <c r="D26" s="1" t="str">
        <f>VLOOKUP($C26,Sheet2!$A$2:$B$10,2,0)</f>
        <v>116040-92240</v>
      </c>
      <c r="E26" s="7" t="s">
        <v>51</v>
      </c>
      <c r="F26" s="12">
        <v>45988</v>
      </c>
      <c r="G26" s="13">
        <v>0.52083333333333337</v>
      </c>
      <c r="H26" s="1" t="s">
        <v>52</v>
      </c>
      <c r="I26" s="1" t="s">
        <v>10</v>
      </c>
      <c r="J26" s="1">
        <v>30</v>
      </c>
      <c r="K26" s="14">
        <f>VLOOKUP($C26,Sheet2!$A$2:$D$10,4,0)</f>
        <v>6</v>
      </c>
      <c r="L26" s="14" t="str">
        <f>VLOOKUP($C26,Sheet2!$A$2:$E$10,5,0)</f>
        <v>Bin</v>
      </c>
      <c r="M26" s="14">
        <f t="shared" ref="M26:M28" si="3">J26/K26</f>
        <v>5</v>
      </c>
      <c r="N26" s="1"/>
      <c r="O26" s="1" t="s">
        <v>1348</v>
      </c>
      <c r="P26" s="1" t="s">
        <v>1303</v>
      </c>
    </row>
    <row r="27" spans="1:16" x14ac:dyDescent="0.25">
      <c r="A27" s="15" t="s">
        <v>1352</v>
      </c>
      <c r="B27" s="16" t="s">
        <v>1339</v>
      </c>
      <c r="C27" s="1" t="s">
        <v>59</v>
      </c>
      <c r="D27" s="1" t="str">
        <f>VLOOKUP($C27,Sheet2!$A$2:$B$10,2,0)</f>
        <v>114010-50820</v>
      </c>
      <c r="E27" s="7" t="s">
        <v>60</v>
      </c>
      <c r="F27" s="12">
        <v>45988</v>
      </c>
      <c r="G27" s="13">
        <v>0.52083333333333337</v>
      </c>
      <c r="H27" s="1" t="s">
        <v>52</v>
      </c>
      <c r="I27" s="1" t="s">
        <v>10</v>
      </c>
      <c r="J27" s="1">
        <v>17</v>
      </c>
      <c r="K27" s="14">
        <f>VLOOKUP($C27,Sheet2!$A$2:$D$10,4,0)</f>
        <v>1</v>
      </c>
      <c r="L27" s="14" t="str">
        <f>VLOOKUP($C27,Sheet2!$A$2:$E$10,5,0)</f>
        <v>Bin</v>
      </c>
      <c r="M27" s="14">
        <f t="shared" si="3"/>
        <v>17</v>
      </c>
      <c r="N27" s="1"/>
      <c r="O27" s="1" t="s">
        <v>1348</v>
      </c>
      <c r="P27" s="1" t="s">
        <v>910</v>
      </c>
    </row>
    <row r="28" spans="1:16" x14ac:dyDescent="0.25">
      <c r="A28" s="15" t="s">
        <v>1352</v>
      </c>
      <c r="B28" s="16" t="s">
        <v>1344</v>
      </c>
      <c r="C28" s="1" t="s">
        <v>67</v>
      </c>
      <c r="D28" s="1" t="str">
        <f>VLOOKUP($C28,Sheet2!$A$2:$B$10,2,0)</f>
        <v>114010-50830</v>
      </c>
      <c r="E28" s="7" t="s">
        <v>60</v>
      </c>
      <c r="F28" s="12">
        <v>45988</v>
      </c>
      <c r="G28" s="13">
        <v>0.52083333333333337</v>
      </c>
      <c r="H28" s="1" t="s">
        <v>52</v>
      </c>
      <c r="I28" s="1" t="s">
        <v>10</v>
      </c>
      <c r="J28" s="1">
        <v>12</v>
      </c>
      <c r="K28" s="14">
        <f>VLOOKUP($C28,Sheet2!$A$2:$D$10,4,0)</f>
        <v>1</v>
      </c>
      <c r="L28" s="14" t="str">
        <f>VLOOKUP($C28,Sheet2!$A$2:$E$10,5,0)</f>
        <v>Bin</v>
      </c>
      <c r="M28" s="14">
        <f t="shared" si="3"/>
        <v>12</v>
      </c>
      <c r="N28" s="1"/>
      <c r="O28" s="1" t="s">
        <v>1348</v>
      </c>
      <c r="P28" s="1" t="s">
        <v>1026</v>
      </c>
    </row>
    <row r="29" spans="1:16" s="20" customForma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>
        <v>64</v>
      </c>
      <c r="N29" s="9">
        <v>4</v>
      </c>
      <c r="O29" s="9"/>
      <c r="P29" s="9"/>
    </row>
    <row r="30" spans="1:16" x14ac:dyDescent="0.25">
      <c r="A30" s="15" t="s">
        <v>1353</v>
      </c>
      <c r="B30" s="16" t="s">
        <v>1307</v>
      </c>
      <c r="C30" s="1" t="s">
        <v>7</v>
      </c>
      <c r="D30" s="1" t="str">
        <f>VLOOKUP($C30,Sheet2!$A$2:$B$10,2,0)</f>
        <v>141110-14600</v>
      </c>
      <c r="E30" s="7" t="s">
        <v>8</v>
      </c>
      <c r="F30" s="12">
        <v>45988</v>
      </c>
      <c r="G30" s="13">
        <v>0.60416666666666663</v>
      </c>
      <c r="H30" s="1" t="s">
        <v>9</v>
      </c>
      <c r="I30" s="1" t="s">
        <v>10</v>
      </c>
      <c r="J30" s="1">
        <v>18</v>
      </c>
      <c r="K30" s="14">
        <f>VLOOKUP($C30,Sheet2!$A$2:$D$10,4,0)</f>
        <v>18</v>
      </c>
      <c r="L30" s="14" t="str">
        <f>VLOOKUP($C30,Sheet2!$A$2:$E$10,5,0)</f>
        <v>Trolley (H)</v>
      </c>
      <c r="M30" s="14"/>
      <c r="N30" s="63">
        <v>1</v>
      </c>
      <c r="O30" s="1" t="s">
        <v>1301</v>
      </c>
      <c r="P30" s="1" t="s">
        <v>1439</v>
      </c>
    </row>
    <row r="31" spans="1:16" x14ac:dyDescent="0.25">
      <c r="A31" s="15" t="s">
        <v>1353</v>
      </c>
      <c r="B31" s="16" t="s">
        <v>1311</v>
      </c>
      <c r="C31" s="1" t="s">
        <v>16</v>
      </c>
      <c r="D31" s="1" t="str">
        <f>VLOOKUP($C31,Sheet2!$A$2:$B$10,2,0)</f>
        <v>141120-14600</v>
      </c>
      <c r="E31" s="7" t="s">
        <v>17</v>
      </c>
      <c r="F31" s="12">
        <v>45988</v>
      </c>
      <c r="G31" s="13">
        <v>0.60416666666666663</v>
      </c>
      <c r="H31" s="1" t="s">
        <v>9</v>
      </c>
      <c r="I31" s="1" t="s">
        <v>10</v>
      </c>
      <c r="J31" s="1">
        <v>18</v>
      </c>
      <c r="K31" s="14">
        <f>VLOOKUP($C31,Sheet2!$A$2:$D$10,4,0)</f>
        <v>18</v>
      </c>
      <c r="L31" s="14" t="str">
        <f>VLOOKUP($C31,Sheet2!$A$2:$E$10,5,0)</f>
        <v>Trolley (H)</v>
      </c>
      <c r="M31" s="14"/>
      <c r="N31" s="64"/>
      <c r="O31" s="1" t="s">
        <v>1301</v>
      </c>
      <c r="P31" s="1" t="s">
        <v>1439</v>
      </c>
    </row>
    <row r="32" spans="1:16" x14ac:dyDescent="0.25">
      <c r="A32" s="15" t="s">
        <v>1353</v>
      </c>
      <c r="B32" s="16" t="s">
        <v>1316</v>
      </c>
      <c r="C32" s="1" t="s">
        <v>23</v>
      </c>
      <c r="D32" s="1" t="str">
        <f>VLOOKUP($C32,Sheet2!$A$2:$B$10,2,0)</f>
        <v>141185-74670</v>
      </c>
      <c r="E32" s="7" t="s">
        <v>24</v>
      </c>
      <c r="F32" s="12">
        <v>45988</v>
      </c>
      <c r="G32" s="13">
        <v>0.60416666666666663</v>
      </c>
      <c r="H32" s="1" t="s">
        <v>9</v>
      </c>
      <c r="I32" s="1" t="s">
        <v>10</v>
      </c>
      <c r="J32" s="1">
        <v>40</v>
      </c>
      <c r="K32" s="14">
        <f>VLOOKUP($C32,Sheet2!$A$2:$D$10,4,0)</f>
        <v>40</v>
      </c>
      <c r="L32" s="14" t="str">
        <f>VLOOKUP($C32,Sheet2!$A$2:$E$10,5,0)</f>
        <v>Trolley</v>
      </c>
      <c r="M32" s="14"/>
      <c r="N32" s="1">
        <f>J32/K32</f>
        <v>1</v>
      </c>
      <c r="O32" s="1" t="s">
        <v>1301</v>
      </c>
      <c r="P32" s="1">
        <v>910102394</v>
      </c>
    </row>
    <row r="33" spans="1:16" x14ac:dyDescent="0.25">
      <c r="A33" s="15" t="s">
        <v>1353</v>
      </c>
      <c r="B33" s="16" t="s">
        <v>1321</v>
      </c>
      <c r="C33" s="1" t="s">
        <v>29</v>
      </c>
      <c r="D33" s="1" t="str">
        <f>VLOOKUP($C33,Sheet2!$A$2:$B$10,2,0)</f>
        <v>141140-91211</v>
      </c>
      <c r="E33" s="7" t="s">
        <v>30</v>
      </c>
      <c r="F33" s="12">
        <v>45988</v>
      </c>
      <c r="G33" s="13">
        <v>0.60416666666666663</v>
      </c>
      <c r="H33" s="1" t="s">
        <v>31</v>
      </c>
      <c r="I33" s="1" t="s">
        <v>10</v>
      </c>
      <c r="J33" s="1">
        <v>20</v>
      </c>
      <c r="K33" s="14">
        <f>VLOOKUP($C33,Sheet2!$A$2:$D$10,4,0)</f>
        <v>2</v>
      </c>
      <c r="L33" s="14" t="str">
        <f>VLOOKUP($C33,Sheet2!$A$2:$E$10,5,0)</f>
        <v>Bin</v>
      </c>
      <c r="M33" s="14">
        <f t="shared" ref="M33:M34" si="4">J33/K33</f>
        <v>10</v>
      </c>
      <c r="N33" s="1"/>
      <c r="O33" s="1" t="s">
        <v>1301</v>
      </c>
      <c r="P33" s="1" t="s">
        <v>1441</v>
      </c>
    </row>
    <row r="34" spans="1:16" x14ac:dyDescent="0.25">
      <c r="A34" s="15" t="s">
        <v>1353</v>
      </c>
      <c r="B34" s="16" t="s">
        <v>1326</v>
      </c>
      <c r="C34" s="1" t="s">
        <v>37</v>
      </c>
      <c r="D34" s="1" t="str">
        <f>VLOOKUP($C34,Sheet2!$A$2:$B$10,2,0)</f>
        <v>141150-91211</v>
      </c>
      <c r="E34" s="7" t="s">
        <v>38</v>
      </c>
      <c r="F34" s="12">
        <v>45988</v>
      </c>
      <c r="G34" s="13">
        <v>0.60416666666666663</v>
      </c>
      <c r="H34" s="1" t="s">
        <v>31</v>
      </c>
      <c r="I34" s="1" t="s">
        <v>10</v>
      </c>
      <c r="J34" s="1">
        <v>20</v>
      </c>
      <c r="K34" s="14">
        <f>VLOOKUP($C34,Sheet2!$A$2:$D$10,4,0)</f>
        <v>2</v>
      </c>
      <c r="L34" s="14" t="str">
        <f>VLOOKUP($C34,Sheet2!$A$2:$E$10,5,0)</f>
        <v>Bin</v>
      </c>
      <c r="M34" s="14">
        <f t="shared" si="4"/>
        <v>10</v>
      </c>
      <c r="N34" s="1"/>
      <c r="O34" s="1" t="s">
        <v>1301</v>
      </c>
      <c r="P34" s="1" t="s">
        <v>1441</v>
      </c>
    </row>
    <row r="35" spans="1:16" x14ac:dyDescent="0.25">
      <c r="A35" s="15" t="s">
        <v>1353</v>
      </c>
      <c r="B35" s="16" t="s">
        <v>1330</v>
      </c>
      <c r="C35" s="1" t="s">
        <v>45</v>
      </c>
      <c r="D35" s="1" t="str">
        <f>VLOOKUP($C35,Sheet2!$A$2:$B$10,2,0)</f>
        <v>141186-74360</v>
      </c>
      <c r="E35" s="7" t="s">
        <v>46</v>
      </c>
      <c r="F35" s="12">
        <v>45988</v>
      </c>
      <c r="G35" s="13">
        <v>0.60416666666666663</v>
      </c>
      <c r="H35" s="1" t="s">
        <v>31</v>
      </c>
      <c r="I35" s="1" t="s">
        <v>10</v>
      </c>
      <c r="J35" s="1">
        <v>40</v>
      </c>
      <c r="K35" s="14">
        <f>VLOOKUP($C35,Sheet2!$A$2:$D$10,4,0)</f>
        <v>40</v>
      </c>
      <c r="L35" s="14" t="str">
        <f>VLOOKUP($C35,Sheet2!$A$2:$E$10,5,0)</f>
        <v>Trolley</v>
      </c>
      <c r="M35" s="14"/>
      <c r="N35" s="1">
        <f>J35/K35</f>
        <v>1</v>
      </c>
      <c r="O35" s="1" t="s">
        <v>1301</v>
      </c>
      <c r="P35" s="1" t="s">
        <v>1444</v>
      </c>
    </row>
    <row r="36" spans="1:16" x14ac:dyDescent="0.25">
      <c r="A36" s="15" t="s">
        <v>1354</v>
      </c>
      <c r="B36" s="16" t="s">
        <v>1335</v>
      </c>
      <c r="C36" s="1" t="s">
        <v>50</v>
      </c>
      <c r="D36" s="1" t="str">
        <f>VLOOKUP($C36,Sheet2!$A$2:$B$10,2,0)</f>
        <v>116040-92240</v>
      </c>
      <c r="E36" s="7" t="s">
        <v>51</v>
      </c>
      <c r="F36" s="12">
        <v>45988</v>
      </c>
      <c r="G36" s="13">
        <v>0.60416666666666663</v>
      </c>
      <c r="H36" s="1" t="s">
        <v>52</v>
      </c>
      <c r="I36" s="1" t="s">
        <v>10</v>
      </c>
      <c r="J36" s="1">
        <v>18</v>
      </c>
      <c r="K36" s="14">
        <f>VLOOKUP($C36,Sheet2!$A$2:$D$10,4,0)</f>
        <v>6</v>
      </c>
      <c r="L36" s="14" t="str">
        <f>VLOOKUP($C36,Sheet2!$A$2:$E$10,5,0)</f>
        <v>Bin</v>
      </c>
      <c r="M36" s="14">
        <f t="shared" ref="M36:M38" si="5">J36/K36</f>
        <v>3</v>
      </c>
      <c r="N36" s="1"/>
      <c r="O36" s="1" t="s">
        <v>1301</v>
      </c>
      <c r="P36" s="1" t="s">
        <v>1303</v>
      </c>
    </row>
    <row r="37" spans="1:16" x14ac:dyDescent="0.25">
      <c r="A37" s="15" t="s">
        <v>1354</v>
      </c>
      <c r="B37" s="16" t="s">
        <v>1340</v>
      </c>
      <c r="C37" s="1" t="s">
        <v>59</v>
      </c>
      <c r="D37" s="1" t="str">
        <f>VLOOKUP($C37,Sheet2!$A$2:$B$10,2,0)</f>
        <v>114010-50820</v>
      </c>
      <c r="E37" s="7" t="s">
        <v>60</v>
      </c>
      <c r="F37" s="12">
        <v>45988</v>
      </c>
      <c r="G37" s="13">
        <v>0.60416666666666663</v>
      </c>
      <c r="H37" s="1" t="s">
        <v>52</v>
      </c>
      <c r="I37" s="1" t="s">
        <v>10</v>
      </c>
      <c r="J37" s="1">
        <v>10</v>
      </c>
      <c r="K37" s="14">
        <f>VLOOKUP($C37,Sheet2!$A$2:$D$10,4,0)</f>
        <v>1</v>
      </c>
      <c r="L37" s="14" t="str">
        <f>VLOOKUP($C37,Sheet2!$A$2:$E$10,5,0)</f>
        <v>Bin</v>
      </c>
      <c r="M37" s="14">
        <f t="shared" si="5"/>
        <v>10</v>
      </c>
      <c r="N37" s="1"/>
      <c r="O37" s="1" t="s">
        <v>1301</v>
      </c>
      <c r="P37" s="1" t="s">
        <v>910</v>
      </c>
    </row>
    <row r="38" spans="1:16" x14ac:dyDescent="0.25">
      <c r="A38" s="15" t="s">
        <v>1354</v>
      </c>
      <c r="B38" s="16" t="s">
        <v>1345</v>
      </c>
      <c r="C38" s="1" t="s">
        <v>67</v>
      </c>
      <c r="D38" s="1" t="str">
        <f>VLOOKUP($C38,Sheet2!$A$2:$B$10,2,0)</f>
        <v>114010-50830</v>
      </c>
      <c r="E38" s="7" t="s">
        <v>60</v>
      </c>
      <c r="F38" s="12">
        <v>45988</v>
      </c>
      <c r="G38" s="13">
        <v>0.60416666666666663</v>
      </c>
      <c r="H38" s="1" t="s">
        <v>52</v>
      </c>
      <c r="I38" s="1" t="s">
        <v>10</v>
      </c>
      <c r="J38" s="1">
        <v>10</v>
      </c>
      <c r="K38" s="14">
        <f>VLOOKUP($C38,Sheet2!$A$2:$D$10,4,0)</f>
        <v>1</v>
      </c>
      <c r="L38" s="14" t="str">
        <f>VLOOKUP($C38,Sheet2!$A$2:$E$10,5,0)</f>
        <v>Bin</v>
      </c>
      <c r="M38" s="14">
        <f t="shared" si="5"/>
        <v>10</v>
      </c>
      <c r="N38" s="1"/>
      <c r="O38" s="1" t="s">
        <v>1301</v>
      </c>
      <c r="P38" s="1" t="s">
        <v>1445</v>
      </c>
    </row>
    <row r="39" spans="1:16" s="20" customForma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>
        <v>43</v>
      </c>
      <c r="N39" s="9">
        <v>3</v>
      </c>
      <c r="O39" s="9"/>
      <c r="P39" s="9"/>
    </row>
    <row r="40" spans="1:16" x14ac:dyDescent="0.25">
      <c r="A40" s="15" t="s">
        <v>1355</v>
      </c>
      <c r="B40" s="16" t="s">
        <v>1308</v>
      </c>
      <c r="C40" s="1" t="s">
        <v>7</v>
      </c>
      <c r="D40" s="1" t="str">
        <f>VLOOKUP($C40,Sheet2!$A$2:$B$10,2,0)</f>
        <v>141110-14600</v>
      </c>
      <c r="E40" s="7" t="s">
        <v>8</v>
      </c>
      <c r="F40" s="12">
        <v>45988</v>
      </c>
      <c r="G40" s="13">
        <v>0.6875</v>
      </c>
      <c r="H40" s="1" t="s">
        <v>9</v>
      </c>
      <c r="I40" s="1" t="s">
        <v>10</v>
      </c>
      <c r="J40" s="1">
        <v>36</v>
      </c>
      <c r="K40" s="14">
        <f>VLOOKUP($C40,Sheet2!$A$2:$D$10,4,0)</f>
        <v>18</v>
      </c>
      <c r="L40" s="14" t="str">
        <f>VLOOKUP($C40,Sheet2!$A$2:$E$10,5,0)</f>
        <v>Trolley (H)</v>
      </c>
      <c r="M40" s="14"/>
      <c r="N40" s="63">
        <v>2</v>
      </c>
      <c r="O40" s="1" t="s">
        <v>1304</v>
      </c>
      <c r="P40" s="1" t="s">
        <v>1439</v>
      </c>
    </row>
    <row r="41" spans="1:16" x14ac:dyDescent="0.25">
      <c r="A41" s="15" t="s">
        <v>1355</v>
      </c>
      <c r="B41" s="16" t="s">
        <v>1312</v>
      </c>
      <c r="C41" s="1" t="s">
        <v>16</v>
      </c>
      <c r="D41" s="1" t="str">
        <f>VLOOKUP($C41,Sheet2!$A$2:$B$10,2,0)</f>
        <v>141120-14600</v>
      </c>
      <c r="E41" s="7" t="s">
        <v>17</v>
      </c>
      <c r="F41" s="12">
        <v>45988</v>
      </c>
      <c r="G41" s="13">
        <v>0.6875</v>
      </c>
      <c r="H41" s="1" t="s">
        <v>9</v>
      </c>
      <c r="I41" s="1" t="s">
        <v>10</v>
      </c>
      <c r="J41" s="1">
        <v>36</v>
      </c>
      <c r="K41" s="14">
        <f>VLOOKUP($C41,Sheet2!$A$2:$D$10,4,0)</f>
        <v>18</v>
      </c>
      <c r="L41" s="14" t="str">
        <f>VLOOKUP($C41,Sheet2!$A$2:$E$10,5,0)</f>
        <v>Trolley (H)</v>
      </c>
      <c r="M41" s="14"/>
      <c r="N41" s="64"/>
      <c r="O41" s="1" t="s">
        <v>1304</v>
      </c>
      <c r="P41" s="1" t="s">
        <v>1439</v>
      </c>
    </row>
    <row r="42" spans="1:16" x14ac:dyDescent="0.25">
      <c r="A42" s="15" t="s">
        <v>1355</v>
      </c>
      <c r="B42" s="16" t="s">
        <v>1317</v>
      </c>
      <c r="C42" s="1" t="s">
        <v>23</v>
      </c>
      <c r="D42" s="1" t="str">
        <f>VLOOKUP($C42,Sheet2!$A$2:$B$10,2,0)</f>
        <v>141185-74670</v>
      </c>
      <c r="E42" s="7" t="s">
        <v>24</v>
      </c>
      <c r="F42" s="12">
        <v>45988</v>
      </c>
      <c r="G42" s="13">
        <v>0.6875</v>
      </c>
      <c r="H42" s="1" t="s">
        <v>9</v>
      </c>
      <c r="I42" s="1" t="s">
        <v>10</v>
      </c>
      <c r="J42" s="1">
        <v>40</v>
      </c>
      <c r="K42" s="14">
        <f>VLOOKUP($C42,Sheet2!$A$2:$D$10,4,0)</f>
        <v>40</v>
      </c>
      <c r="L42" s="14" t="str">
        <f>VLOOKUP($C42,Sheet2!$A$2:$E$10,5,0)</f>
        <v>Trolley</v>
      </c>
      <c r="M42" s="14"/>
      <c r="N42" s="1">
        <f>J42/K42</f>
        <v>1</v>
      </c>
      <c r="O42" s="1" t="s">
        <v>1304</v>
      </c>
      <c r="P42" s="1">
        <v>910102394</v>
      </c>
    </row>
    <row r="43" spans="1:16" x14ac:dyDescent="0.25">
      <c r="A43" s="15" t="s">
        <v>1355</v>
      </c>
      <c r="B43" s="16" t="s">
        <v>1322</v>
      </c>
      <c r="C43" s="1" t="s">
        <v>29</v>
      </c>
      <c r="D43" s="1" t="str">
        <f>VLOOKUP($C43,Sheet2!$A$2:$B$10,2,0)</f>
        <v>141140-91211</v>
      </c>
      <c r="E43" s="7" t="s">
        <v>30</v>
      </c>
      <c r="F43" s="12">
        <v>45988</v>
      </c>
      <c r="G43" s="13">
        <v>0.6875</v>
      </c>
      <c r="H43" s="1" t="s">
        <v>31</v>
      </c>
      <c r="I43" s="1" t="s">
        <v>10</v>
      </c>
      <c r="J43" s="1">
        <v>20</v>
      </c>
      <c r="K43" s="14">
        <f>VLOOKUP($C43,Sheet2!$A$2:$D$10,4,0)</f>
        <v>2</v>
      </c>
      <c r="L43" s="14" t="str">
        <f>VLOOKUP($C43,Sheet2!$A$2:$E$10,5,0)</f>
        <v>Bin</v>
      </c>
      <c r="M43" s="14">
        <f t="shared" ref="M43:M44" si="6">J43/K43</f>
        <v>10</v>
      </c>
      <c r="N43" s="1"/>
      <c r="O43" s="1" t="s">
        <v>1304</v>
      </c>
      <c r="P43" s="1" t="s">
        <v>1441</v>
      </c>
    </row>
    <row r="44" spans="1:16" x14ac:dyDescent="0.25">
      <c r="A44" s="15" t="s">
        <v>1355</v>
      </c>
      <c r="B44" s="16" t="s">
        <v>1327</v>
      </c>
      <c r="C44" s="1" t="s">
        <v>37</v>
      </c>
      <c r="D44" s="1" t="str">
        <f>VLOOKUP($C44,Sheet2!$A$2:$B$10,2,0)</f>
        <v>141150-91211</v>
      </c>
      <c r="E44" s="7" t="s">
        <v>38</v>
      </c>
      <c r="F44" s="12">
        <v>45988</v>
      </c>
      <c r="G44" s="13">
        <v>0.6875</v>
      </c>
      <c r="H44" s="1" t="s">
        <v>31</v>
      </c>
      <c r="I44" s="1" t="s">
        <v>10</v>
      </c>
      <c r="J44" s="1">
        <v>20</v>
      </c>
      <c r="K44" s="14">
        <f>VLOOKUP($C44,Sheet2!$A$2:$D$10,4,0)</f>
        <v>2</v>
      </c>
      <c r="L44" s="14" t="str">
        <f>VLOOKUP($C44,Sheet2!$A$2:$E$10,5,0)</f>
        <v>Bin</v>
      </c>
      <c r="M44" s="14">
        <f t="shared" si="6"/>
        <v>10</v>
      </c>
      <c r="N44" s="1"/>
      <c r="O44" s="1" t="s">
        <v>1304</v>
      </c>
      <c r="P44" s="1" t="s">
        <v>1441</v>
      </c>
    </row>
    <row r="45" spans="1:16" x14ac:dyDescent="0.25">
      <c r="A45" s="15" t="s">
        <v>1355</v>
      </c>
      <c r="B45" s="16" t="s">
        <v>1331</v>
      </c>
      <c r="C45" s="1" t="s">
        <v>45</v>
      </c>
      <c r="D45" s="1" t="str">
        <f>VLOOKUP($C45,Sheet2!$A$2:$B$10,2,0)</f>
        <v>141186-74360</v>
      </c>
      <c r="E45" s="7" t="s">
        <v>46</v>
      </c>
      <c r="F45" s="12">
        <v>45988</v>
      </c>
      <c r="G45" s="13">
        <v>0.6875</v>
      </c>
      <c r="H45" s="1" t="s">
        <v>31</v>
      </c>
      <c r="I45" s="1" t="s">
        <v>10</v>
      </c>
      <c r="J45" s="1">
        <v>40</v>
      </c>
      <c r="K45" s="14">
        <f>VLOOKUP($C45,Sheet2!$A$2:$D$10,4,0)</f>
        <v>40</v>
      </c>
      <c r="L45" s="14" t="str">
        <f>VLOOKUP($C45,Sheet2!$A$2:$E$10,5,0)</f>
        <v>Trolley</v>
      </c>
      <c r="M45" s="14"/>
      <c r="N45" s="1">
        <f>J45/K45</f>
        <v>1</v>
      </c>
      <c r="O45" s="1" t="s">
        <v>1304</v>
      </c>
      <c r="P45" s="1">
        <v>910103227</v>
      </c>
    </row>
    <row r="46" spans="1:16" x14ac:dyDescent="0.25">
      <c r="A46" s="15" t="s">
        <v>1356</v>
      </c>
      <c r="B46" s="16" t="s">
        <v>1336</v>
      </c>
      <c r="C46" s="1" t="s">
        <v>50</v>
      </c>
      <c r="D46" s="1" t="str">
        <f>VLOOKUP($C46,Sheet2!$A$2:$B$10,2,0)</f>
        <v>116040-92240</v>
      </c>
      <c r="E46" s="7" t="s">
        <v>51</v>
      </c>
      <c r="F46" s="12">
        <v>45988</v>
      </c>
      <c r="G46" s="13">
        <v>0.6875</v>
      </c>
      <c r="H46" s="1" t="s">
        <v>52</v>
      </c>
      <c r="I46" s="1" t="s">
        <v>10</v>
      </c>
      <c r="J46" s="1">
        <v>18</v>
      </c>
      <c r="K46" s="14">
        <f>VLOOKUP($C46,Sheet2!$A$2:$D$10,4,0)</f>
        <v>6</v>
      </c>
      <c r="L46" s="14" t="str">
        <f>VLOOKUP($C46,Sheet2!$A$2:$E$10,5,0)</f>
        <v>Bin</v>
      </c>
      <c r="M46" s="14">
        <f t="shared" ref="M46:M48" si="7">J46/K46</f>
        <v>3</v>
      </c>
      <c r="N46" s="1"/>
      <c r="O46" s="1" t="s">
        <v>1304</v>
      </c>
      <c r="P46" s="1" t="s">
        <v>1303</v>
      </c>
    </row>
    <row r="47" spans="1:16" x14ac:dyDescent="0.25">
      <c r="A47" s="15" t="s">
        <v>1356</v>
      </c>
      <c r="B47" s="16" t="s">
        <v>1341</v>
      </c>
      <c r="C47" s="1" t="s">
        <v>59</v>
      </c>
      <c r="D47" s="1" t="str">
        <f>VLOOKUP($C47,Sheet2!$A$2:$B$10,2,0)</f>
        <v>114010-50820</v>
      </c>
      <c r="E47" s="7" t="s">
        <v>60</v>
      </c>
      <c r="F47" s="12">
        <v>45988</v>
      </c>
      <c r="G47" s="13">
        <v>0.6875</v>
      </c>
      <c r="H47" s="1" t="s">
        <v>52</v>
      </c>
      <c r="I47" s="1" t="s">
        <v>10</v>
      </c>
      <c r="J47" s="1">
        <v>6</v>
      </c>
      <c r="K47" s="14">
        <f>VLOOKUP($C47,Sheet2!$A$2:$D$10,4,0)</f>
        <v>1</v>
      </c>
      <c r="L47" s="14" t="str">
        <f>VLOOKUP($C47,Sheet2!$A$2:$E$10,5,0)</f>
        <v>Bin</v>
      </c>
      <c r="M47" s="14">
        <f t="shared" si="7"/>
        <v>6</v>
      </c>
      <c r="N47" s="1"/>
      <c r="O47" s="1" t="s">
        <v>1304</v>
      </c>
      <c r="P47" s="1" t="s">
        <v>910</v>
      </c>
    </row>
    <row r="48" spans="1:16" x14ac:dyDescent="0.25">
      <c r="A48" s="15" t="s">
        <v>1356</v>
      </c>
      <c r="B48" s="16" t="s">
        <v>1346</v>
      </c>
      <c r="C48" s="1" t="s">
        <v>67</v>
      </c>
      <c r="D48" s="1" t="str">
        <f>VLOOKUP($C48,Sheet2!$A$2:$B$10,2,0)</f>
        <v>114010-50830</v>
      </c>
      <c r="E48" s="7" t="s">
        <v>60</v>
      </c>
      <c r="F48" s="12">
        <v>45988</v>
      </c>
      <c r="G48" s="13">
        <v>0.6875</v>
      </c>
      <c r="H48" s="1" t="s">
        <v>52</v>
      </c>
      <c r="I48" s="1" t="s">
        <v>10</v>
      </c>
      <c r="J48" s="1">
        <v>14</v>
      </c>
      <c r="K48" s="14">
        <f>VLOOKUP($C48,Sheet2!$A$2:$D$10,4,0)</f>
        <v>1</v>
      </c>
      <c r="L48" s="14" t="str">
        <f>VLOOKUP($C48,Sheet2!$A$2:$E$10,5,0)</f>
        <v>Bin</v>
      </c>
      <c r="M48" s="14">
        <f t="shared" si="7"/>
        <v>14</v>
      </c>
      <c r="N48" s="1"/>
      <c r="O48" s="1" t="s">
        <v>1304</v>
      </c>
      <c r="P48" s="1" t="s">
        <v>1495</v>
      </c>
    </row>
    <row r="49" spans="1:16" s="20" customForma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>
        <v>43</v>
      </c>
      <c r="N49" s="9">
        <v>4</v>
      </c>
      <c r="O49" s="9"/>
      <c r="P49" s="9"/>
    </row>
    <row r="50" spans="1:16" x14ac:dyDescent="0.25">
      <c r="A50" s="1"/>
      <c r="B50" s="1" t="s">
        <v>1347</v>
      </c>
      <c r="C50" s="1"/>
      <c r="D50" s="1"/>
      <c r="E50" s="7"/>
      <c r="F50" s="12"/>
      <c r="G50" s="13"/>
      <c r="H50" s="1"/>
      <c r="I50" s="1"/>
      <c r="J50" s="1"/>
      <c r="K50" s="14"/>
      <c r="L50" s="14"/>
      <c r="M50" s="14"/>
      <c r="N50" s="1"/>
      <c r="O50" s="1"/>
      <c r="P50" s="1"/>
    </row>
    <row r="51" spans="1:16" x14ac:dyDescent="0.25">
      <c r="A51" s="1"/>
      <c r="B51" s="1"/>
      <c r="C51" s="1"/>
      <c r="D51" s="1"/>
      <c r="E51" s="7"/>
      <c r="F51" s="12"/>
      <c r="G51" s="13"/>
      <c r="H51" s="1"/>
      <c r="I51" s="1"/>
      <c r="J51" s="1"/>
      <c r="K51" s="14"/>
      <c r="L51" s="14"/>
      <c r="M51" s="14"/>
      <c r="N51" s="1"/>
      <c r="O51" s="1"/>
      <c r="P51" s="1"/>
    </row>
  </sheetData>
  <mergeCells count="7">
    <mergeCell ref="N40:N41"/>
    <mergeCell ref="A1:F1"/>
    <mergeCell ref="J1:N1"/>
    <mergeCell ref="L2:N2"/>
    <mergeCell ref="N4:N5"/>
    <mergeCell ref="N20:N21"/>
    <mergeCell ref="N30:N31"/>
  </mergeCells>
  <conditionalFormatting sqref="B2">
    <cfRule type="duplicateValues" dxfId="133" priority="52"/>
    <cfRule type="duplicateValues" dxfId="132" priority="51"/>
  </conditionalFormatting>
  <conditionalFormatting sqref="B4:B18 B20:B28 B30:B38 B40:B48 B50:B51">
    <cfRule type="duplicateValues" dxfId="131" priority="43"/>
  </conditionalFormatting>
  <conditionalFormatting sqref="C2:D2">
    <cfRule type="duplicateValues" dxfId="130" priority="53"/>
    <cfRule type="duplicateValues" dxfId="129" priority="54"/>
  </conditionalFormatting>
  <conditionalFormatting sqref="D3">
    <cfRule type="duplicateValues" dxfId="127" priority="50"/>
    <cfRule type="duplicateValues" dxfId="126" priority="49"/>
  </conditionalFormatting>
  <conditionalFormatting sqref="D19">
    <cfRule type="duplicateValues" dxfId="120" priority="26"/>
    <cfRule type="duplicateValues" dxfId="119" priority="27"/>
  </conditionalFormatting>
  <conditionalFormatting sqref="D29">
    <cfRule type="duplicateValues" dxfId="118" priority="20"/>
    <cfRule type="duplicateValues" dxfId="116" priority="19"/>
  </conditionalFormatting>
  <conditionalFormatting sqref="D39">
    <cfRule type="duplicateValues" dxfId="115" priority="12"/>
    <cfRule type="duplicateValues" dxfId="113" priority="13"/>
  </conditionalFormatting>
  <conditionalFormatting sqref="D49">
    <cfRule type="duplicateValues" dxfId="112" priority="5"/>
    <cfRule type="duplicateValues" dxfId="110" priority="6"/>
  </conditionalFormatting>
  <hyperlinks>
    <hyperlink ref="B50" r:id="rId1" display="http://192.168.1.249/downloads/temp/X539_eNagare_20251126.log" xr:uid="{ED5CE3D2-0C36-4653-90F4-BB9BFF229E7D}"/>
  </hyperlinks>
  <pageMargins left="0.17" right="0.17" top="0.17" bottom="0.17" header="0.17" footer="0.3"/>
  <pageSetup paperSize="9" scale="74" orientation="landscape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operator="containsText" text="17521M68PA0" id="{0FA396DE-B4FE-4061-B8A5-A49A64686D0C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C4:D18 C20:D28 C30:D38 C40:D48 C50:D51</xm:sqref>
        </x14:conditionalFormatting>
        <x14:conditionalFormatting xmlns:xm="http://schemas.microsoft.com/office/excel/2006/main">
          <x14:cfRule type="containsText" priority="59" operator="containsText" text="17521M68PA0" id="{013E5B67-EEE7-466C-B5E3-0A7D7F1CC1AA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1" operator="containsText" text="17521M74T00" id="{27BBB788-7B0B-4185-81C8-768EE2382C48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0" operator="containsText" text="17521M68PA0" id="{87BC202A-93F9-4320-8E13-BFF4997D27AF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29" operator="containsText" text="17521M74T00" id="{93986473-81B3-443E-92EC-2AEDF3C3A3BB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D4:D18 D20:D28 D30:D38 D40:D48 D50:D51</xm:sqref>
        </x14:conditionalFormatting>
        <x14:conditionalFormatting xmlns:xm="http://schemas.microsoft.com/office/excel/2006/main">
          <x14:cfRule type="containsText" priority="28" operator="containsText" text="17521M68PA0" id="{3856A520-748F-4837-8998-75EA5A1185BE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containsText" priority="21" operator="containsText" text="17521M68PA0" id="{3C833014-8422-403E-BD16-5DC1606C17B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containsText" priority="14" operator="containsText" text="17521M68PA0" id="{63698730-1084-4E0F-B4D1-FBB4A7752C2E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ontainsText" priority="7" operator="containsText" text="17521M68PA0" id="{6728BC04-62F3-4896-9F5E-356F5CAB4493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D49</xm:sqref>
        </x14:conditionalFormatting>
        <x14:conditionalFormatting xmlns:xm="http://schemas.microsoft.com/office/excel/2006/main">
          <x14:cfRule type="containsText" priority="55" operator="containsText" text="17521M68PA0" id="{F6DD071B-CCCA-407D-B371-E5ADCA85FA01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6" operator="containsText" text="17521M74T00" id="{AB8D0A97-E892-41FE-A1B4-88A75FCAF95D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6" operator="containsText" text="BELT,WATER PUMP - 7PK 975" id="{2FAB4005-B686-4FE1-AE64-3AC547E7344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1" operator="containsText" text="BELT,WATER PUMP - 5PK 913" id="{EAD3581C-EB56-4235-8C5D-E657CD29F337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E3:E51</xm:sqref>
        </x14:conditionalFormatting>
        <x14:conditionalFormatting xmlns:xm="http://schemas.microsoft.com/office/excel/2006/main">
          <x14:cfRule type="containsText" priority="23" operator="containsText" text="BELT,WATER PUMP - 7PK 975" id="{B8EB5644-168A-4B0E-A486-AAC8677AFEF4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containsText" priority="16" operator="containsText" text="BELT,WATER PUMP - 7PK 975" id="{A94A39DC-A2C6-467B-9AA5-82BCB2A6E29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containsText" priority="9" operator="containsText" text="BELT,WATER PUMP - 7PK 975" id="{08BACB44-910F-473D-8E21-6F56B3BF3391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E39</xm:sqref>
        </x14:conditionalFormatting>
        <x14:conditionalFormatting xmlns:xm="http://schemas.microsoft.com/office/excel/2006/main">
          <x14:cfRule type="containsText" priority="2" operator="containsText" text="BELT,WATER PUMP - 7PK 975" id="{DE29332B-EDC0-45CC-A4D6-948242CE5C68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E49</xm:sqref>
        </x14:conditionalFormatting>
        <x14:conditionalFormatting xmlns:xm="http://schemas.microsoft.com/office/excel/2006/main">
          <x14:cfRule type="containsText" priority="57" operator="containsText" text="BELT,WATER PUMP - 5PK 913" id="{8985DAB8-A45B-4B69-A9E1-998B652212CF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8" operator="containsText" text="BELT,WATER PUMP - 7PK 975" id="{C0C4AC20-2CBB-4292-94F3-4A75E25866A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7" operator="containsText" text="5PK 913" id="{F8760287-913A-4AD6-BC92-1478D87C012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8" operator="containsText" text="7PK 975" id="{2D11DCE1-97B4-4AD3-9D1D-EB27C35FDF2E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5" operator="containsText" text="7PK 975" id="{8FD944A8-7BE0-4964-A35D-2392EF979046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" operator="containsText" text="5PK 913" id="{AAC25B84-3D4D-4D01-833B-EA793FBE4962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P19</xm:sqref>
        </x14:conditionalFormatting>
        <x14:conditionalFormatting xmlns:xm="http://schemas.microsoft.com/office/excel/2006/main">
          <x14:cfRule type="containsText" priority="18" operator="containsText" text="7PK 975" id="{8ECD3820-0B5D-46E1-9DD4-1FF3F2CF9859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7" operator="containsText" text="5PK 913" id="{6BF46108-9675-4116-9EB1-AE49D93F6CC0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P29</xm:sqref>
        </x14:conditionalFormatting>
        <x14:conditionalFormatting xmlns:xm="http://schemas.microsoft.com/office/excel/2006/main">
          <x14:cfRule type="containsText" priority="10" operator="containsText" text="5PK 913" id="{AE34FAFC-AEEA-4C87-882D-EE9D2CE7BA23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1" operator="containsText" text="7PK 975" id="{B135E169-7FD9-43E7-8E19-28C0BBC29E97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P39</xm:sqref>
        </x14:conditionalFormatting>
        <x14:conditionalFormatting xmlns:xm="http://schemas.microsoft.com/office/excel/2006/main">
          <x14:cfRule type="containsText" priority="3" operator="containsText" text="5PK 913" id="{9107EBEE-A0D7-4FE8-96AA-468F0C0CF0D7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" operator="containsText" text="7PK 975" id="{DEB14C5A-B4B6-40C7-83C2-0B57DA71BB4D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P49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11E6-8E8F-457F-9FFD-4B395B264A3B}">
  <sheetPr>
    <pageSetUpPr fitToPage="1"/>
  </sheetPr>
  <dimension ref="A1:S10"/>
  <sheetViews>
    <sheetView topLeftCell="B1" workbookViewId="0">
      <selection activeCell="F29" sqref="F29"/>
    </sheetView>
  </sheetViews>
  <sheetFormatPr defaultColWidth="104" defaultRowHeight="15" x14ac:dyDescent="0.25"/>
  <cols>
    <col min="1" max="1" width="12.28515625" bestFit="1" customWidth="1"/>
    <col min="2" max="2" width="17.85546875" bestFit="1" customWidth="1"/>
    <col min="3" max="3" width="18" bestFit="1" customWidth="1"/>
    <col min="4" max="4" width="22" customWidth="1"/>
    <col min="5" max="5" width="14.7109375" bestFit="1" customWidth="1"/>
    <col min="6" max="6" width="16.7109375" bestFit="1" customWidth="1"/>
    <col min="7" max="7" width="21.140625" bestFit="1" customWidth="1"/>
    <col min="8" max="8" width="22" bestFit="1" customWidth="1"/>
    <col min="9" max="9" width="16.28515625" bestFit="1" customWidth="1"/>
    <col min="10" max="10" width="10.7109375" bestFit="1" customWidth="1"/>
    <col min="11" max="11" width="9.140625" bestFit="1" customWidth="1"/>
    <col min="12" max="12" width="10.140625" bestFit="1" customWidth="1"/>
    <col min="13" max="13" width="11" bestFit="1" customWidth="1"/>
    <col min="14" max="14" width="20.140625" bestFit="1" customWidth="1"/>
    <col min="15" max="15" width="20.5703125" bestFit="1" customWidth="1"/>
    <col min="16" max="16" width="8.42578125" bestFit="1" customWidth="1"/>
    <col min="17" max="17" width="9.5703125" bestFit="1" customWidth="1"/>
    <col min="18" max="18" width="10.140625" bestFit="1" customWidth="1"/>
    <col min="19" max="19" width="26.140625" bestFit="1" customWidth="1"/>
  </cols>
  <sheetData>
    <row r="1" spans="1:19" ht="21.75" thickBot="1" x14ac:dyDescent="0.4">
      <c r="A1" s="71" t="s">
        <v>1381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50"/>
      <c r="M1" s="50"/>
      <c r="N1" s="50"/>
      <c r="O1" s="50"/>
      <c r="P1" s="50"/>
      <c r="Q1" s="50"/>
      <c r="R1" s="50"/>
      <c r="S1" s="50"/>
    </row>
    <row r="2" spans="1:19" ht="15.75" thickBot="1" x14ac:dyDescent="0.3">
      <c r="A2" s="53" t="s">
        <v>1357</v>
      </c>
      <c r="B2" s="53" t="s">
        <v>654</v>
      </c>
      <c r="C2" s="53" t="s">
        <v>655</v>
      </c>
      <c r="D2" s="9" t="s">
        <v>75</v>
      </c>
      <c r="E2" s="53" t="s">
        <v>656</v>
      </c>
      <c r="F2" s="53" t="s">
        <v>661</v>
      </c>
      <c r="G2" s="53" t="s">
        <v>657</v>
      </c>
      <c r="H2" s="53" t="s">
        <v>658</v>
      </c>
      <c r="I2" s="9" t="s">
        <v>79</v>
      </c>
      <c r="J2" s="9" t="s">
        <v>83</v>
      </c>
      <c r="K2" s="53" t="s">
        <v>1373</v>
      </c>
      <c r="L2" s="51" t="s">
        <v>660</v>
      </c>
      <c r="M2" s="49" t="s">
        <v>662</v>
      </c>
      <c r="N2" s="49" t="s">
        <v>663</v>
      </c>
      <c r="O2" s="49" t="s">
        <v>664</v>
      </c>
      <c r="P2" s="49" t="s">
        <v>665</v>
      </c>
      <c r="Q2" s="49" t="s">
        <v>666</v>
      </c>
      <c r="R2" s="49" t="s">
        <v>667</v>
      </c>
      <c r="S2" s="49" t="s">
        <v>668</v>
      </c>
    </row>
    <row r="3" spans="1:19" ht="15.75" thickBot="1" x14ac:dyDescent="0.3">
      <c r="A3" s="54" t="s">
        <v>734</v>
      </c>
      <c r="B3" s="55">
        <v>45986</v>
      </c>
      <c r="C3" s="55">
        <v>45988</v>
      </c>
      <c r="D3" s="54" t="s">
        <v>1383</v>
      </c>
      <c r="E3" s="54" t="s">
        <v>669</v>
      </c>
      <c r="F3" s="62" t="s">
        <v>1362</v>
      </c>
      <c r="G3" s="61" t="s">
        <v>23</v>
      </c>
      <c r="H3" s="54">
        <v>100</v>
      </c>
      <c r="I3" s="54">
        <v>1</v>
      </c>
      <c r="J3" s="1" t="s">
        <v>166</v>
      </c>
      <c r="K3" s="54"/>
      <c r="L3" s="52" t="s">
        <v>735</v>
      </c>
      <c r="M3" s="42" t="s">
        <v>671</v>
      </c>
      <c r="N3" s="42" t="s">
        <v>737</v>
      </c>
      <c r="O3" s="42" t="s">
        <v>738</v>
      </c>
      <c r="P3" s="42">
        <v>4259</v>
      </c>
      <c r="Q3" s="42">
        <v>1</v>
      </c>
      <c r="R3" s="42"/>
      <c r="S3" s="44" t="s">
        <v>739</v>
      </c>
    </row>
    <row r="4" spans="1:19" ht="15.75" thickBot="1" x14ac:dyDescent="0.3">
      <c r="A4" s="54" t="s">
        <v>734</v>
      </c>
      <c r="B4" s="55">
        <v>45986</v>
      </c>
      <c r="C4" s="55">
        <v>45988</v>
      </c>
      <c r="D4" s="54" t="s">
        <v>1383</v>
      </c>
      <c r="E4" s="54" t="s">
        <v>669</v>
      </c>
      <c r="F4" s="62" t="s">
        <v>1369</v>
      </c>
      <c r="G4" s="61" t="s">
        <v>1368</v>
      </c>
      <c r="H4" s="54">
        <v>180</v>
      </c>
      <c r="I4" s="54">
        <v>18</v>
      </c>
      <c r="J4" s="1" t="s">
        <v>166</v>
      </c>
      <c r="K4" s="54"/>
      <c r="L4" s="52" t="s">
        <v>735</v>
      </c>
      <c r="M4" s="42" t="s">
        <v>671</v>
      </c>
      <c r="N4" s="42" t="s">
        <v>737</v>
      </c>
      <c r="O4" s="42" t="s">
        <v>738</v>
      </c>
      <c r="P4" s="42">
        <v>380</v>
      </c>
      <c r="Q4" s="42">
        <v>2</v>
      </c>
      <c r="R4" s="42"/>
      <c r="S4" s="44" t="s">
        <v>739</v>
      </c>
    </row>
    <row r="5" spans="1:19" ht="15.75" thickBot="1" x14ac:dyDescent="0.3">
      <c r="A5" s="54" t="s">
        <v>734</v>
      </c>
      <c r="B5" s="55">
        <v>45986</v>
      </c>
      <c r="C5" s="55">
        <v>45988</v>
      </c>
      <c r="D5" s="54" t="s">
        <v>1383</v>
      </c>
      <c r="E5" s="54" t="s">
        <v>669</v>
      </c>
      <c r="F5" s="62" t="s">
        <v>1363</v>
      </c>
      <c r="G5" s="61" t="s">
        <v>45</v>
      </c>
      <c r="H5" s="54">
        <v>100</v>
      </c>
      <c r="I5" s="54">
        <v>1</v>
      </c>
      <c r="J5" s="1" t="s">
        <v>166</v>
      </c>
      <c r="K5" s="54"/>
      <c r="L5" s="52" t="s">
        <v>735</v>
      </c>
      <c r="M5" s="42" t="s">
        <v>671</v>
      </c>
      <c r="N5" s="42" t="s">
        <v>737</v>
      </c>
      <c r="O5" s="42" t="s">
        <v>738</v>
      </c>
      <c r="P5" s="42">
        <v>3733.5</v>
      </c>
      <c r="Q5" s="42">
        <v>3</v>
      </c>
      <c r="R5" s="42"/>
      <c r="S5" s="44" t="s">
        <v>739</v>
      </c>
    </row>
    <row r="6" spans="1:19" ht="15.75" thickBot="1" x14ac:dyDescent="0.3">
      <c r="A6" s="54" t="s">
        <v>734</v>
      </c>
      <c r="B6" s="55">
        <v>45986</v>
      </c>
      <c r="C6" s="55">
        <v>45988</v>
      </c>
      <c r="D6" s="54" t="s">
        <v>1383</v>
      </c>
      <c r="E6" s="54" t="s">
        <v>669</v>
      </c>
      <c r="F6" s="62" t="s">
        <v>1371</v>
      </c>
      <c r="G6" s="61" t="s">
        <v>1370</v>
      </c>
      <c r="H6" s="54">
        <v>30</v>
      </c>
      <c r="I6" s="54">
        <v>10</v>
      </c>
      <c r="J6" s="1" t="s">
        <v>166</v>
      </c>
      <c r="K6" s="54"/>
      <c r="L6" s="52" t="s">
        <v>735</v>
      </c>
      <c r="M6" s="42" t="s">
        <v>671</v>
      </c>
      <c r="N6" s="42" t="s">
        <v>737</v>
      </c>
      <c r="O6" s="42" t="s">
        <v>738</v>
      </c>
      <c r="P6" s="42">
        <v>920.5</v>
      </c>
      <c r="Q6" s="42">
        <v>4</v>
      </c>
      <c r="R6" s="42"/>
      <c r="S6" s="44" t="s">
        <v>739</v>
      </c>
    </row>
    <row r="7" spans="1:19" ht="15.75" thickBot="1" x14ac:dyDescent="0.3">
      <c r="A7" s="54" t="s">
        <v>734</v>
      </c>
      <c r="B7" s="55">
        <v>45986</v>
      </c>
      <c r="C7" s="55">
        <v>45988</v>
      </c>
      <c r="D7" s="54" t="s">
        <v>1383</v>
      </c>
      <c r="E7" s="54" t="s">
        <v>669</v>
      </c>
      <c r="F7" s="62" t="s">
        <v>1365</v>
      </c>
      <c r="G7" s="61" t="s">
        <v>1364</v>
      </c>
      <c r="H7" s="54">
        <v>100</v>
      </c>
      <c r="I7" s="54">
        <v>10</v>
      </c>
      <c r="J7" s="1" t="s">
        <v>166</v>
      </c>
      <c r="K7" s="54"/>
      <c r="L7" s="52" t="s">
        <v>735</v>
      </c>
      <c r="M7" s="42" t="s">
        <v>671</v>
      </c>
      <c r="N7" s="42" t="s">
        <v>737</v>
      </c>
      <c r="O7" s="42" t="s">
        <v>738</v>
      </c>
      <c r="P7" s="42">
        <v>843.5</v>
      </c>
      <c r="Q7" s="42">
        <v>5</v>
      </c>
      <c r="R7" s="42"/>
      <c r="S7" s="44" t="s">
        <v>739</v>
      </c>
    </row>
    <row r="8" spans="1:19" ht="15.75" thickBot="1" x14ac:dyDescent="0.3">
      <c r="A8" s="54" t="s">
        <v>734</v>
      </c>
      <c r="B8" s="55">
        <v>45986</v>
      </c>
      <c r="C8" s="55">
        <v>45988</v>
      </c>
      <c r="D8" s="54" t="s">
        <v>1383</v>
      </c>
      <c r="E8" s="54" t="s">
        <v>669</v>
      </c>
      <c r="F8" s="62" t="s">
        <v>1359</v>
      </c>
      <c r="G8" s="61" t="s">
        <v>1358</v>
      </c>
      <c r="H8" s="54">
        <v>10</v>
      </c>
      <c r="I8" s="54">
        <v>1</v>
      </c>
      <c r="J8" s="1" t="s">
        <v>166</v>
      </c>
      <c r="K8" s="54"/>
      <c r="L8" s="52" t="s">
        <v>735</v>
      </c>
      <c r="M8" s="42" t="s">
        <v>671</v>
      </c>
      <c r="N8" s="42" t="s">
        <v>737</v>
      </c>
      <c r="O8" s="42" t="s">
        <v>738</v>
      </c>
      <c r="P8" s="42">
        <v>6452</v>
      </c>
      <c r="Q8" s="42">
        <v>6</v>
      </c>
      <c r="R8" s="42"/>
      <c r="S8" s="44" t="s">
        <v>739</v>
      </c>
    </row>
    <row r="9" spans="1:19" ht="15.75" thickBot="1" x14ac:dyDescent="0.3">
      <c r="A9" s="54" t="s">
        <v>734</v>
      </c>
      <c r="B9" s="55">
        <v>45986</v>
      </c>
      <c r="C9" s="55">
        <v>45988</v>
      </c>
      <c r="D9" s="54" t="s">
        <v>1383</v>
      </c>
      <c r="E9" s="54" t="s">
        <v>669</v>
      </c>
      <c r="F9" s="62" t="s">
        <v>1361</v>
      </c>
      <c r="G9" s="61" t="s">
        <v>1360</v>
      </c>
      <c r="H9" s="54">
        <v>10</v>
      </c>
      <c r="I9" s="54">
        <v>1</v>
      </c>
      <c r="J9" s="1" t="s">
        <v>166</v>
      </c>
      <c r="K9" s="54"/>
      <c r="L9" s="52" t="s">
        <v>735</v>
      </c>
      <c r="M9" s="42" t="s">
        <v>671</v>
      </c>
      <c r="N9" s="42" t="s">
        <v>737</v>
      </c>
      <c r="O9" s="42" t="s">
        <v>738</v>
      </c>
      <c r="P9" s="42">
        <v>6452</v>
      </c>
      <c r="Q9" s="42">
        <v>7</v>
      </c>
      <c r="R9" s="42"/>
      <c r="S9" s="44" t="s">
        <v>739</v>
      </c>
    </row>
    <row r="10" spans="1:19" ht="15.75" thickBot="1" x14ac:dyDescent="0.3">
      <c r="A10" s="54" t="s">
        <v>734</v>
      </c>
      <c r="B10" s="55">
        <v>45986</v>
      </c>
      <c r="C10" s="55">
        <v>45988</v>
      </c>
      <c r="D10" s="54" t="s">
        <v>1383</v>
      </c>
      <c r="E10" s="54" t="s">
        <v>669</v>
      </c>
      <c r="F10" s="62" t="s">
        <v>1367</v>
      </c>
      <c r="G10" s="61" t="s">
        <v>1366</v>
      </c>
      <c r="H10" s="54">
        <v>100</v>
      </c>
      <c r="I10" s="54">
        <v>10</v>
      </c>
      <c r="J10" s="1" t="s">
        <v>166</v>
      </c>
      <c r="K10" s="54"/>
      <c r="L10" s="52" t="s">
        <v>735</v>
      </c>
      <c r="M10" s="42" t="s">
        <v>671</v>
      </c>
      <c r="N10" s="42" t="s">
        <v>737</v>
      </c>
      <c r="O10" s="42" t="s">
        <v>738</v>
      </c>
      <c r="P10" s="42">
        <v>380</v>
      </c>
      <c r="Q10" s="42">
        <v>8</v>
      </c>
      <c r="R10" s="42"/>
      <c r="S10" s="44" t="s">
        <v>739</v>
      </c>
    </row>
  </sheetData>
  <autoFilter ref="A2:S2" xr:uid="{69A311E6-8E8F-457F-9FFD-4B395B264A3B}">
    <sortState xmlns:xlrd2="http://schemas.microsoft.com/office/spreadsheetml/2017/richdata2" ref="A3:S10">
      <sortCondition ref="Q2"/>
    </sortState>
  </autoFilter>
  <mergeCells count="1">
    <mergeCell ref="A1:K1"/>
  </mergeCells>
  <pageMargins left="0.17" right="0.17" top="0.37" bottom="0.75" header="0.3" footer="0.3"/>
  <pageSetup paperSize="9" scale="4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1191-C3ED-4FF2-9160-C92685484C77}">
  <sheetPr>
    <pageSetUpPr fitToPage="1"/>
  </sheetPr>
  <dimension ref="A1:S9"/>
  <sheetViews>
    <sheetView topLeftCell="B1" workbookViewId="0">
      <selection activeCell="F16" sqref="F16"/>
    </sheetView>
  </sheetViews>
  <sheetFormatPr defaultColWidth="121.140625" defaultRowHeight="15" x14ac:dyDescent="0.25"/>
  <cols>
    <col min="1" max="1" width="12.28515625" bestFit="1" customWidth="1"/>
    <col min="2" max="2" width="17.85546875" bestFit="1" customWidth="1"/>
    <col min="3" max="3" width="18" bestFit="1" customWidth="1"/>
    <col min="4" max="4" width="24" customWidth="1"/>
    <col min="5" max="5" width="14.7109375" bestFit="1" customWidth="1"/>
    <col min="6" max="6" width="17.28515625" bestFit="1" customWidth="1"/>
    <col min="7" max="7" width="21.140625" bestFit="1" customWidth="1"/>
    <col min="8" max="8" width="22" bestFit="1" customWidth="1"/>
    <col min="9" max="9" width="16.28515625" bestFit="1" customWidth="1"/>
    <col min="10" max="10" width="10.7109375" bestFit="1" customWidth="1"/>
    <col min="11" max="11" width="12.42578125" customWidth="1"/>
    <col min="12" max="12" width="10.140625" bestFit="1" customWidth="1"/>
    <col min="13" max="13" width="11" bestFit="1" customWidth="1"/>
    <col min="14" max="14" width="20.140625" bestFit="1" customWidth="1"/>
    <col min="15" max="15" width="20.5703125" bestFit="1" customWidth="1"/>
    <col min="16" max="16" width="8.42578125" bestFit="1" customWidth="1"/>
    <col min="17" max="17" width="9.5703125" bestFit="1" customWidth="1"/>
    <col min="18" max="18" width="10.140625" bestFit="1" customWidth="1"/>
    <col min="19" max="19" width="26.140625" bestFit="1" customWidth="1"/>
  </cols>
  <sheetData>
    <row r="1" spans="1:19" ht="21.75" thickBot="1" x14ac:dyDescent="0.4">
      <c r="B1" s="71" t="s">
        <v>1372</v>
      </c>
      <c r="C1" s="71"/>
      <c r="D1" s="71"/>
      <c r="E1" s="71"/>
      <c r="F1" s="71"/>
      <c r="G1" s="71"/>
      <c r="H1" s="71"/>
      <c r="I1" s="71"/>
      <c r="J1" s="71"/>
      <c r="K1" s="71"/>
      <c r="L1" s="58"/>
    </row>
    <row r="2" spans="1:19" ht="15.75" thickBot="1" x14ac:dyDescent="0.3">
      <c r="A2" s="56" t="s">
        <v>1357</v>
      </c>
      <c r="B2" s="53" t="s">
        <v>654</v>
      </c>
      <c r="C2" s="53" t="s">
        <v>655</v>
      </c>
      <c r="D2" s="9" t="s">
        <v>75</v>
      </c>
      <c r="E2" s="53" t="s">
        <v>656</v>
      </c>
      <c r="F2" s="53" t="s">
        <v>661</v>
      </c>
      <c r="G2" s="53" t="s">
        <v>657</v>
      </c>
      <c r="H2" s="53" t="s">
        <v>658</v>
      </c>
      <c r="I2" s="9" t="s">
        <v>79</v>
      </c>
      <c r="J2" s="9" t="s">
        <v>83</v>
      </c>
      <c r="K2" s="9" t="s">
        <v>1373</v>
      </c>
      <c r="L2" s="59" t="s">
        <v>660</v>
      </c>
      <c r="M2" s="51" t="s">
        <v>662</v>
      </c>
      <c r="N2" s="49" t="s">
        <v>663</v>
      </c>
      <c r="O2" s="49" t="s">
        <v>664</v>
      </c>
      <c r="P2" s="49" t="s">
        <v>665</v>
      </c>
      <c r="Q2" s="49" t="s">
        <v>666</v>
      </c>
      <c r="R2" s="49" t="s">
        <v>667</v>
      </c>
      <c r="S2" s="49" t="s">
        <v>668</v>
      </c>
    </row>
    <row r="3" spans="1:19" ht="15.75" thickBot="1" x14ac:dyDescent="0.3">
      <c r="A3" s="57" t="s">
        <v>734</v>
      </c>
      <c r="B3" s="55">
        <v>45992</v>
      </c>
      <c r="C3" s="55">
        <v>45988</v>
      </c>
      <c r="D3" s="54" t="s">
        <v>1382</v>
      </c>
      <c r="E3" s="54" t="s">
        <v>669</v>
      </c>
      <c r="F3" s="54" t="s">
        <v>1374</v>
      </c>
      <c r="G3" s="54" t="s">
        <v>1360</v>
      </c>
      <c r="H3" s="60">
        <v>20</v>
      </c>
      <c r="I3" s="60">
        <v>1</v>
      </c>
      <c r="J3" s="1" t="s">
        <v>171</v>
      </c>
      <c r="K3" s="54">
        <v>1</v>
      </c>
      <c r="L3" s="52" t="s">
        <v>735</v>
      </c>
      <c r="M3" s="42" t="s">
        <v>671</v>
      </c>
      <c r="N3" s="42" t="s">
        <v>737</v>
      </c>
      <c r="O3" s="42" t="s">
        <v>738</v>
      </c>
      <c r="P3" s="42">
        <v>6452</v>
      </c>
      <c r="Q3" s="42"/>
      <c r="R3" s="42"/>
      <c r="S3" s="44" t="s">
        <v>739</v>
      </c>
    </row>
    <row r="4" spans="1:19" ht="15.75" thickBot="1" x14ac:dyDescent="0.3">
      <c r="A4" s="57" t="s">
        <v>734</v>
      </c>
      <c r="B4" s="55">
        <v>45986</v>
      </c>
      <c r="C4" s="55">
        <v>45988</v>
      </c>
      <c r="D4" s="54" t="s">
        <v>1382</v>
      </c>
      <c r="E4" s="54" t="s">
        <v>669</v>
      </c>
      <c r="F4" s="54" t="s">
        <v>1375</v>
      </c>
      <c r="G4" s="54" t="s">
        <v>1360</v>
      </c>
      <c r="H4" s="60">
        <v>20</v>
      </c>
      <c r="I4" s="60">
        <v>1</v>
      </c>
      <c r="J4" s="1" t="s">
        <v>171</v>
      </c>
      <c r="K4" s="54">
        <v>1</v>
      </c>
      <c r="L4" s="52" t="s">
        <v>735</v>
      </c>
      <c r="M4" s="42" t="s">
        <v>671</v>
      </c>
      <c r="N4" s="42" t="s">
        <v>737</v>
      </c>
      <c r="O4" s="42" t="s">
        <v>738</v>
      </c>
      <c r="P4" s="42">
        <v>6452</v>
      </c>
      <c r="Q4" s="42"/>
      <c r="R4" s="42"/>
      <c r="S4" s="44" t="s">
        <v>739</v>
      </c>
    </row>
    <row r="5" spans="1:19" ht="15.75" thickBot="1" x14ac:dyDescent="0.3">
      <c r="A5" s="57" t="s">
        <v>734</v>
      </c>
      <c r="B5" s="55">
        <v>45986</v>
      </c>
      <c r="C5" s="55">
        <v>45988</v>
      </c>
      <c r="D5" s="54" t="s">
        <v>1382</v>
      </c>
      <c r="E5" s="54" t="s">
        <v>669</v>
      </c>
      <c r="F5" s="54" t="s">
        <v>1377</v>
      </c>
      <c r="G5" s="54" t="s">
        <v>1364</v>
      </c>
      <c r="H5" s="60">
        <v>20</v>
      </c>
      <c r="I5" s="60">
        <v>10</v>
      </c>
      <c r="J5" s="1" t="s">
        <v>171</v>
      </c>
      <c r="K5" s="54">
        <v>2</v>
      </c>
      <c r="L5" s="52" t="s">
        <v>735</v>
      </c>
      <c r="M5" s="42" t="s">
        <v>671</v>
      </c>
      <c r="N5" s="42" t="s">
        <v>737</v>
      </c>
      <c r="O5" s="42" t="s">
        <v>738</v>
      </c>
      <c r="P5" s="42">
        <v>843.5</v>
      </c>
      <c r="Q5" s="42"/>
      <c r="R5" s="42"/>
      <c r="S5" s="44" t="s">
        <v>739</v>
      </c>
    </row>
    <row r="6" spans="1:19" ht="15.75" thickBot="1" x14ac:dyDescent="0.3">
      <c r="A6" s="57" t="s">
        <v>734</v>
      </c>
      <c r="B6" s="55">
        <v>45986</v>
      </c>
      <c r="C6" s="55">
        <v>45988</v>
      </c>
      <c r="D6" s="54" t="s">
        <v>1382</v>
      </c>
      <c r="E6" s="54" t="s">
        <v>669</v>
      </c>
      <c r="F6" s="54" t="s">
        <v>1379</v>
      </c>
      <c r="G6" s="54" t="s">
        <v>1370</v>
      </c>
      <c r="H6" s="60">
        <v>20</v>
      </c>
      <c r="I6" s="60">
        <v>10</v>
      </c>
      <c r="J6" s="1" t="s">
        <v>171</v>
      </c>
      <c r="K6" s="54">
        <v>3</v>
      </c>
      <c r="L6" s="52" t="s">
        <v>735</v>
      </c>
      <c r="M6" s="42" t="s">
        <v>671</v>
      </c>
      <c r="N6" s="42" t="s">
        <v>737</v>
      </c>
      <c r="O6" s="42" t="s">
        <v>738</v>
      </c>
      <c r="P6" s="42">
        <v>920.5</v>
      </c>
      <c r="Q6" s="42"/>
      <c r="R6" s="42"/>
      <c r="S6" s="44" t="s">
        <v>739</v>
      </c>
    </row>
    <row r="7" spans="1:19" ht="15.75" thickBot="1" x14ac:dyDescent="0.3">
      <c r="A7" s="57" t="s">
        <v>734</v>
      </c>
      <c r="B7" s="55">
        <v>45986</v>
      </c>
      <c r="C7" s="55">
        <v>45988</v>
      </c>
      <c r="D7" s="54" t="s">
        <v>1382</v>
      </c>
      <c r="E7" s="54" t="s">
        <v>669</v>
      </c>
      <c r="F7" s="54" t="s">
        <v>1380</v>
      </c>
      <c r="G7" s="54" t="s">
        <v>743</v>
      </c>
      <c r="H7" s="60">
        <v>20</v>
      </c>
      <c r="I7" s="60">
        <v>10</v>
      </c>
      <c r="J7" s="1" t="s">
        <v>171</v>
      </c>
      <c r="K7" s="54">
        <v>4</v>
      </c>
      <c r="L7" s="52" t="s">
        <v>735</v>
      </c>
      <c r="M7" s="42" t="s">
        <v>671</v>
      </c>
      <c r="N7" s="42" t="s">
        <v>737</v>
      </c>
      <c r="O7" s="42" t="s">
        <v>738</v>
      </c>
      <c r="P7" s="42">
        <v>751</v>
      </c>
      <c r="Q7" s="42"/>
      <c r="R7" s="42"/>
      <c r="S7" s="44" t="s">
        <v>739</v>
      </c>
    </row>
    <row r="8" spans="1:19" ht="15.75" thickBot="1" x14ac:dyDescent="0.3">
      <c r="A8" s="57" t="s">
        <v>734</v>
      </c>
      <c r="B8" s="55">
        <v>45986</v>
      </c>
      <c r="C8" s="55">
        <v>45988</v>
      </c>
      <c r="D8" s="54" t="s">
        <v>1382</v>
      </c>
      <c r="E8" s="54" t="s">
        <v>669</v>
      </c>
      <c r="F8" s="54" t="s">
        <v>1376</v>
      </c>
      <c r="G8" s="54" t="s">
        <v>45</v>
      </c>
      <c r="H8" s="60">
        <v>40</v>
      </c>
      <c r="I8" s="60">
        <v>1</v>
      </c>
      <c r="J8" s="1" t="s">
        <v>171</v>
      </c>
      <c r="K8" s="54">
        <v>5</v>
      </c>
      <c r="L8" s="52" t="s">
        <v>735</v>
      </c>
      <c r="M8" s="42" t="s">
        <v>671</v>
      </c>
      <c r="N8" s="42" t="s">
        <v>737</v>
      </c>
      <c r="O8" s="42" t="s">
        <v>738</v>
      </c>
      <c r="P8" s="42">
        <v>3733.5</v>
      </c>
      <c r="Q8" s="42"/>
      <c r="R8" s="42"/>
      <c r="S8" s="44" t="s">
        <v>739</v>
      </c>
    </row>
    <row r="9" spans="1:19" ht="15.75" thickBot="1" x14ac:dyDescent="0.3">
      <c r="A9" s="57" t="s">
        <v>734</v>
      </c>
      <c r="B9" s="55">
        <v>45986</v>
      </c>
      <c r="C9" s="55">
        <v>45988</v>
      </c>
      <c r="D9" s="54" t="s">
        <v>1382</v>
      </c>
      <c r="E9" s="54" t="s">
        <v>669</v>
      </c>
      <c r="F9" s="54" t="s">
        <v>1378</v>
      </c>
      <c r="G9" s="54" t="s">
        <v>747</v>
      </c>
      <c r="H9" s="60">
        <v>10</v>
      </c>
      <c r="I9" s="60">
        <v>10</v>
      </c>
      <c r="J9" s="1" t="s">
        <v>171</v>
      </c>
      <c r="K9" s="54">
        <v>6</v>
      </c>
      <c r="L9" s="52" t="s">
        <v>735</v>
      </c>
      <c r="M9" s="42" t="s">
        <v>671</v>
      </c>
      <c r="N9" s="42" t="s">
        <v>737</v>
      </c>
      <c r="O9" s="42" t="s">
        <v>738</v>
      </c>
      <c r="P9" s="42">
        <v>3917.5</v>
      </c>
      <c r="Q9" s="42"/>
      <c r="R9" s="42"/>
      <c r="S9" s="44" t="s">
        <v>739</v>
      </c>
    </row>
  </sheetData>
  <autoFilter ref="A2:S2" xr:uid="{ADF21191-C3ED-4FF2-9160-C92685484C77}">
    <sortState xmlns:xlrd2="http://schemas.microsoft.com/office/spreadsheetml/2017/richdata2" ref="A3:S9">
      <sortCondition ref="K2"/>
    </sortState>
  </autoFilter>
  <mergeCells count="1">
    <mergeCell ref="B1:K1"/>
  </mergeCells>
  <pageMargins left="0.17" right="0.17" top="0.43" bottom="0.75" header="0.3" footer="0.3"/>
  <pageSetup paperSize="9" scale="4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33C1-FE51-43DB-96E6-60857BC2A128}">
  <sheetPr>
    <pageSetUpPr fitToPage="1"/>
  </sheetPr>
  <dimension ref="A1:P51"/>
  <sheetViews>
    <sheetView topLeftCell="A19" workbookViewId="0">
      <selection activeCell="K52" sqref="K52"/>
    </sheetView>
  </sheetViews>
  <sheetFormatPr defaultColWidth="65.140625" defaultRowHeight="15" x14ac:dyDescent="0.25"/>
  <cols>
    <col min="1" max="1" width="15.425781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0" bestFit="1" customWidth="1"/>
    <col min="7" max="7" width="7" bestFit="1" customWidth="1"/>
    <col min="8" max="8" width="10.710937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customWidth="1"/>
    <col min="15" max="15" width="11.28515625" bestFit="1" customWidth="1"/>
    <col min="16" max="16" width="42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45989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/>
      <c r="P2" s="8"/>
    </row>
    <row r="3" spans="1:16" s="20" customFormat="1" ht="30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1429</v>
      </c>
      <c r="B4" s="16" t="s">
        <v>1384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45989</v>
      </c>
      <c r="G4" s="13">
        <v>0.47916666666666669</v>
      </c>
      <c r="H4" s="1" t="s">
        <v>9</v>
      </c>
      <c r="I4" s="1" t="s">
        <v>10</v>
      </c>
      <c r="J4" s="1">
        <v>18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1</v>
      </c>
      <c r="O4" s="1" t="s">
        <v>528</v>
      </c>
      <c r="P4" s="1" t="s">
        <v>1439</v>
      </c>
    </row>
    <row r="5" spans="1:16" x14ac:dyDescent="0.25">
      <c r="A5" s="15" t="s">
        <v>1429</v>
      </c>
      <c r="B5" s="16" t="s">
        <v>1389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45989</v>
      </c>
      <c r="G5" s="13">
        <v>0.47916666666666669</v>
      </c>
      <c r="H5" s="1" t="s">
        <v>9</v>
      </c>
      <c r="I5" s="1" t="s">
        <v>10</v>
      </c>
      <c r="J5" s="1">
        <v>18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528</v>
      </c>
      <c r="P5" s="1" t="s">
        <v>1439</v>
      </c>
    </row>
    <row r="6" spans="1:16" x14ac:dyDescent="0.25">
      <c r="A6" s="15" t="s">
        <v>1429</v>
      </c>
      <c r="B6" s="16" t="s">
        <v>1385</v>
      </c>
      <c r="C6" s="1" t="s">
        <v>7</v>
      </c>
      <c r="D6" s="1" t="str">
        <f>VLOOKUP($C6,Sheet2!$A$2:$B$10,2,0)</f>
        <v>141110-14600</v>
      </c>
      <c r="E6" s="7" t="s">
        <v>8</v>
      </c>
      <c r="F6" s="12">
        <v>45989</v>
      </c>
      <c r="G6" s="13">
        <v>0.47916666666666669</v>
      </c>
      <c r="H6" s="1" t="s">
        <v>9</v>
      </c>
      <c r="I6" s="1" t="s">
        <v>10</v>
      </c>
      <c r="J6" s="1">
        <v>18</v>
      </c>
      <c r="K6" s="14">
        <f>VLOOKUP($C6,Sheet2!$A$2:$D$10,4,0)</f>
        <v>18</v>
      </c>
      <c r="L6" s="14" t="str">
        <f>VLOOKUP($C6,Sheet2!$A$2:$E$10,5,0)</f>
        <v>Trolley (H)</v>
      </c>
      <c r="M6" s="14"/>
      <c r="N6" s="63">
        <v>1</v>
      </c>
      <c r="O6" s="1" t="s">
        <v>528</v>
      </c>
      <c r="P6" s="1" t="s">
        <v>1439</v>
      </c>
    </row>
    <row r="7" spans="1:16" x14ac:dyDescent="0.25">
      <c r="A7" s="15" t="s">
        <v>1429</v>
      </c>
      <c r="B7" s="16" t="s">
        <v>1390</v>
      </c>
      <c r="C7" s="1" t="s">
        <v>16</v>
      </c>
      <c r="D7" s="1" t="str">
        <f>VLOOKUP($C7,Sheet2!$A$2:$B$10,2,0)</f>
        <v>141120-14600</v>
      </c>
      <c r="E7" s="7" t="s">
        <v>17</v>
      </c>
      <c r="F7" s="12">
        <v>45989</v>
      </c>
      <c r="G7" s="13">
        <v>0.47916666666666669</v>
      </c>
      <c r="H7" s="1" t="s">
        <v>9</v>
      </c>
      <c r="I7" s="1" t="s">
        <v>10</v>
      </c>
      <c r="J7" s="1">
        <v>18</v>
      </c>
      <c r="K7" s="14">
        <f>VLOOKUP($C7,Sheet2!$A$2:$D$10,4,0)</f>
        <v>18</v>
      </c>
      <c r="L7" s="14" t="str">
        <f>VLOOKUP($C7,Sheet2!$A$2:$E$10,5,0)</f>
        <v>Trolley (H)</v>
      </c>
      <c r="M7" s="14"/>
      <c r="N7" s="64"/>
      <c r="O7" s="1" t="s">
        <v>528</v>
      </c>
      <c r="P7" s="1" t="s">
        <v>1439</v>
      </c>
    </row>
    <row r="8" spans="1:16" x14ac:dyDescent="0.25">
      <c r="A8" s="15" t="s">
        <v>1429</v>
      </c>
      <c r="B8" s="16" t="s">
        <v>1394</v>
      </c>
      <c r="C8" s="1" t="s">
        <v>23</v>
      </c>
      <c r="D8" s="1" t="str">
        <f>VLOOKUP($C8,Sheet2!$A$2:$B$10,2,0)</f>
        <v>141185-74670</v>
      </c>
      <c r="E8" s="7" t="s">
        <v>24</v>
      </c>
      <c r="F8" s="12">
        <v>45989</v>
      </c>
      <c r="G8" s="13">
        <v>0.47916666666666669</v>
      </c>
      <c r="H8" s="1" t="s">
        <v>9</v>
      </c>
      <c r="I8" s="1" t="s">
        <v>10</v>
      </c>
      <c r="J8" s="1">
        <v>80</v>
      </c>
      <c r="K8" s="14">
        <f>VLOOKUP($C8,Sheet2!$A$2:$D$10,4,0)</f>
        <v>40</v>
      </c>
      <c r="L8" s="14" t="str">
        <f>VLOOKUP($C8,Sheet2!$A$2:$E$10,5,0)</f>
        <v>Trolley</v>
      </c>
      <c r="M8" s="14"/>
      <c r="N8" s="1">
        <f>J8/K8</f>
        <v>2</v>
      </c>
      <c r="O8" s="1" t="s">
        <v>528</v>
      </c>
      <c r="P8" s="1">
        <v>910102394</v>
      </c>
    </row>
    <row r="9" spans="1:16" x14ac:dyDescent="0.25">
      <c r="A9" s="15" t="s">
        <v>1429</v>
      </c>
      <c r="B9" s="16" t="s">
        <v>1395</v>
      </c>
      <c r="C9" s="1" t="s">
        <v>23</v>
      </c>
      <c r="D9" s="1" t="str">
        <f>VLOOKUP($C9,Sheet2!$A$2:$B$10,2,0)</f>
        <v>141185-74670</v>
      </c>
      <c r="E9" s="7" t="s">
        <v>24</v>
      </c>
      <c r="F9" s="12">
        <v>45989</v>
      </c>
      <c r="G9" s="13">
        <v>0.47916666666666669</v>
      </c>
      <c r="H9" s="1" t="s">
        <v>9</v>
      </c>
      <c r="I9" s="1" t="s">
        <v>10</v>
      </c>
      <c r="J9" s="1">
        <v>40</v>
      </c>
      <c r="K9" s="14">
        <f>VLOOKUP($C9,Sheet2!$A$2:$D$10,4,0)</f>
        <v>40</v>
      </c>
      <c r="L9" s="14" t="str">
        <f>VLOOKUP($C9,Sheet2!$A$2:$E$10,5,0)</f>
        <v>Trolley</v>
      </c>
      <c r="M9" s="14"/>
      <c r="N9" s="1">
        <f>J9/K9</f>
        <v>1</v>
      </c>
      <c r="O9" s="1" t="s">
        <v>528</v>
      </c>
      <c r="P9" s="1">
        <v>910102394</v>
      </c>
    </row>
    <row r="10" spans="1:16" x14ac:dyDescent="0.25">
      <c r="A10" s="15" t="s">
        <v>1429</v>
      </c>
      <c r="B10" s="16" t="s">
        <v>1398</v>
      </c>
      <c r="C10" s="1" t="s">
        <v>29</v>
      </c>
      <c r="D10" s="1" t="str">
        <f>VLOOKUP($C10,Sheet2!$A$2:$B$10,2,0)</f>
        <v>141140-91211</v>
      </c>
      <c r="E10" s="7" t="s">
        <v>30</v>
      </c>
      <c r="F10" s="12">
        <v>45989</v>
      </c>
      <c r="G10" s="13">
        <v>0.47916666666666669</v>
      </c>
      <c r="H10" s="1" t="s">
        <v>31</v>
      </c>
      <c r="I10" s="1" t="s">
        <v>10</v>
      </c>
      <c r="J10" s="1">
        <v>26</v>
      </c>
      <c r="K10" s="14">
        <f>VLOOKUP($C10,Sheet2!$A$2:$D$10,4,0)</f>
        <v>2</v>
      </c>
      <c r="L10" s="14" t="str">
        <f>VLOOKUP($C10,Sheet2!$A$2:$E$10,5,0)</f>
        <v>Bin</v>
      </c>
      <c r="M10" s="14">
        <f>J10/K10</f>
        <v>13</v>
      </c>
      <c r="N10" s="1"/>
      <c r="O10" s="1" t="s">
        <v>528</v>
      </c>
      <c r="P10" s="1" t="s">
        <v>1441</v>
      </c>
    </row>
    <row r="11" spans="1:16" x14ac:dyDescent="0.25">
      <c r="A11" s="15" t="s">
        <v>1429</v>
      </c>
      <c r="B11" s="16" t="s">
        <v>1399</v>
      </c>
      <c r="C11" s="1" t="s">
        <v>29</v>
      </c>
      <c r="D11" s="1" t="str">
        <f>VLOOKUP($C11,Sheet2!$A$2:$B$10,2,0)</f>
        <v>141140-91211</v>
      </c>
      <c r="E11" s="7" t="s">
        <v>30</v>
      </c>
      <c r="F11" s="12">
        <v>45989</v>
      </c>
      <c r="G11" s="13">
        <v>0.47916666666666669</v>
      </c>
      <c r="H11" s="1" t="s">
        <v>31</v>
      </c>
      <c r="I11" s="1" t="s">
        <v>10</v>
      </c>
      <c r="J11" s="1">
        <v>22</v>
      </c>
      <c r="K11" s="14">
        <f>VLOOKUP($C11,Sheet2!$A$2:$D$10,4,0)</f>
        <v>2</v>
      </c>
      <c r="L11" s="14" t="str">
        <f>VLOOKUP($C11,Sheet2!$A$2:$E$10,5,0)</f>
        <v>Bin</v>
      </c>
      <c r="M11" s="14">
        <f t="shared" ref="M11:M13" si="0">J11/K11</f>
        <v>11</v>
      </c>
      <c r="N11" s="1"/>
      <c r="O11" s="1" t="s">
        <v>528</v>
      </c>
      <c r="P11" s="1" t="s">
        <v>1441</v>
      </c>
    </row>
    <row r="12" spans="1:16" x14ac:dyDescent="0.25">
      <c r="A12" s="15" t="s">
        <v>1429</v>
      </c>
      <c r="B12" s="16" t="s">
        <v>1403</v>
      </c>
      <c r="C12" s="1" t="s">
        <v>37</v>
      </c>
      <c r="D12" s="1" t="str">
        <f>VLOOKUP($C12,Sheet2!$A$2:$B$10,2,0)</f>
        <v>141150-91211</v>
      </c>
      <c r="E12" s="7" t="s">
        <v>38</v>
      </c>
      <c r="F12" s="12">
        <v>45989</v>
      </c>
      <c r="G12" s="13">
        <v>0.47916666666666669</v>
      </c>
      <c r="H12" s="1" t="s">
        <v>31</v>
      </c>
      <c r="I12" s="1" t="s">
        <v>10</v>
      </c>
      <c r="J12" s="1">
        <v>26</v>
      </c>
      <c r="K12" s="14">
        <f>VLOOKUP($C12,Sheet2!$A$2:$D$10,4,0)</f>
        <v>2</v>
      </c>
      <c r="L12" s="14" t="str">
        <f>VLOOKUP($C12,Sheet2!$A$2:$E$10,5,0)</f>
        <v>Bin</v>
      </c>
      <c r="M12" s="14">
        <f t="shared" si="0"/>
        <v>13</v>
      </c>
      <c r="N12" s="1"/>
      <c r="O12" s="1" t="s">
        <v>528</v>
      </c>
      <c r="P12" s="1" t="s">
        <v>1441</v>
      </c>
    </row>
    <row r="13" spans="1:16" x14ac:dyDescent="0.25">
      <c r="A13" s="15" t="s">
        <v>1429</v>
      </c>
      <c r="B13" s="16" t="s">
        <v>1404</v>
      </c>
      <c r="C13" s="1" t="s">
        <v>37</v>
      </c>
      <c r="D13" s="1" t="str">
        <f>VLOOKUP($C13,Sheet2!$A$2:$B$10,2,0)</f>
        <v>141150-91211</v>
      </c>
      <c r="E13" s="7" t="s">
        <v>38</v>
      </c>
      <c r="F13" s="12">
        <v>45989</v>
      </c>
      <c r="G13" s="13">
        <v>0.47916666666666669</v>
      </c>
      <c r="H13" s="1" t="s">
        <v>31</v>
      </c>
      <c r="I13" s="1" t="s">
        <v>10</v>
      </c>
      <c r="J13" s="1">
        <v>22</v>
      </c>
      <c r="K13" s="14">
        <f>VLOOKUP($C13,Sheet2!$A$2:$D$10,4,0)</f>
        <v>2</v>
      </c>
      <c r="L13" s="14" t="str">
        <f>VLOOKUP($C13,Sheet2!$A$2:$E$10,5,0)</f>
        <v>Bin</v>
      </c>
      <c r="M13" s="14">
        <f t="shared" si="0"/>
        <v>11</v>
      </c>
      <c r="N13" s="1"/>
      <c r="O13" s="1" t="s">
        <v>528</v>
      </c>
      <c r="P13" s="1" t="s">
        <v>1441</v>
      </c>
    </row>
    <row r="14" spans="1:16" x14ac:dyDescent="0.25">
      <c r="A14" s="15" t="s">
        <v>1429</v>
      </c>
      <c r="B14" s="16" t="s">
        <v>1408</v>
      </c>
      <c r="C14" s="1" t="s">
        <v>45</v>
      </c>
      <c r="D14" s="1" t="str">
        <f>VLOOKUP($C14,Sheet2!$A$2:$B$10,2,0)</f>
        <v>141186-74360</v>
      </c>
      <c r="E14" s="7" t="s">
        <v>46</v>
      </c>
      <c r="F14" s="12">
        <v>45989</v>
      </c>
      <c r="G14" s="13">
        <v>0.47916666666666669</v>
      </c>
      <c r="H14" s="1" t="s">
        <v>31</v>
      </c>
      <c r="I14" s="1" t="s">
        <v>10</v>
      </c>
      <c r="J14" s="1">
        <v>40</v>
      </c>
      <c r="K14" s="14">
        <f>VLOOKUP($C14,Sheet2!$A$2:$D$10,4,0)</f>
        <v>40</v>
      </c>
      <c r="L14" s="14" t="str">
        <f>VLOOKUP($C14,Sheet2!$A$2:$E$10,5,0)</f>
        <v>Trolley</v>
      </c>
      <c r="M14" s="14"/>
      <c r="N14" s="1">
        <f t="shared" ref="N14:N15" si="1">J14/K14</f>
        <v>1</v>
      </c>
      <c r="O14" s="1" t="s">
        <v>528</v>
      </c>
      <c r="P14" s="1" t="s">
        <v>1494</v>
      </c>
    </row>
    <row r="15" spans="1:16" x14ac:dyDescent="0.25">
      <c r="A15" s="15" t="s">
        <v>1429</v>
      </c>
      <c r="B15" s="16" t="s">
        <v>1409</v>
      </c>
      <c r="C15" s="1" t="s">
        <v>45</v>
      </c>
      <c r="D15" s="1" t="str">
        <f>VLOOKUP($C15,Sheet2!$A$2:$B$10,2,0)</f>
        <v>141186-74360</v>
      </c>
      <c r="E15" s="7" t="s">
        <v>46</v>
      </c>
      <c r="F15" s="12">
        <v>45989</v>
      </c>
      <c r="G15" s="13">
        <v>0.47916666666666669</v>
      </c>
      <c r="H15" s="1" t="s">
        <v>31</v>
      </c>
      <c r="I15" s="1" t="s">
        <v>10</v>
      </c>
      <c r="J15" s="1">
        <v>40</v>
      </c>
      <c r="K15" s="14">
        <f>VLOOKUP($C15,Sheet2!$A$2:$D$10,4,0)</f>
        <v>40</v>
      </c>
      <c r="L15" s="14" t="str">
        <f>VLOOKUP($C15,Sheet2!$A$2:$E$10,5,0)</f>
        <v>Trolley</v>
      </c>
      <c r="M15" s="14"/>
      <c r="N15" s="1">
        <f t="shared" si="1"/>
        <v>1</v>
      </c>
      <c r="O15" s="1" t="s">
        <v>528</v>
      </c>
      <c r="P15" s="1">
        <v>910101985</v>
      </c>
    </row>
    <row r="16" spans="1:16" x14ac:dyDescent="0.25">
      <c r="A16" s="15" t="s">
        <v>1428</v>
      </c>
      <c r="B16" s="16" t="s">
        <v>1413</v>
      </c>
      <c r="C16" s="1" t="s">
        <v>50</v>
      </c>
      <c r="D16" s="1" t="str">
        <f>VLOOKUP($C16,Sheet2!$A$2:$B$10,2,0)</f>
        <v>116040-92240</v>
      </c>
      <c r="E16" s="7" t="s">
        <v>51</v>
      </c>
      <c r="F16" s="12">
        <v>45989</v>
      </c>
      <c r="G16" s="13">
        <v>0.47916666666666669</v>
      </c>
      <c r="H16" s="1" t="s">
        <v>52</v>
      </c>
      <c r="I16" s="1" t="s">
        <v>10</v>
      </c>
      <c r="J16" s="1">
        <v>24</v>
      </c>
      <c r="K16" s="14">
        <f>VLOOKUP($C16,Sheet2!$A$2:$D$10,4,0)</f>
        <v>6</v>
      </c>
      <c r="L16" s="14" t="str">
        <f>VLOOKUP($C16,Sheet2!$A$2:$E$10,5,0)</f>
        <v>Bin</v>
      </c>
      <c r="M16" s="14">
        <f t="shared" ref="M16:M21" si="2">J16/K16</f>
        <v>4</v>
      </c>
      <c r="N16" s="1"/>
      <c r="O16" s="1" t="s">
        <v>528</v>
      </c>
      <c r="P16" s="1" t="s">
        <v>1303</v>
      </c>
    </row>
    <row r="17" spans="1:16" x14ac:dyDescent="0.25">
      <c r="A17" s="15" t="s">
        <v>1428</v>
      </c>
      <c r="B17" s="16" t="s">
        <v>1414</v>
      </c>
      <c r="C17" s="1" t="s">
        <v>50</v>
      </c>
      <c r="D17" s="1" t="str">
        <f>VLOOKUP($C17,Sheet2!$A$2:$B$10,2,0)</f>
        <v>116040-92240</v>
      </c>
      <c r="E17" s="7" t="s">
        <v>51</v>
      </c>
      <c r="F17" s="12">
        <v>45989</v>
      </c>
      <c r="G17" s="13">
        <v>0.47916666666666669</v>
      </c>
      <c r="H17" s="1" t="s">
        <v>52</v>
      </c>
      <c r="I17" s="1" t="s">
        <v>10</v>
      </c>
      <c r="J17" s="1">
        <v>24</v>
      </c>
      <c r="K17" s="14">
        <f>VLOOKUP($C17,Sheet2!$A$2:$D$10,4,0)</f>
        <v>6</v>
      </c>
      <c r="L17" s="14" t="str">
        <f>VLOOKUP($C17,Sheet2!$A$2:$E$10,5,0)</f>
        <v>Bin</v>
      </c>
      <c r="M17" s="14">
        <f t="shared" si="2"/>
        <v>4</v>
      </c>
      <c r="N17" s="1"/>
      <c r="O17" s="1" t="s">
        <v>528</v>
      </c>
      <c r="P17" s="1" t="s">
        <v>1303</v>
      </c>
    </row>
    <row r="18" spans="1:16" x14ac:dyDescent="0.25">
      <c r="A18" s="15" t="s">
        <v>1428</v>
      </c>
      <c r="B18" s="16" t="s">
        <v>1418</v>
      </c>
      <c r="C18" s="1" t="s">
        <v>59</v>
      </c>
      <c r="D18" s="1" t="str">
        <f>VLOOKUP($C18,Sheet2!$A$2:$B$10,2,0)</f>
        <v>114010-50820</v>
      </c>
      <c r="E18" s="7" t="s">
        <v>60</v>
      </c>
      <c r="F18" s="12">
        <v>45989</v>
      </c>
      <c r="G18" s="13">
        <v>0.47916666666666669</v>
      </c>
      <c r="H18" s="1" t="s">
        <v>52</v>
      </c>
      <c r="I18" s="1" t="s">
        <v>10</v>
      </c>
      <c r="J18" s="1">
        <v>12</v>
      </c>
      <c r="K18" s="14">
        <f>VLOOKUP($C18,Sheet2!$A$2:$D$10,4,0)</f>
        <v>1</v>
      </c>
      <c r="L18" s="14" t="str">
        <f>VLOOKUP($C18,Sheet2!$A$2:$E$10,5,0)</f>
        <v>Bin</v>
      </c>
      <c r="M18" s="14">
        <f t="shared" si="2"/>
        <v>12</v>
      </c>
      <c r="N18" s="1"/>
      <c r="O18" s="1" t="s">
        <v>528</v>
      </c>
      <c r="P18" s="1" t="s">
        <v>910</v>
      </c>
    </row>
    <row r="19" spans="1:16" x14ac:dyDescent="0.25">
      <c r="A19" s="15" t="s">
        <v>1428</v>
      </c>
      <c r="B19" s="16" t="s">
        <v>1419</v>
      </c>
      <c r="C19" s="1" t="s">
        <v>59</v>
      </c>
      <c r="D19" s="1" t="str">
        <f>VLOOKUP($C19,Sheet2!$A$2:$B$10,2,0)</f>
        <v>114010-50820</v>
      </c>
      <c r="E19" s="7" t="s">
        <v>60</v>
      </c>
      <c r="F19" s="12">
        <v>45989</v>
      </c>
      <c r="G19" s="13">
        <v>0.47916666666666669</v>
      </c>
      <c r="H19" s="1" t="s">
        <v>52</v>
      </c>
      <c r="I19" s="1" t="s">
        <v>10</v>
      </c>
      <c r="J19" s="1">
        <v>12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2"/>
        <v>12</v>
      </c>
      <c r="N19" s="1"/>
      <c r="O19" s="1" t="s">
        <v>528</v>
      </c>
      <c r="P19" s="1" t="s">
        <v>910</v>
      </c>
    </row>
    <row r="20" spans="1:16" x14ac:dyDescent="0.25">
      <c r="A20" s="15" t="s">
        <v>1428</v>
      </c>
      <c r="B20" s="16" t="s">
        <v>1423</v>
      </c>
      <c r="C20" s="1" t="s">
        <v>67</v>
      </c>
      <c r="D20" s="1" t="str">
        <f>VLOOKUP($C20,Sheet2!$A$2:$B$10,2,0)</f>
        <v>114010-50830</v>
      </c>
      <c r="E20" s="7" t="s">
        <v>60</v>
      </c>
      <c r="F20" s="12">
        <v>45989</v>
      </c>
      <c r="G20" s="13">
        <v>0.47916666666666669</v>
      </c>
      <c r="H20" s="1" t="s">
        <v>52</v>
      </c>
      <c r="I20" s="1" t="s">
        <v>10</v>
      </c>
      <c r="J20" s="1">
        <v>14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2"/>
        <v>14</v>
      </c>
      <c r="N20" s="1"/>
      <c r="O20" s="1" t="s">
        <v>528</v>
      </c>
      <c r="P20" s="1" t="s">
        <v>1495</v>
      </c>
    </row>
    <row r="21" spans="1:16" x14ac:dyDescent="0.25">
      <c r="A21" s="15" t="s">
        <v>1428</v>
      </c>
      <c r="B21" s="16" t="s">
        <v>1424</v>
      </c>
      <c r="C21" s="1" t="s">
        <v>67</v>
      </c>
      <c r="D21" s="1" t="str">
        <f>VLOOKUP($C21,Sheet2!$A$2:$B$10,2,0)</f>
        <v>114010-50830</v>
      </c>
      <c r="E21" s="7" t="s">
        <v>60</v>
      </c>
      <c r="F21" s="12">
        <v>45989</v>
      </c>
      <c r="G21" s="13">
        <v>0.47916666666666669</v>
      </c>
      <c r="H21" s="1" t="s">
        <v>52</v>
      </c>
      <c r="I21" s="1" t="s">
        <v>10</v>
      </c>
      <c r="J21" s="1">
        <v>10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10</v>
      </c>
      <c r="N21" s="1"/>
      <c r="O21" s="1" t="s">
        <v>528</v>
      </c>
      <c r="P21" s="1" t="s">
        <v>1495</v>
      </c>
    </row>
    <row r="22" spans="1:16" s="20" customForma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>
        <v>104</v>
      </c>
      <c r="N22" s="9">
        <v>7</v>
      </c>
      <c r="O22" s="9"/>
      <c r="P22" s="9"/>
    </row>
    <row r="23" spans="1:16" x14ac:dyDescent="0.25">
      <c r="A23" s="15" t="s">
        <v>1430</v>
      </c>
      <c r="B23" s="16" t="s">
        <v>1386</v>
      </c>
      <c r="C23" s="1" t="s">
        <v>7</v>
      </c>
      <c r="D23" s="1" t="str">
        <f>VLOOKUP($C23,Sheet2!$A$2:$B$10,2,0)</f>
        <v>141110-14600</v>
      </c>
      <c r="E23" s="7" t="s">
        <v>8</v>
      </c>
      <c r="F23" s="12">
        <v>45989</v>
      </c>
      <c r="G23" s="13">
        <v>0.52083333333333337</v>
      </c>
      <c r="H23" s="1" t="s">
        <v>9</v>
      </c>
      <c r="I23" s="1" t="s">
        <v>10</v>
      </c>
      <c r="J23" s="1">
        <v>18</v>
      </c>
      <c r="K23" s="14">
        <f>VLOOKUP($C23,Sheet2!$A$2:$D$10,4,0)</f>
        <v>18</v>
      </c>
      <c r="L23" s="14" t="str">
        <f>VLOOKUP($C23,Sheet2!$A$2:$E$10,5,0)</f>
        <v>Trolley (H)</v>
      </c>
      <c r="M23" s="14"/>
      <c r="N23" s="63">
        <v>1</v>
      </c>
      <c r="O23" s="1" t="s">
        <v>166</v>
      </c>
      <c r="P23" s="1" t="s">
        <v>1439</v>
      </c>
    </row>
    <row r="24" spans="1:16" x14ac:dyDescent="0.25">
      <c r="A24" s="15" t="s">
        <v>1430</v>
      </c>
      <c r="B24" s="16" t="s">
        <v>1391</v>
      </c>
      <c r="C24" s="1" t="s">
        <v>16</v>
      </c>
      <c r="D24" s="1" t="str">
        <f>VLOOKUP($C24,Sheet2!$A$2:$B$10,2,0)</f>
        <v>141120-14600</v>
      </c>
      <c r="E24" s="7" t="s">
        <v>17</v>
      </c>
      <c r="F24" s="12">
        <v>45989</v>
      </c>
      <c r="G24" s="13">
        <v>0.52083333333333337</v>
      </c>
      <c r="H24" s="1" t="s">
        <v>9</v>
      </c>
      <c r="I24" s="1" t="s">
        <v>10</v>
      </c>
      <c r="J24" s="1">
        <v>18</v>
      </c>
      <c r="K24" s="14">
        <f>VLOOKUP($C24,Sheet2!$A$2:$D$10,4,0)</f>
        <v>18</v>
      </c>
      <c r="L24" s="14" t="str">
        <f>VLOOKUP($C24,Sheet2!$A$2:$E$10,5,0)</f>
        <v>Trolley (H)</v>
      </c>
      <c r="M24" s="14"/>
      <c r="N24" s="64"/>
      <c r="O24" s="1" t="s">
        <v>166</v>
      </c>
      <c r="P24" s="1" t="s">
        <v>1439</v>
      </c>
    </row>
    <row r="25" spans="1:16" x14ac:dyDescent="0.25">
      <c r="A25" s="15" t="s">
        <v>1430</v>
      </c>
      <c r="B25" s="16" t="s">
        <v>1396</v>
      </c>
      <c r="C25" s="1" t="s">
        <v>23</v>
      </c>
      <c r="D25" s="1" t="str">
        <f>VLOOKUP($C25,Sheet2!$A$2:$B$10,2,0)</f>
        <v>141185-74670</v>
      </c>
      <c r="E25" s="7" t="s">
        <v>24</v>
      </c>
      <c r="F25" s="12">
        <v>45989</v>
      </c>
      <c r="G25" s="13">
        <v>0.52083333333333337</v>
      </c>
      <c r="H25" s="1" t="s">
        <v>9</v>
      </c>
      <c r="I25" s="1" t="s">
        <v>10</v>
      </c>
      <c r="J25" s="1">
        <v>40</v>
      </c>
      <c r="K25" s="14">
        <f>VLOOKUP($C25,Sheet2!$A$2:$D$10,4,0)</f>
        <v>40</v>
      </c>
      <c r="L25" s="14" t="str">
        <f>VLOOKUP($C25,Sheet2!$A$2:$E$10,5,0)</f>
        <v>Trolley</v>
      </c>
      <c r="M25" s="14"/>
      <c r="N25" s="1">
        <f>J25/K25</f>
        <v>1</v>
      </c>
      <c r="O25" s="1" t="s">
        <v>166</v>
      </c>
      <c r="P25" s="1">
        <v>910102394</v>
      </c>
    </row>
    <row r="26" spans="1:16" x14ac:dyDescent="0.25">
      <c r="A26" s="15" t="s">
        <v>1430</v>
      </c>
      <c r="B26" s="16" t="s">
        <v>1400</v>
      </c>
      <c r="C26" s="1" t="s">
        <v>29</v>
      </c>
      <c r="D26" s="1" t="str">
        <f>VLOOKUP($C26,Sheet2!$A$2:$B$10,2,0)</f>
        <v>141140-91211</v>
      </c>
      <c r="E26" s="7" t="s">
        <v>30</v>
      </c>
      <c r="F26" s="12">
        <v>45989</v>
      </c>
      <c r="G26" s="13">
        <v>0.52083333333333337</v>
      </c>
      <c r="H26" s="1" t="s">
        <v>31</v>
      </c>
      <c r="I26" s="1" t="s">
        <v>10</v>
      </c>
      <c r="J26" s="1">
        <v>20</v>
      </c>
      <c r="K26" s="14">
        <f>VLOOKUP($C26,Sheet2!$A$2:$D$10,4,0)</f>
        <v>2</v>
      </c>
      <c r="L26" s="14" t="str">
        <f>VLOOKUP($C26,Sheet2!$A$2:$E$10,5,0)</f>
        <v>Bin</v>
      </c>
      <c r="M26" s="14">
        <f t="shared" ref="M26:M27" si="3">J26/K26</f>
        <v>10</v>
      </c>
      <c r="N26" s="1"/>
      <c r="O26" s="1" t="s">
        <v>166</v>
      </c>
      <c r="P26" s="1" t="s">
        <v>1441</v>
      </c>
    </row>
    <row r="27" spans="1:16" x14ac:dyDescent="0.25">
      <c r="A27" s="15" t="s">
        <v>1430</v>
      </c>
      <c r="B27" s="16" t="s">
        <v>1405</v>
      </c>
      <c r="C27" s="1" t="s">
        <v>37</v>
      </c>
      <c r="D27" s="1" t="str">
        <f>VLOOKUP($C27,Sheet2!$A$2:$B$10,2,0)</f>
        <v>141150-91211</v>
      </c>
      <c r="E27" s="7" t="s">
        <v>38</v>
      </c>
      <c r="F27" s="12">
        <v>45989</v>
      </c>
      <c r="G27" s="13">
        <v>0.52083333333333337</v>
      </c>
      <c r="H27" s="1" t="s">
        <v>31</v>
      </c>
      <c r="I27" s="1" t="s">
        <v>10</v>
      </c>
      <c r="J27" s="1">
        <v>20</v>
      </c>
      <c r="K27" s="14">
        <f>VLOOKUP($C27,Sheet2!$A$2:$D$10,4,0)</f>
        <v>2</v>
      </c>
      <c r="L27" s="14" t="str">
        <f>VLOOKUP($C27,Sheet2!$A$2:$E$10,5,0)</f>
        <v>Bin</v>
      </c>
      <c r="M27" s="14">
        <f t="shared" si="3"/>
        <v>10</v>
      </c>
      <c r="N27" s="1"/>
      <c r="O27" s="1" t="s">
        <v>166</v>
      </c>
      <c r="P27" s="1" t="s">
        <v>1441</v>
      </c>
    </row>
    <row r="28" spans="1:16" x14ac:dyDescent="0.25">
      <c r="A28" s="15" t="s">
        <v>1430</v>
      </c>
      <c r="B28" s="16" t="s">
        <v>1410</v>
      </c>
      <c r="C28" s="1" t="s">
        <v>45</v>
      </c>
      <c r="D28" s="1" t="str">
        <f>VLOOKUP($C28,Sheet2!$A$2:$B$10,2,0)</f>
        <v>141186-74360</v>
      </c>
      <c r="E28" s="7" t="s">
        <v>46</v>
      </c>
      <c r="F28" s="12">
        <v>45989</v>
      </c>
      <c r="G28" s="13">
        <v>0.52083333333333337</v>
      </c>
      <c r="H28" s="1" t="s">
        <v>31</v>
      </c>
      <c r="I28" s="1" t="s">
        <v>10</v>
      </c>
      <c r="J28" s="1">
        <v>40</v>
      </c>
      <c r="K28" s="14">
        <f>VLOOKUP($C28,Sheet2!$A$2:$D$10,4,0)</f>
        <v>40</v>
      </c>
      <c r="L28" s="14" t="str">
        <f>VLOOKUP($C28,Sheet2!$A$2:$E$10,5,0)</f>
        <v>Trolley</v>
      </c>
      <c r="M28" s="14"/>
      <c r="N28" s="1">
        <f>J28/K28</f>
        <v>1</v>
      </c>
      <c r="O28" s="1" t="s">
        <v>166</v>
      </c>
      <c r="P28" s="1">
        <v>910103038</v>
      </c>
    </row>
    <row r="29" spans="1:16" x14ac:dyDescent="0.25">
      <c r="A29" s="15" t="s">
        <v>1431</v>
      </c>
      <c r="B29" s="16" t="s">
        <v>1415</v>
      </c>
      <c r="C29" s="1" t="s">
        <v>50</v>
      </c>
      <c r="D29" s="1" t="str">
        <f>VLOOKUP($C29,Sheet2!$A$2:$B$10,2,0)</f>
        <v>116040-92240</v>
      </c>
      <c r="E29" s="7" t="s">
        <v>51</v>
      </c>
      <c r="F29" s="12">
        <v>45989</v>
      </c>
      <c r="G29" s="13">
        <v>0.52083333333333337</v>
      </c>
      <c r="H29" s="1" t="s">
        <v>52</v>
      </c>
      <c r="I29" s="1" t="s">
        <v>10</v>
      </c>
      <c r="J29" s="1">
        <v>24</v>
      </c>
      <c r="K29" s="14">
        <f>VLOOKUP($C29,Sheet2!$A$2:$D$10,4,0)</f>
        <v>6</v>
      </c>
      <c r="L29" s="14" t="str">
        <f>VLOOKUP($C29,Sheet2!$A$2:$E$10,5,0)</f>
        <v>Bin</v>
      </c>
      <c r="M29" s="14">
        <f t="shared" ref="M29:M31" si="4">J29/K29</f>
        <v>4</v>
      </c>
      <c r="N29" s="1"/>
      <c r="O29" s="1" t="s">
        <v>166</v>
      </c>
      <c r="P29" s="1" t="s">
        <v>1303</v>
      </c>
    </row>
    <row r="30" spans="1:16" x14ac:dyDescent="0.25">
      <c r="A30" s="15" t="s">
        <v>1431</v>
      </c>
      <c r="B30" s="16" t="s">
        <v>1420</v>
      </c>
      <c r="C30" s="1" t="s">
        <v>59</v>
      </c>
      <c r="D30" s="1" t="str">
        <f>VLOOKUP($C30,Sheet2!$A$2:$B$10,2,0)</f>
        <v>114010-50820</v>
      </c>
      <c r="E30" s="7" t="s">
        <v>60</v>
      </c>
      <c r="F30" s="12">
        <v>45989</v>
      </c>
      <c r="G30" s="13">
        <v>0.52083333333333337</v>
      </c>
      <c r="H30" s="1" t="s">
        <v>52</v>
      </c>
      <c r="I30" s="1" t="s">
        <v>10</v>
      </c>
      <c r="J30" s="1">
        <v>14</v>
      </c>
      <c r="K30" s="14">
        <f>VLOOKUP($C30,Sheet2!$A$2:$D$10,4,0)</f>
        <v>1</v>
      </c>
      <c r="L30" s="14" t="str">
        <f>VLOOKUP($C30,Sheet2!$A$2:$E$10,5,0)</f>
        <v>Bin</v>
      </c>
      <c r="M30" s="14">
        <f t="shared" si="4"/>
        <v>14</v>
      </c>
      <c r="N30" s="1"/>
      <c r="O30" s="1" t="s">
        <v>166</v>
      </c>
      <c r="P30" s="1" t="s">
        <v>910</v>
      </c>
    </row>
    <row r="31" spans="1:16" x14ac:dyDescent="0.25">
      <c r="A31" s="15" t="s">
        <v>1431</v>
      </c>
      <c r="B31" s="16" t="s">
        <v>1425</v>
      </c>
      <c r="C31" s="1" t="s">
        <v>67</v>
      </c>
      <c r="D31" s="1" t="str">
        <f>VLOOKUP($C31,Sheet2!$A$2:$B$10,2,0)</f>
        <v>114010-50830</v>
      </c>
      <c r="E31" s="7" t="s">
        <v>60</v>
      </c>
      <c r="F31" s="12">
        <v>45989</v>
      </c>
      <c r="G31" s="13">
        <v>0.52083333333333337</v>
      </c>
      <c r="H31" s="1" t="s">
        <v>52</v>
      </c>
      <c r="I31" s="1" t="s">
        <v>10</v>
      </c>
      <c r="J31" s="1">
        <v>6</v>
      </c>
      <c r="K31" s="14">
        <f>VLOOKUP($C31,Sheet2!$A$2:$D$10,4,0)</f>
        <v>1</v>
      </c>
      <c r="L31" s="14" t="str">
        <f>VLOOKUP($C31,Sheet2!$A$2:$E$10,5,0)</f>
        <v>Bin</v>
      </c>
      <c r="M31" s="14">
        <f t="shared" si="4"/>
        <v>6</v>
      </c>
      <c r="N31" s="1"/>
      <c r="O31" s="1" t="s">
        <v>166</v>
      </c>
      <c r="P31" s="1" t="s">
        <v>1495</v>
      </c>
    </row>
    <row r="32" spans="1:16" s="20" customForma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>
        <v>44</v>
      </c>
      <c r="N32" s="9">
        <v>3</v>
      </c>
      <c r="O32" s="9"/>
      <c r="P32" s="9"/>
    </row>
    <row r="33" spans="1:16" x14ac:dyDescent="0.25">
      <c r="A33" s="15" t="s">
        <v>1432</v>
      </c>
      <c r="B33" s="16" t="s">
        <v>1387</v>
      </c>
      <c r="C33" s="1" t="s">
        <v>7</v>
      </c>
      <c r="D33" s="1" t="str">
        <f>VLOOKUP($C33,Sheet2!$A$2:$B$10,2,0)</f>
        <v>141110-14600</v>
      </c>
      <c r="E33" s="7" t="s">
        <v>8</v>
      </c>
      <c r="F33" s="12">
        <v>45989</v>
      </c>
      <c r="G33" s="13">
        <v>0.60416666666666663</v>
      </c>
      <c r="H33" s="1" t="s">
        <v>9</v>
      </c>
      <c r="I33" s="1" t="s">
        <v>10</v>
      </c>
      <c r="J33" s="1">
        <v>36</v>
      </c>
      <c r="K33" s="14">
        <f>VLOOKUP($C33,Sheet2!$A$2:$D$10,4,0)</f>
        <v>18</v>
      </c>
      <c r="L33" s="14" t="str">
        <f>VLOOKUP($C33,Sheet2!$A$2:$E$10,5,0)</f>
        <v>Trolley (H)</v>
      </c>
      <c r="M33" s="14"/>
      <c r="N33" s="63">
        <v>2</v>
      </c>
      <c r="O33" s="1" t="s">
        <v>1348</v>
      </c>
      <c r="P33" s="1" t="s">
        <v>1439</v>
      </c>
    </row>
    <row r="34" spans="1:16" x14ac:dyDescent="0.25">
      <c r="A34" s="15" t="s">
        <v>1432</v>
      </c>
      <c r="B34" s="16" t="s">
        <v>1392</v>
      </c>
      <c r="C34" s="1" t="s">
        <v>16</v>
      </c>
      <c r="D34" s="1" t="str">
        <f>VLOOKUP($C34,Sheet2!$A$2:$B$10,2,0)</f>
        <v>141120-14600</v>
      </c>
      <c r="E34" s="7" t="s">
        <v>17</v>
      </c>
      <c r="F34" s="12">
        <v>45989</v>
      </c>
      <c r="G34" s="13">
        <v>0.60416666666666663</v>
      </c>
      <c r="H34" s="1" t="s">
        <v>9</v>
      </c>
      <c r="I34" s="1" t="s">
        <v>10</v>
      </c>
      <c r="J34" s="1">
        <v>36</v>
      </c>
      <c r="K34" s="14">
        <f>VLOOKUP($C34,Sheet2!$A$2:$D$10,4,0)</f>
        <v>18</v>
      </c>
      <c r="L34" s="14" t="str">
        <f>VLOOKUP($C34,Sheet2!$A$2:$E$10,5,0)</f>
        <v>Trolley (H)</v>
      </c>
      <c r="M34" s="14"/>
      <c r="N34" s="64"/>
      <c r="O34" s="1" t="s">
        <v>1348</v>
      </c>
      <c r="P34" s="1" t="s">
        <v>1439</v>
      </c>
    </row>
    <row r="35" spans="1:16" x14ac:dyDescent="0.25">
      <c r="A35" s="15" t="s">
        <v>1432</v>
      </c>
      <c r="B35" s="16" t="s">
        <v>1397</v>
      </c>
      <c r="C35" s="1" t="s">
        <v>23</v>
      </c>
      <c r="D35" s="1" t="str">
        <f>VLOOKUP($C35,Sheet2!$A$2:$B$10,2,0)</f>
        <v>141185-74670</v>
      </c>
      <c r="E35" s="7" t="s">
        <v>24</v>
      </c>
      <c r="F35" s="12">
        <v>45989</v>
      </c>
      <c r="G35" s="13">
        <v>0.60416666666666663</v>
      </c>
      <c r="H35" s="1" t="s">
        <v>9</v>
      </c>
      <c r="I35" s="1" t="s">
        <v>10</v>
      </c>
      <c r="J35" s="1">
        <v>40</v>
      </c>
      <c r="K35" s="14">
        <f>VLOOKUP($C35,Sheet2!$A$2:$D$10,4,0)</f>
        <v>40</v>
      </c>
      <c r="L35" s="14" t="str">
        <f>VLOOKUP($C35,Sheet2!$A$2:$E$10,5,0)</f>
        <v>Trolley</v>
      </c>
      <c r="M35" s="14"/>
      <c r="N35" s="1">
        <f>J35/K35</f>
        <v>1</v>
      </c>
      <c r="O35" s="1" t="s">
        <v>1348</v>
      </c>
      <c r="P35" s="1">
        <v>910102394</v>
      </c>
    </row>
    <row r="36" spans="1:16" x14ac:dyDescent="0.25">
      <c r="A36" s="15" t="s">
        <v>1432</v>
      </c>
      <c r="B36" s="16" t="s">
        <v>1401</v>
      </c>
      <c r="C36" s="1" t="s">
        <v>29</v>
      </c>
      <c r="D36" s="1" t="str">
        <f>VLOOKUP($C36,Sheet2!$A$2:$B$10,2,0)</f>
        <v>141140-91211</v>
      </c>
      <c r="E36" s="7" t="s">
        <v>30</v>
      </c>
      <c r="F36" s="12">
        <v>45989</v>
      </c>
      <c r="G36" s="13">
        <v>0.60416666666666663</v>
      </c>
      <c r="H36" s="1" t="s">
        <v>31</v>
      </c>
      <c r="I36" s="1" t="s">
        <v>10</v>
      </c>
      <c r="J36" s="1">
        <v>20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ref="M36:M37" si="5">J36/K36</f>
        <v>10</v>
      </c>
      <c r="N36" s="1"/>
      <c r="O36" s="1" t="s">
        <v>1348</v>
      </c>
      <c r="P36" s="1" t="s">
        <v>1441</v>
      </c>
    </row>
    <row r="37" spans="1:16" x14ac:dyDescent="0.25">
      <c r="A37" s="15" t="s">
        <v>1432</v>
      </c>
      <c r="B37" s="16" t="s">
        <v>1406</v>
      </c>
      <c r="C37" s="1" t="s">
        <v>37</v>
      </c>
      <c r="D37" s="1" t="str">
        <f>VLOOKUP($C37,Sheet2!$A$2:$B$10,2,0)</f>
        <v>141150-91211</v>
      </c>
      <c r="E37" s="7" t="s">
        <v>38</v>
      </c>
      <c r="F37" s="12">
        <v>45989</v>
      </c>
      <c r="G37" s="13">
        <v>0.60416666666666663</v>
      </c>
      <c r="H37" s="1" t="s">
        <v>31</v>
      </c>
      <c r="I37" s="1" t="s">
        <v>10</v>
      </c>
      <c r="J37" s="1">
        <v>20</v>
      </c>
      <c r="K37" s="14">
        <f>VLOOKUP($C37,Sheet2!$A$2:$D$10,4,0)</f>
        <v>2</v>
      </c>
      <c r="L37" s="14" t="str">
        <f>VLOOKUP($C37,Sheet2!$A$2:$E$10,5,0)</f>
        <v>Bin</v>
      </c>
      <c r="M37" s="14">
        <f t="shared" si="5"/>
        <v>10</v>
      </c>
      <c r="N37" s="1"/>
      <c r="O37" s="1" t="s">
        <v>1348</v>
      </c>
      <c r="P37" s="1" t="s">
        <v>1441</v>
      </c>
    </row>
    <row r="38" spans="1:16" x14ac:dyDescent="0.25">
      <c r="A38" s="15" t="s">
        <v>1432</v>
      </c>
      <c r="B38" s="16" t="s">
        <v>1411</v>
      </c>
      <c r="C38" s="1" t="s">
        <v>45</v>
      </c>
      <c r="D38" s="1" t="str">
        <f>VLOOKUP($C38,Sheet2!$A$2:$B$10,2,0)</f>
        <v>141186-74360</v>
      </c>
      <c r="E38" s="7" t="s">
        <v>46</v>
      </c>
      <c r="F38" s="12">
        <v>45989</v>
      </c>
      <c r="G38" s="13">
        <v>0.60416666666666663</v>
      </c>
      <c r="H38" s="1" t="s">
        <v>31</v>
      </c>
      <c r="I38" s="1" t="s">
        <v>10</v>
      </c>
      <c r="J38" s="1">
        <v>40</v>
      </c>
      <c r="K38" s="14">
        <f>VLOOKUP($C38,Sheet2!$A$2:$D$10,4,0)</f>
        <v>40</v>
      </c>
      <c r="L38" s="14" t="str">
        <f>VLOOKUP($C38,Sheet2!$A$2:$E$10,5,0)</f>
        <v>Trolley</v>
      </c>
      <c r="M38" s="14"/>
      <c r="N38" s="1">
        <f>J38/K38</f>
        <v>1</v>
      </c>
      <c r="O38" s="1" t="s">
        <v>1348</v>
      </c>
      <c r="P38" s="1" t="s">
        <v>1496</v>
      </c>
    </row>
    <row r="39" spans="1:16" x14ac:dyDescent="0.25">
      <c r="A39" s="15" t="s">
        <v>1433</v>
      </c>
      <c r="B39" s="16" t="s">
        <v>1416</v>
      </c>
      <c r="C39" s="1" t="s">
        <v>50</v>
      </c>
      <c r="D39" s="1" t="str">
        <f>VLOOKUP($C39,Sheet2!$A$2:$B$10,2,0)</f>
        <v>116040-92240</v>
      </c>
      <c r="E39" s="7" t="s">
        <v>51</v>
      </c>
      <c r="F39" s="12">
        <v>45989</v>
      </c>
      <c r="G39" s="13">
        <v>0.60416666666666663</v>
      </c>
      <c r="H39" s="1" t="s">
        <v>52</v>
      </c>
      <c r="I39" s="1" t="s">
        <v>10</v>
      </c>
      <c r="J39" s="1">
        <v>18</v>
      </c>
      <c r="K39" s="14">
        <f>VLOOKUP($C39,Sheet2!$A$2:$D$10,4,0)</f>
        <v>6</v>
      </c>
      <c r="L39" s="14" t="str">
        <f>VLOOKUP($C39,Sheet2!$A$2:$E$10,5,0)</f>
        <v>Bin</v>
      </c>
      <c r="M39" s="14">
        <f t="shared" ref="M39:M41" si="6">J39/K39</f>
        <v>3</v>
      </c>
      <c r="N39" s="1"/>
      <c r="O39" s="1" t="s">
        <v>1348</v>
      </c>
      <c r="P39" s="1" t="s">
        <v>1303</v>
      </c>
    </row>
    <row r="40" spans="1:16" x14ac:dyDescent="0.25">
      <c r="A40" s="15" t="s">
        <v>1433</v>
      </c>
      <c r="B40" s="16" t="s">
        <v>1421</v>
      </c>
      <c r="C40" s="1" t="s">
        <v>59</v>
      </c>
      <c r="D40" s="1" t="str">
        <f>VLOOKUP($C40,Sheet2!$A$2:$B$10,2,0)</f>
        <v>114010-50820</v>
      </c>
      <c r="E40" s="7" t="s">
        <v>60</v>
      </c>
      <c r="F40" s="12">
        <v>45989</v>
      </c>
      <c r="G40" s="13">
        <v>0.60416666666666663</v>
      </c>
      <c r="H40" s="1" t="s">
        <v>52</v>
      </c>
      <c r="I40" s="1" t="s">
        <v>10</v>
      </c>
      <c r="J40" s="1">
        <v>7</v>
      </c>
      <c r="K40" s="14">
        <f>VLOOKUP($C40,Sheet2!$A$2:$D$10,4,0)</f>
        <v>1</v>
      </c>
      <c r="L40" s="14" t="str">
        <f>VLOOKUP($C40,Sheet2!$A$2:$E$10,5,0)</f>
        <v>Bin</v>
      </c>
      <c r="M40" s="14">
        <f t="shared" si="6"/>
        <v>7</v>
      </c>
      <c r="N40" s="1"/>
      <c r="O40" s="1" t="s">
        <v>1348</v>
      </c>
      <c r="P40" s="1" t="s">
        <v>910</v>
      </c>
    </row>
    <row r="41" spans="1:16" x14ac:dyDescent="0.25">
      <c r="A41" s="15" t="s">
        <v>1433</v>
      </c>
      <c r="B41" s="16" t="s">
        <v>1426</v>
      </c>
      <c r="C41" s="1" t="s">
        <v>67</v>
      </c>
      <c r="D41" s="1" t="str">
        <f>VLOOKUP($C41,Sheet2!$A$2:$B$10,2,0)</f>
        <v>114010-50830</v>
      </c>
      <c r="E41" s="7" t="s">
        <v>60</v>
      </c>
      <c r="F41" s="12">
        <v>45989</v>
      </c>
      <c r="G41" s="13">
        <v>0.60416666666666663</v>
      </c>
      <c r="H41" s="1" t="s">
        <v>52</v>
      </c>
      <c r="I41" s="1" t="s">
        <v>10</v>
      </c>
      <c r="J41" s="1">
        <v>6</v>
      </c>
      <c r="K41" s="14">
        <f>VLOOKUP($C41,Sheet2!$A$2:$D$10,4,0)</f>
        <v>1</v>
      </c>
      <c r="L41" s="14" t="str">
        <f>VLOOKUP($C41,Sheet2!$A$2:$E$10,5,0)</f>
        <v>Bin</v>
      </c>
      <c r="M41" s="14">
        <f t="shared" si="6"/>
        <v>6</v>
      </c>
      <c r="N41" s="1"/>
      <c r="O41" s="1" t="s">
        <v>1348</v>
      </c>
      <c r="P41" s="1" t="s">
        <v>1495</v>
      </c>
    </row>
    <row r="42" spans="1:16" s="20" customForma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>
        <v>36</v>
      </c>
      <c r="N42" s="9">
        <v>4</v>
      </c>
      <c r="O42" s="9"/>
      <c r="P42" s="9"/>
    </row>
    <row r="43" spans="1:16" x14ac:dyDescent="0.25">
      <c r="A43" s="15" t="s">
        <v>1434</v>
      </c>
      <c r="B43" s="16" t="s">
        <v>1388</v>
      </c>
      <c r="C43" s="1" t="s">
        <v>7</v>
      </c>
      <c r="D43" s="1" t="str">
        <f>VLOOKUP($C43,Sheet2!$A$2:$B$10,2,0)</f>
        <v>141110-14600</v>
      </c>
      <c r="E43" s="7" t="s">
        <v>8</v>
      </c>
      <c r="F43" s="12">
        <v>45989</v>
      </c>
      <c r="G43" s="13">
        <v>0.6875</v>
      </c>
      <c r="H43" s="1" t="s">
        <v>9</v>
      </c>
      <c r="I43" s="1" t="s">
        <v>10</v>
      </c>
      <c r="J43" s="1">
        <v>18</v>
      </c>
      <c r="K43" s="14">
        <f>VLOOKUP($C43,Sheet2!$A$2:$D$10,4,0)</f>
        <v>18</v>
      </c>
      <c r="L43" s="14" t="str">
        <f>VLOOKUP($C43,Sheet2!$A$2:$E$10,5,0)</f>
        <v>Trolley (H)</v>
      </c>
      <c r="M43" s="14"/>
      <c r="N43" s="63">
        <v>1</v>
      </c>
      <c r="O43" s="1" t="s">
        <v>1301</v>
      </c>
      <c r="P43" s="1" t="s">
        <v>1439</v>
      </c>
    </row>
    <row r="44" spans="1:16" x14ac:dyDescent="0.25">
      <c r="A44" s="15" t="s">
        <v>1434</v>
      </c>
      <c r="B44" s="16" t="s">
        <v>1393</v>
      </c>
      <c r="C44" s="1" t="s">
        <v>16</v>
      </c>
      <c r="D44" s="1" t="str">
        <f>VLOOKUP($C44,Sheet2!$A$2:$B$10,2,0)</f>
        <v>141120-14600</v>
      </c>
      <c r="E44" s="7" t="s">
        <v>17</v>
      </c>
      <c r="F44" s="12">
        <v>45989</v>
      </c>
      <c r="G44" s="13">
        <v>0.6875</v>
      </c>
      <c r="H44" s="1" t="s">
        <v>9</v>
      </c>
      <c r="I44" s="1" t="s">
        <v>10</v>
      </c>
      <c r="J44" s="1">
        <v>18</v>
      </c>
      <c r="K44" s="14">
        <f>VLOOKUP($C44,Sheet2!$A$2:$D$10,4,0)</f>
        <v>18</v>
      </c>
      <c r="L44" s="14" t="str">
        <f>VLOOKUP($C44,Sheet2!$A$2:$E$10,5,0)</f>
        <v>Trolley (H)</v>
      </c>
      <c r="M44" s="14"/>
      <c r="N44" s="64"/>
      <c r="O44" s="1" t="s">
        <v>1301</v>
      </c>
      <c r="P44" s="1" t="s">
        <v>1439</v>
      </c>
    </row>
    <row r="45" spans="1:16" x14ac:dyDescent="0.25">
      <c r="A45" s="15" t="s">
        <v>1434</v>
      </c>
      <c r="B45" s="16" t="s">
        <v>1402</v>
      </c>
      <c r="C45" s="1" t="s">
        <v>29</v>
      </c>
      <c r="D45" s="1" t="str">
        <f>VLOOKUP($C45,Sheet2!$A$2:$B$10,2,0)</f>
        <v>141140-91211</v>
      </c>
      <c r="E45" s="7" t="s">
        <v>30</v>
      </c>
      <c r="F45" s="12">
        <v>45989</v>
      </c>
      <c r="G45" s="13">
        <v>0.6875</v>
      </c>
      <c r="H45" s="1" t="s">
        <v>31</v>
      </c>
      <c r="I45" s="1" t="s">
        <v>10</v>
      </c>
      <c r="J45" s="1">
        <v>14</v>
      </c>
      <c r="K45" s="14">
        <f>VLOOKUP($C45,Sheet2!$A$2:$D$10,4,0)</f>
        <v>2</v>
      </c>
      <c r="L45" s="14" t="str">
        <f>VLOOKUP($C45,Sheet2!$A$2:$E$10,5,0)</f>
        <v>Bin</v>
      </c>
      <c r="M45" s="14">
        <f t="shared" ref="M45:M46" si="7">J45/K45</f>
        <v>7</v>
      </c>
      <c r="N45" s="1"/>
      <c r="O45" s="1" t="s">
        <v>1301</v>
      </c>
      <c r="P45" s="1" t="s">
        <v>1441</v>
      </c>
    </row>
    <row r="46" spans="1:16" x14ac:dyDescent="0.25">
      <c r="A46" s="15" t="s">
        <v>1434</v>
      </c>
      <c r="B46" s="16" t="s">
        <v>1407</v>
      </c>
      <c r="C46" s="1" t="s">
        <v>37</v>
      </c>
      <c r="D46" s="1" t="str">
        <f>VLOOKUP($C46,Sheet2!$A$2:$B$10,2,0)</f>
        <v>141150-91211</v>
      </c>
      <c r="E46" s="7" t="s">
        <v>38</v>
      </c>
      <c r="F46" s="12">
        <v>45989</v>
      </c>
      <c r="G46" s="13">
        <v>0.6875</v>
      </c>
      <c r="H46" s="1" t="s">
        <v>31</v>
      </c>
      <c r="I46" s="1" t="s">
        <v>10</v>
      </c>
      <c r="J46" s="1">
        <v>24</v>
      </c>
      <c r="K46" s="14">
        <f>VLOOKUP($C46,Sheet2!$A$2:$D$10,4,0)</f>
        <v>2</v>
      </c>
      <c r="L46" s="14" t="str">
        <f>VLOOKUP($C46,Sheet2!$A$2:$E$10,5,0)</f>
        <v>Bin</v>
      </c>
      <c r="M46" s="14">
        <f t="shared" si="7"/>
        <v>12</v>
      </c>
      <c r="N46" s="1"/>
      <c r="O46" s="1" t="s">
        <v>1301</v>
      </c>
      <c r="P46" s="1" t="s">
        <v>1441</v>
      </c>
    </row>
    <row r="47" spans="1:16" x14ac:dyDescent="0.25">
      <c r="A47" s="15" t="s">
        <v>1434</v>
      </c>
      <c r="B47" s="16" t="s">
        <v>1412</v>
      </c>
      <c r="C47" s="1" t="s">
        <v>45</v>
      </c>
      <c r="D47" s="1" t="str">
        <f>VLOOKUP($C47,Sheet2!$A$2:$B$10,2,0)</f>
        <v>141186-74360</v>
      </c>
      <c r="E47" s="7" t="s">
        <v>46</v>
      </c>
      <c r="F47" s="12">
        <v>45989</v>
      </c>
      <c r="G47" s="13">
        <v>0.6875</v>
      </c>
      <c r="H47" s="1" t="s">
        <v>31</v>
      </c>
      <c r="I47" s="1" t="s">
        <v>10</v>
      </c>
      <c r="J47" s="1">
        <v>40</v>
      </c>
      <c r="K47" s="14">
        <f>VLOOKUP($C47,Sheet2!$A$2:$D$10,4,0)</f>
        <v>40</v>
      </c>
      <c r="L47" s="14" t="str">
        <f>VLOOKUP($C47,Sheet2!$A$2:$E$10,5,0)</f>
        <v>Trolley</v>
      </c>
      <c r="M47" s="14"/>
      <c r="N47" s="1">
        <f>J47/K47</f>
        <v>1</v>
      </c>
      <c r="O47" s="1" t="s">
        <v>1301</v>
      </c>
      <c r="P47" s="1" t="s">
        <v>1497</v>
      </c>
    </row>
    <row r="48" spans="1:16" x14ac:dyDescent="0.25">
      <c r="A48" s="15" t="s">
        <v>1435</v>
      </c>
      <c r="B48" s="16" t="s">
        <v>1417</v>
      </c>
      <c r="C48" s="1" t="s">
        <v>50</v>
      </c>
      <c r="D48" s="1" t="str">
        <f>VLOOKUP($C48,Sheet2!$A$2:$B$10,2,0)</f>
        <v>116040-92240</v>
      </c>
      <c r="E48" s="7" t="s">
        <v>51</v>
      </c>
      <c r="F48" s="12">
        <v>45989</v>
      </c>
      <c r="G48" s="13">
        <v>0.6875</v>
      </c>
      <c r="H48" s="1" t="s">
        <v>52</v>
      </c>
      <c r="I48" s="1" t="s">
        <v>10</v>
      </c>
      <c r="J48" s="1">
        <v>12</v>
      </c>
      <c r="K48" s="14">
        <f>VLOOKUP($C48,Sheet2!$A$2:$D$10,4,0)</f>
        <v>6</v>
      </c>
      <c r="L48" s="14" t="str">
        <f>VLOOKUP($C48,Sheet2!$A$2:$E$10,5,0)</f>
        <v>Bin</v>
      </c>
      <c r="M48" s="14">
        <f t="shared" ref="M48:M50" si="8">J48/K48</f>
        <v>2</v>
      </c>
      <c r="N48" s="1"/>
      <c r="O48" s="1" t="s">
        <v>1301</v>
      </c>
      <c r="P48" s="1" t="s">
        <v>1303</v>
      </c>
    </row>
    <row r="49" spans="1:16" x14ac:dyDescent="0.25">
      <c r="A49" s="15" t="s">
        <v>1435</v>
      </c>
      <c r="B49" s="16" t="s">
        <v>1422</v>
      </c>
      <c r="C49" s="1" t="s">
        <v>59</v>
      </c>
      <c r="D49" s="1" t="str">
        <f>VLOOKUP($C49,Sheet2!$A$2:$B$10,2,0)</f>
        <v>114010-50820</v>
      </c>
      <c r="E49" s="7" t="s">
        <v>60</v>
      </c>
      <c r="F49" s="12">
        <v>45989</v>
      </c>
      <c r="G49" s="13">
        <v>0.6875</v>
      </c>
      <c r="H49" s="1" t="s">
        <v>52</v>
      </c>
      <c r="I49" s="1" t="s">
        <v>10</v>
      </c>
      <c r="J49" s="1">
        <v>13</v>
      </c>
      <c r="K49" s="14">
        <f>VLOOKUP($C49,Sheet2!$A$2:$D$10,4,0)</f>
        <v>1</v>
      </c>
      <c r="L49" s="14" t="str">
        <f>VLOOKUP($C49,Sheet2!$A$2:$E$10,5,0)</f>
        <v>Bin</v>
      </c>
      <c r="M49" s="14">
        <f t="shared" si="8"/>
        <v>13</v>
      </c>
      <c r="N49" s="1"/>
      <c r="O49" s="1" t="s">
        <v>1301</v>
      </c>
      <c r="P49" s="1" t="s">
        <v>910</v>
      </c>
    </row>
    <row r="50" spans="1:16" x14ac:dyDescent="0.25">
      <c r="A50" s="15" t="s">
        <v>1435</v>
      </c>
      <c r="B50" s="16" t="s">
        <v>1427</v>
      </c>
      <c r="C50" s="1" t="s">
        <v>67</v>
      </c>
      <c r="D50" s="1" t="str">
        <f>VLOOKUP($C50,Sheet2!$A$2:$B$10,2,0)</f>
        <v>114010-50830</v>
      </c>
      <c r="E50" s="7" t="s">
        <v>60</v>
      </c>
      <c r="F50" s="12">
        <v>45989</v>
      </c>
      <c r="G50" s="13">
        <v>0.6875</v>
      </c>
      <c r="H50" s="1" t="s">
        <v>52</v>
      </c>
      <c r="I50" s="1" t="s">
        <v>10</v>
      </c>
      <c r="J50" s="1">
        <v>8</v>
      </c>
      <c r="K50" s="14">
        <f>VLOOKUP($C50,Sheet2!$A$2:$D$10,4,0)</f>
        <v>1</v>
      </c>
      <c r="L50" s="14" t="str">
        <f>VLOOKUP($C50,Sheet2!$A$2:$E$10,5,0)</f>
        <v>Bin</v>
      </c>
      <c r="M50" s="14">
        <f t="shared" si="8"/>
        <v>8</v>
      </c>
      <c r="N50" s="1"/>
      <c r="O50" s="1" t="s">
        <v>1301</v>
      </c>
      <c r="P50" s="1" t="s">
        <v>1495</v>
      </c>
    </row>
    <row r="51" spans="1:16" s="20" customForma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>
        <v>42</v>
      </c>
      <c r="N51" s="9">
        <v>2</v>
      </c>
      <c r="O51" s="9"/>
      <c r="P51" s="9"/>
    </row>
  </sheetData>
  <mergeCells count="8">
    <mergeCell ref="N33:N34"/>
    <mergeCell ref="N43:N44"/>
    <mergeCell ref="A1:F1"/>
    <mergeCell ref="J1:N1"/>
    <mergeCell ref="L2:N2"/>
    <mergeCell ref="N4:N5"/>
    <mergeCell ref="N6:N7"/>
    <mergeCell ref="N23:N24"/>
  </mergeCells>
  <conditionalFormatting sqref="B2">
    <cfRule type="duplicateValues" dxfId="89" priority="42"/>
    <cfRule type="duplicateValues" dxfId="88" priority="41"/>
  </conditionalFormatting>
  <conditionalFormatting sqref="B4:B21 B23:B31 B33:B41 B43:B50">
    <cfRule type="duplicateValues" dxfId="87" priority="34"/>
  </conditionalFormatting>
  <conditionalFormatting sqref="C2:D2">
    <cfRule type="duplicateValues" dxfId="86" priority="44"/>
    <cfRule type="duplicateValues" dxfId="85" priority="43"/>
  </conditionalFormatting>
  <conditionalFormatting sqref="D3">
    <cfRule type="duplicateValues" dxfId="83" priority="40"/>
    <cfRule type="duplicateValues" dxfId="82" priority="39"/>
  </conditionalFormatting>
  <conditionalFormatting sqref="D22">
    <cfRule type="duplicateValues" dxfId="77" priority="22"/>
    <cfRule type="duplicateValues" dxfId="76" priority="23"/>
  </conditionalFormatting>
  <conditionalFormatting sqref="D32">
    <cfRule type="duplicateValues" dxfId="73" priority="17"/>
    <cfRule type="duplicateValues" dxfId="72" priority="16"/>
  </conditionalFormatting>
  <conditionalFormatting sqref="D42">
    <cfRule type="duplicateValues" dxfId="71" priority="11"/>
    <cfRule type="duplicateValues" dxfId="70" priority="10"/>
  </conditionalFormatting>
  <conditionalFormatting sqref="D51">
    <cfRule type="duplicateValues" dxfId="68" priority="4"/>
    <cfRule type="duplicateValues" dxfId="67" priority="5"/>
  </conditionalFormatting>
  <pageMargins left="0.17" right="0.17" top="0.17" bottom="0.75" header="0.3" footer="0.3"/>
  <pageSetup paperSize="9" scale="6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3" operator="containsText" text="17521M68PA0" id="{22370F5E-CC1A-4D79-8F39-6A5B5BAD46B2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C4:D21 C23:D31 C33:D41 C43:D50</xm:sqref>
        </x14:conditionalFormatting>
        <x14:conditionalFormatting xmlns:xm="http://schemas.microsoft.com/office/excel/2006/main">
          <x14:cfRule type="containsText" priority="49" operator="containsText" text="17521M68PA0" id="{374B65C9-7D49-4CE7-855B-3A292DD7C013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32" operator="containsText" text="17521M74T00" id="{EB3821CE-AB37-477F-A975-FB64102F4F18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31" operator="containsText" text="17521M68PA0" id="{CAE43E49-8954-4DBA-B635-5F084E7B3FD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0" operator="containsText" text="17521M74T00" id="{52134542-0C53-4B27-A44B-26A9C892A879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D4:D21 D23:D31 D33:D41 D43:D50</xm:sqref>
        </x14:conditionalFormatting>
        <x14:conditionalFormatting xmlns:xm="http://schemas.microsoft.com/office/excel/2006/main">
          <x14:cfRule type="containsText" priority="24" operator="containsText" text="17521M68PA0" id="{78052317-442B-4D29-99BA-5BB2C481C74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ontainsText" priority="18" operator="containsText" text="17521M68PA0" id="{A01AEE51-A2AA-4A2E-83CE-13CB503EC375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D32</xm:sqref>
        </x14:conditionalFormatting>
        <x14:conditionalFormatting xmlns:xm="http://schemas.microsoft.com/office/excel/2006/main">
          <x14:cfRule type="containsText" priority="12" operator="containsText" text="17521M68PA0" id="{801018C8-41A0-405E-80AC-7CEAF6C2D14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D42</xm:sqref>
        </x14:conditionalFormatting>
        <x14:conditionalFormatting xmlns:xm="http://schemas.microsoft.com/office/excel/2006/main">
          <x14:cfRule type="containsText" priority="6" operator="containsText" text="17521M68PA0" id="{76232FE4-3DFE-4411-9197-A884F3E75B14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D51</xm:sqref>
        </x14:conditionalFormatting>
        <x14:conditionalFormatting xmlns:xm="http://schemas.microsoft.com/office/excel/2006/main">
          <x14:cfRule type="containsText" priority="45" operator="containsText" text="17521M68PA0" id="{115DBF33-4B07-4B1F-A891-FCE95B48DC95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6" operator="containsText" text="17521M74T00" id="{90455130-9D70-4331-B42F-B5FD882705DB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36" operator="containsText" text="BELT,WATER PUMP - 7PK 975" id="{16EDF3D1-75FD-4861-80EE-39D1DB640A5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35" operator="containsText" text="BELT,WATER PUMP - 5PK 913" id="{6AB329CB-DEDD-4CAA-A473-19E20B808048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E3:E51</xm:sqref>
        </x14:conditionalFormatting>
        <x14:conditionalFormatting xmlns:xm="http://schemas.microsoft.com/office/excel/2006/main">
          <x14:cfRule type="containsText" priority="19" operator="containsText" text="BELT,WATER PUMP - 7PK 975" id="{C7370A65-987B-40C3-BD8B-76BC7EED20A1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13" operator="containsText" text="BELT,WATER PUMP - 7PK 975" id="{44719D92-07EF-48C1-94B0-68E39B67AB7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E32</xm:sqref>
        </x14:conditionalFormatting>
        <x14:conditionalFormatting xmlns:xm="http://schemas.microsoft.com/office/excel/2006/main">
          <x14:cfRule type="containsText" priority="7" operator="containsText" text="BELT,WATER PUMP - 7PK 975" id="{417636A0-43C8-44F1-80F0-6F6022FD0E3C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E42</xm:sqref>
        </x14:conditionalFormatting>
        <x14:conditionalFormatting xmlns:xm="http://schemas.microsoft.com/office/excel/2006/main">
          <x14:cfRule type="containsText" priority="1" operator="containsText" text="BELT,WATER PUMP - 7PK 975" id="{7EDE0EE1-B7D0-4E21-9069-2DFC8EA77F1A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E51</xm:sqref>
        </x14:conditionalFormatting>
        <x14:conditionalFormatting xmlns:xm="http://schemas.microsoft.com/office/excel/2006/main">
          <x14:cfRule type="containsText" priority="47" operator="containsText" text="BELT,WATER PUMP - 5PK 913" id="{45291BEE-ED5B-4E49-ABD9-72107708A9B8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8" operator="containsText" text="BELT,WATER PUMP - 7PK 975" id="{ED1255A2-7572-4EC2-A5D0-41819B33D2FD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37" operator="containsText" text="5PK 913" id="{E39B65BC-546C-4FFC-AFFF-2E05B776388D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8" operator="containsText" text="7PK 975" id="{8D3E641D-44FE-4C15-8D4A-1209AE1615FD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21" operator="containsText" text="7PK 975" id="{0A6B8E9B-9136-4952-9A64-469DCE76BBA1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0" operator="containsText" text="5PK 913" id="{44D44461-9308-4062-B309-A57FBA1BAC73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P22</xm:sqref>
        </x14:conditionalFormatting>
        <x14:conditionalFormatting xmlns:xm="http://schemas.microsoft.com/office/excel/2006/main">
          <x14:cfRule type="containsText" priority="15" operator="containsText" text="7PK 975" id="{E7B2431C-D099-4111-810F-BDCD67C53C13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4" operator="containsText" text="5PK 913" id="{E7A7B02C-C067-4AE6-A964-A2A6F4F3620F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P32</xm:sqref>
        </x14:conditionalFormatting>
        <x14:conditionalFormatting xmlns:xm="http://schemas.microsoft.com/office/excel/2006/main">
          <x14:cfRule type="containsText" priority="8" operator="containsText" text="5PK 913" id="{F4C92AD2-DD42-44B2-9157-47CB24684FA9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9" operator="containsText" text="7PK 975" id="{F5777DF7-61ED-4C50-A940-F898817981E5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P42</xm:sqref>
        </x14:conditionalFormatting>
        <x14:conditionalFormatting xmlns:xm="http://schemas.microsoft.com/office/excel/2006/main">
          <x14:cfRule type="containsText" priority="2" operator="containsText" text="5PK 913" id="{78794367-1D29-4A70-95CC-CF7DB9B02619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7PK 975" id="{E5E73941-70EE-43F4-89B4-65EE65DA741A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P51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7F03-5257-4C56-88F6-C7C36E2F2331}">
  <sheetPr>
    <pageSetUpPr fitToPage="1"/>
  </sheetPr>
  <dimension ref="A1:P47"/>
  <sheetViews>
    <sheetView tabSelected="1" workbookViewId="0">
      <selection activeCell="J26" sqref="J26"/>
    </sheetView>
  </sheetViews>
  <sheetFormatPr defaultColWidth="69.85546875" defaultRowHeight="15" x14ac:dyDescent="0.25"/>
  <cols>
    <col min="1" max="1" width="15.42578125" bestFit="1" customWidth="1"/>
    <col min="2" max="2" width="16.7109375" bestFit="1" customWidth="1"/>
    <col min="3" max="4" width="14.140625" bestFit="1" customWidth="1"/>
    <col min="5" max="5" width="32.5703125" bestFit="1" customWidth="1"/>
    <col min="6" max="6" width="12.7109375" bestFit="1" customWidth="1"/>
    <col min="7" max="7" width="7.7109375" bestFit="1" customWidth="1"/>
    <col min="8" max="8" width="12.140625" bestFit="1" customWidth="1"/>
    <col min="9" max="9" width="4.7109375" bestFit="1" customWidth="1"/>
    <col min="10" max="10" width="8" bestFit="1" customWidth="1"/>
    <col min="11" max="11" width="9" bestFit="1" customWidth="1"/>
    <col min="12" max="12" width="10.28515625" bestFit="1" customWidth="1"/>
    <col min="13" max="13" width="7.140625" bestFit="1" customWidth="1"/>
    <col min="14" max="14" width="7.85546875" bestFit="1" customWidth="1"/>
    <col min="15" max="15" width="11.28515625" bestFit="1" customWidth="1"/>
    <col min="16" max="16" width="45.140625" customWidth="1"/>
  </cols>
  <sheetData>
    <row r="1" spans="1:16" ht="23.25" x14ac:dyDescent="0.25">
      <c r="A1" s="65" t="s">
        <v>72</v>
      </c>
      <c r="B1" s="65"/>
      <c r="C1" s="65"/>
      <c r="D1" s="65"/>
      <c r="E1" s="65"/>
      <c r="F1" s="65"/>
      <c r="G1" s="1"/>
      <c r="H1" s="1"/>
      <c r="I1" s="1"/>
      <c r="J1" s="66" t="s">
        <v>73</v>
      </c>
      <c r="K1" s="67"/>
      <c r="L1" s="67"/>
      <c r="M1" s="67"/>
      <c r="N1" s="67"/>
      <c r="O1" s="22"/>
      <c r="P1" s="3"/>
    </row>
    <row r="2" spans="1:16" ht="15.75" x14ac:dyDescent="0.25">
      <c r="A2" s="4" t="s">
        <v>74</v>
      </c>
      <c r="B2" s="5">
        <v>45990</v>
      </c>
      <c r="C2" s="6"/>
      <c r="D2" s="6"/>
      <c r="E2" s="1"/>
      <c r="F2" s="7"/>
      <c r="G2" s="1"/>
      <c r="H2" s="1"/>
      <c r="I2" s="1"/>
      <c r="J2" s="1"/>
      <c r="K2" s="1"/>
      <c r="L2" s="68" t="s">
        <v>83</v>
      </c>
      <c r="M2" s="69"/>
      <c r="N2" s="70"/>
      <c r="O2" s="1"/>
      <c r="P2" s="8"/>
    </row>
    <row r="3" spans="1:16" s="20" customFormat="1" ht="31.5" customHeight="1" x14ac:dyDescent="0.25">
      <c r="A3" s="9" t="s">
        <v>75</v>
      </c>
      <c r="B3" s="9" t="s">
        <v>0</v>
      </c>
      <c r="C3" s="9" t="s">
        <v>1</v>
      </c>
      <c r="D3" s="9" t="s">
        <v>76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274</v>
      </c>
    </row>
    <row r="4" spans="1:16" x14ac:dyDescent="0.25">
      <c r="A4" s="15" t="s">
        <v>1485</v>
      </c>
      <c r="B4" s="16" t="s">
        <v>1447</v>
      </c>
      <c r="C4" s="1" t="s">
        <v>7</v>
      </c>
      <c r="D4" s="1" t="str">
        <f>VLOOKUP($C4,Sheet2!$A$2:$B$10,2,0)</f>
        <v>141110-14600</v>
      </c>
      <c r="E4" s="7" t="s">
        <v>8</v>
      </c>
      <c r="F4" s="12">
        <v>45990</v>
      </c>
      <c r="G4" s="13">
        <v>0.47916666666666669</v>
      </c>
      <c r="H4" s="1" t="s">
        <v>9</v>
      </c>
      <c r="I4" s="1" t="s">
        <v>10</v>
      </c>
      <c r="J4" s="1">
        <v>54</v>
      </c>
      <c r="K4" s="14">
        <f>VLOOKUP($C4,Sheet2!$A$2:$D$10,4,0)</f>
        <v>18</v>
      </c>
      <c r="L4" s="14" t="str">
        <f>VLOOKUP($C4,Sheet2!$A$2:$E$10,5,0)</f>
        <v>Trolley (H)</v>
      </c>
      <c r="M4" s="14"/>
      <c r="N4" s="63">
        <v>3</v>
      </c>
      <c r="O4" s="1" t="s">
        <v>528</v>
      </c>
      <c r="P4" s="1" t="s">
        <v>1439</v>
      </c>
    </row>
    <row r="5" spans="1:16" x14ac:dyDescent="0.25">
      <c r="A5" s="15" t="s">
        <v>1485</v>
      </c>
      <c r="B5" s="16" t="s">
        <v>1451</v>
      </c>
      <c r="C5" s="1" t="s">
        <v>16</v>
      </c>
      <c r="D5" s="1" t="str">
        <f>VLOOKUP($C5,Sheet2!$A$2:$B$10,2,0)</f>
        <v>141120-14600</v>
      </c>
      <c r="E5" s="7" t="s">
        <v>17</v>
      </c>
      <c r="F5" s="12">
        <v>45990</v>
      </c>
      <c r="G5" s="13">
        <v>0.47916666666666669</v>
      </c>
      <c r="H5" s="1" t="s">
        <v>9</v>
      </c>
      <c r="I5" s="1" t="s">
        <v>10</v>
      </c>
      <c r="J5" s="1">
        <v>54</v>
      </c>
      <c r="K5" s="14">
        <f>VLOOKUP($C5,Sheet2!$A$2:$D$10,4,0)</f>
        <v>18</v>
      </c>
      <c r="L5" s="14" t="str">
        <f>VLOOKUP($C5,Sheet2!$A$2:$E$10,5,0)</f>
        <v>Trolley (H)</v>
      </c>
      <c r="M5" s="14"/>
      <c r="N5" s="64"/>
      <c r="O5" s="1" t="s">
        <v>528</v>
      </c>
      <c r="P5" s="1" t="s">
        <v>1439</v>
      </c>
    </row>
    <row r="6" spans="1:16" x14ac:dyDescent="0.25">
      <c r="A6" s="15" t="s">
        <v>1485</v>
      </c>
      <c r="B6" s="16" t="s">
        <v>1454</v>
      </c>
      <c r="C6" s="1" t="s">
        <v>23</v>
      </c>
      <c r="D6" s="1" t="str">
        <f>VLOOKUP($C6,Sheet2!$A$2:$B$10,2,0)</f>
        <v>141185-74670</v>
      </c>
      <c r="E6" s="7" t="s">
        <v>24</v>
      </c>
      <c r="F6" s="12">
        <v>45990</v>
      </c>
      <c r="G6" s="13">
        <v>0.47916666666666669</v>
      </c>
      <c r="H6" s="1" t="s">
        <v>9</v>
      </c>
      <c r="I6" s="1" t="s">
        <v>10</v>
      </c>
      <c r="J6" s="1">
        <v>40</v>
      </c>
      <c r="K6" s="14">
        <f>VLOOKUP($C6,Sheet2!$A$2:$D$10,4,0)</f>
        <v>40</v>
      </c>
      <c r="L6" s="14" t="str">
        <f>VLOOKUP($C6,Sheet2!$A$2:$E$10,5,0)</f>
        <v>Trolley</v>
      </c>
      <c r="M6" s="14"/>
      <c r="N6" s="1">
        <f>J6/K6</f>
        <v>1</v>
      </c>
      <c r="O6" s="1" t="s">
        <v>528</v>
      </c>
      <c r="P6" s="1">
        <v>910102394</v>
      </c>
    </row>
    <row r="7" spans="1:16" x14ac:dyDescent="0.25">
      <c r="A7" s="15" t="s">
        <v>1485</v>
      </c>
      <c r="B7" s="16" t="s">
        <v>1455</v>
      </c>
      <c r="C7" s="1" t="s">
        <v>23</v>
      </c>
      <c r="D7" s="1" t="str">
        <f>VLOOKUP($C7,Sheet2!$A$2:$B$10,2,0)</f>
        <v>141185-74670</v>
      </c>
      <c r="E7" s="7" t="s">
        <v>24</v>
      </c>
      <c r="F7" s="12">
        <v>45990</v>
      </c>
      <c r="G7" s="13">
        <v>0.47916666666666669</v>
      </c>
      <c r="H7" s="1" t="s">
        <v>9</v>
      </c>
      <c r="I7" s="1" t="s">
        <v>10</v>
      </c>
      <c r="J7" s="1">
        <v>80</v>
      </c>
      <c r="K7" s="14">
        <f>VLOOKUP($C7,Sheet2!$A$2:$D$10,4,0)</f>
        <v>40</v>
      </c>
      <c r="L7" s="14" t="str">
        <f>VLOOKUP($C7,Sheet2!$A$2:$E$10,5,0)</f>
        <v>Trolley</v>
      </c>
      <c r="M7" s="14"/>
      <c r="N7" s="1">
        <f>J7/K7</f>
        <v>2</v>
      </c>
      <c r="O7" s="1" t="s">
        <v>528</v>
      </c>
      <c r="P7" s="1">
        <v>910102394</v>
      </c>
    </row>
    <row r="8" spans="1:16" x14ac:dyDescent="0.25">
      <c r="A8" s="15" t="s">
        <v>1485</v>
      </c>
      <c r="B8" s="16" t="s">
        <v>1458</v>
      </c>
      <c r="C8" s="1" t="s">
        <v>29</v>
      </c>
      <c r="D8" s="1" t="str">
        <f>VLOOKUP($C8,Sheet2!$A$2:$B$10,2,0)</f>
        <v>141140-91211</v>
      </c>
      <c r="E8" s="7" t="s">
        <v>30</v>
      </c>
      <c r="F8" s="12">
        <v>45990</v>
      </c>
      <c r="G8" s="13">
        <v>0.47916666666666669</v>
      </c>
      <c r="H8" s="1" t="s">
        <v>31</v>
      </c>
      <c r="I8" s="1" t="s">
        <v>10</v>
      </c>
      <c r="J8" s="1">
        <v>22</v>
      </c>
      <c r="K8" s="14">
        <f>VLOOKUP($C8,Sheet2!$A$2:$D$10,4,0)</f>
        <v>2</v>
      </c>
      <c r="L8" s="14" t="str">
        <f>VLOOKUP($C8,Sheet2!$A$2:$E$10,5,0)</f>
        <v>Bin</v>
      </c>
      <c r="M8" s="14">
        <f>J8/K8</f>
        <v>11</v>
      </c>
      <c r="N8" s="1"/>
      <c r="O8" s="1" t="s">
        <v>528</v>
      </c>
      <c r="P8" s="1" t="s">
        <v>1441</v>
      </c>
    </row>
    <row r="9" spans="1:16" x14ac:dyDescent="0.25">
      <c r="A9" s="15" t="s">
        <v>1485</v>
      </c>
      <c r="B9" s="16" t="s">
        <v>1459</v>
      </c>
      <c r="C9" s="1" t="s">
        <v>29</v>
      </c>
      <c r="D9" s="1" t="str">
        <f>VLOOKUP($C9,Sheet2!$A$2:$B$10,2,0)</f>
        <v>141140-91211</v>
      </c>
      <c r="E9" s="7" t="s">
        <v>30</v>
      </c>
      <c r="F9" s="12">
        <v>45990</v>
      </c>
      <c r="G9" s="13">
        <v>0.47916666666666669</v>
      </c>
      <c r="H9" s="1" t="s">
        <v>31</v>
      </c>
      <c r="I9" s="1" t="s">
        <v>10</v>
      </c>
      <c r="J9" s="1">
        <v>48</v>
      </c>
      <c r="K9" s="14">
        <f>VLOOKUP($C9,Sheet2!$A$2:$D$10,4,0)</f>
        <v>2</v>
      </c>
      <c r="L9" s="14" t="str">
        <f>VLOOKUP($C9,Sheet2!$A$2:$E$10,5,0)</f>
        <v>Bin</v>
      </c>
      <c r="M9" s="14">
        <f t="shared" ref="M9:M15" si="0">J9/K9</f>
        <v>24</v>
      </c>
      <c r="N9" s="1"/>
      <c r="O9" s="1" t="s">
        <v>528</v>
      </c>
      <c r="P9" s="1" t="s">
        <v>1441</v>
      </c>
    </row>
    <row r="10" spans="1:16" x14ac:dyDescent="0.25">
      <c r="A10" s="15" t="s">
        <v>1485</v>
      </c>
      <c r="B10" s="16" t="s">
        <v>1463</v>
      </c>
      <c r="C10" s="1" t="s">
        <v>37</v>
      </c>
      <c r="D10" s="1" t="str">
        <f>VLOOKUP($C10,Sheet2!$A$2:$B$10,2,0)</f>
        <v>141150-91211</v>
      </c>
      <c r="E10" s="7" t="s">
        <v>38</v>
      </c>
      <c r="F10" s="12">
        <v>45990</v>
      </c>
      <c r="G10" s="13">
        <v>0.47916666666666669</v>
      </c>
      <c r="H10" s="1" t="s">
        <v>31</v>
      </c>
      <c r="I10" s="1" t="s">
        <v>10</v>
      </c>
      <c r="J10" s="1">
        <v>22</v>
      </c>
      <c r="K10" s="14">
        <f>VLOOKUP($C10,Sheet2!$A$2:$D$10,4,0)</f>
        <v>2</v>
      </c>
      <c r="L10" s="14" t="str">
        <f>VLOOKUP($C10,Sheet2!$A$2:$E$10,5,0)</f>
        <v>Bin</v>
      </c>
      <c r="M10" s="14">
        <f t="shared" si="0"/>
        <v>11</v>
      </c>
      <c r="N10" s="1"/>
      <c r="O10" s="1" t="s">
        <v>528</v>
      </c>
      <c r="P10" s="1" t="s">
        <v>1441</v>
      </c>
    </row>
    <row r="11" spans="1:16" x14ac:dyDescent="0.25">
      <c r="A11" s="15" t="s">
        <v>1485</v>
      </c>
      <c r="B11" s="16" t="s">
        <v>1468</v>
      </c>
      <c r="C11" s="1" t="s">
        <v>45</v>
      </c>
      <c r="D11" s="1" t="str">
        <f>VLOOKUP($C11,Sheet2!$A$2:$B$10,2,0)</f>
        <v>141186-74360</v>
      </c>
      <c r="E11" s="7" t="s">
        <v>46</v>
      </c>
      <c r="F11" s="12">
        <v>45990</v>
      </c>
      <c r="G11" s="13">
        <v>0.47916666666666669</v>
      </c>
      <c r="H11" s="1" t="s">
        <v>31</v>
      </c>
      <c r="I11" s="1" t="s">
        <v>10</v>
      </c>
      <c r="J11" s="1">
        <v>40</v>
      </c>
      <c r="K11" s="14">
        <f>VLOOKUP($C11,Sheet2!$A$2:$D$10,4,0)</f>
        <v>40</v>
      </c>
      <c r="L11" s="14" t="str">
        <f>VLOOKUP($C11,Sheet2!$A$2:$E$10,5,0)</f>
        <v>Trolley</v>
      </c>
      <c r="M11" s="14"/>
      <c r="N11" s="1">
        <f>J11/K11</f>
        <v>1</v>
      </c>
      <c r="O11" s="1" t="s">
        <v>528</v>
      </c>
      <c r="P11" s="1">
        <v>910101985</v>
      </c>
    </row>
    <row r="12" spans="1:16" s="20" customForma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>
        <v>46</v>
      </c>
      <c r="N12" s="9">
        <v>7</v>
      </c>
      <c r="O12" s="9"/>
      <c r="P12" s="9"/>
    </row>
    <row r="13" spans="1:16" x14ac:dyDescent="0.25">
      <c r="A13" s="15" t="s">
        <v>1486</v>
      </c>
      <c r="B13" s="16" t="s">
        <v>1446</v>
      </c>
      <c r="C13" s="1" t="s">
        <v>7</v>
      </c>
      <c r="D13" s="1" t="str">
        <f>VLOOKUP($C13,Sheet2!$A$2:$B$10,2,0)</f>
        <v>141110-14600</v>
      </c>
      <c r="E13" s="7" t="s">
        <v>8</v>
      </c>
      <c r="F13" s="12">
        <v>45990</v>
      </c>
      <c r="G13" s="13">
        <v>0.47916666666666669</v>
      </c>
      <c r="H13" s="1" t="s">
        <v>9</v>
      </c>
      <c r="I13" s="1" t="s">
        <v>10</v>
      </c>
      <c r="J13" s="1">
        <v>18</v>
      </c>
      <c r="K13" s="14">
        <f>VLOOKUP($C13,Sheet2!$A$2:$D$10,4,0)</f>
        <v>18</v>
      </c>
      <c r="L13" s="14" t="str">
        <f>VLOOKUP($C13,Sheet2!$A$2:$E$10,5,0)</f>
        <v>Trolley (H)</v>
      </c>
      <c r="M13" s="14"/>
      <c r="N13" s="63">
        <v>1</v>
      </c>
      <c r="O13" s="1" t="s">
        <v>171</v>
      </c>
      <c r="P13" s="1" t="s">
        <v>1498</v>
      </c>
    </row>
    <row r="14" spans="1:16" x14ac:dyDescent="0.25">
      <c r="A14" s="15" t="s">
        <v>1486</v>
      </c>
      <c r="B14" s="16" t="s">
        <v>1450</v>
      </c>
      <c r="C14" s="1" t="s">
        <v>16</v>
      </c>
      <c r="D14" s="1" t="str">
        <f>VLOOKUP($C14,Sheet2!$A$2:$B$10,2,0)</f>
        <v>141120-14600</v>
      </c>
      <c r="E14" s="7" t="s">
        <v>17</v>
      </c>
      <c r="F14" s="12">
        <v>45990</v>
      </c>
      <c r="G14" s="13">
        <v>0.47916666666666669</v>
      </c>
      <c r="H14" s="1" t="s">
        <v>9</v>
      </c>
      <c r="I14" s="1" t="s">
        <v>10</v>
      </c>
      <c r="J14" s="1">
        <v>18</v>
      </c>
      <c r="K14" s="14">
        <f>VLOOKUP($C14,Sheet2!$A$2:$D$10,4,0)</f>
        <v>18</v>
      </c>
      <c r="L14" s="14" t="str">
        <f>VLOOKUP($C14,Sheet2!$A$2:$E$10,5,0)</f>
        <v>Trolley (H)</v>
      </c>
      <c r="M14" s="14"/>
      <c r="N14" s="64"/>
      <c r="O14" s="1" t="s">
        <v>171</v>
      </c>
      <c r="P14" s="1" t="s">
        <v>1498</v>
      </c>
    </row>
    <row r="15" spans="1:16" x14ac:dyDescent="0.25">
      <c r="A15" s="15" t="s">
        <v>1486</v>
      </c>
      <c r="B15" s="16" t="s">
        <v>1464</v>
      </c>
      <c r="C15" s="1" t="s">
        <v>37</v>
      </c>
      <c r="D15" s="1" t="str">
        <f>VLOOKUP($C15,Sheet2!$A$2:$B$10,2,0)</f>
        <v>141150-91211</v>
      </c>
      <c r="E15" s="7" t="s">
        <v>38</v>
      </c>
      <c r="F15" s="12">
        <v>45990</v>
      </c>
      <c r="G15" s="13">
        <v>0.47916666666666669</v>
      </c>
      <c r="H15" s="1" t="s">
        <v>31</v>
      </c>
      <c r="I15" s="1" t="s">
        <v>10</v>
      </c>
      <c r="J15" s="1">
        <v>48</v>
      </c>
      <c r="K15" s="14">
        <f>VLOOKUP($C15,Sheet2!$A$2:$D$10,4,0)</f>
        <v>2</v>
      </c>
      <c r="L15" s="14" t="str">
        <f>VLOOKUP($C15,Sheet2!$A$2:$E$10,5,0)</f>
        <v>Bin</v>
      </c>
      <c r="M15" s="14">
        <f t="shared" si="0"/>
        <v>24</v>
      </c>
      <c r="N15" s="1"/>
      <c r="O15" s="1" t="s">
        <v>171</v>
      </c>
      <c r="P15" s="1" t="s">
        <v>1441</v>
      </c>
    </row>
    <row r="16" spans="1:16" x14ac:dyDescent="0.25">
      <c r="A16" s="15" t="s">
        <v>1486</v>
      </c>
      <c r="B16" s="16" t="s">
        <v>1469</v>
      </c>
      <c r="C16" s="1" t="s">
        <v>45</v>
      </c>
      <c r="D16" s="1" t="str">
        <f>VLOOKUP($C16,Sheet2!$A$2:$B$10,2,0)</f>
        <v>141186-74360</v>
      </c>
      <c r="E16" s="7" t="s">
        <v>46</v>
      </c>
      <c r="F16" s="12">
        <v>45990</v>
      </c>
      <c r="G16" s="13">
        <v>0.47916666666666669</v>
      </c>
      <c r="H16" s="1" t="s">
        <v>31</v>
      </c>
      <c r="I16" s="1" t="s">
        <v>10</v>
      </c>
      <c r="J16" s="1">
        <v>120</v>
      </c>
      <c r="K16" s="14">
        <f>VLOOKUP($C16,Sheet2!$A$2:$D$10,4,0)</f>
        <v>40</v>
      </c>
      <c r="L16" s="14" t="str">
        <f>VLOOKUP($C16,Sheet2!$A$2:$E$10,5,0)</f>
        <v>Trolley</v>
      </c>
      <c r="M16" s="14"/>
      <c r="N16" s="1">
        <f t="shared" ref="N16" si="1">J16/K16</f>
        <v>3</v>
      </c>
      <c r="O16" s="1" t="s">
        <v>171</v>
      </c>
      <c r="P16" s="1">
        <v>910101603</v>
      </c>
    </row>
    <row r="17" spans="1:16" x14ac:dyDescent="0.25">
      <c r="A17" s="15" t="s">
        <v>1487</v>
      </c>
      <c r="B17" s="16" t="s">
        <v>1472</v>
      </c>
      <c r="C17" s="1" t="s">
        <v>50</v>
      </c>
      <c r="D17" s="1" t="str">
        <f>VLOOKUP($C17,Sheet2!$A$2:$B$10,2,0)</f>
        <v>116040-92240</v>
      </c>
      <c r="E17" s="7" t="s">
        <v>51</v>
      </c>
      <c r="F17" s="12">
        <v>45990</v>
      </c>
      <c r="G17" s="13">
        <v>0.47916666666666669</v>
      </c>
      <c r="H17" s="1" t="s">
        <v>52</v>
      </c>
      <c r="I17" s="1" t="s">
        <v>10</v>
      </c>
      <c r="J17" s="1">
        <v>18</v>
      </c>
      <c r="K17" s="14">
        <f>VLOOKUP($C17,Sheet2!$A$2:$D$10,4,0)</f>
        <v>6</v>
      </c>
      <c r="L17" s="14" t="str">
        <f>VLOOKUP($C17,Sheet2!$A$2:$E$10,5,0)</f>
        <v>Bin</v>
      </c>
      <c r="M17" s="14">
        <f t="shared" ref="M17:M22" si="2">J17/K17</f>
        <v>3</v>
      </c>
      <c r="N17" s="1"/>
      <c r="O17" s="1" t="s">
        <v>171</v>
      </c>
      <c r="P17" s="1" t="s">
        <v>1303</v>
      </c>
    </row>
    <row r="18" spans="1:16" x14ac:dyDescent="0.25">
      <c r="A18" s="15" t="s">
        <v>1487</v>
      </c>
      <c r="B18" s="16" t="s">
        <v>1473</v>
      </c>
      <c r="C18" s="1" t="s">
        <v>50</v>
      </c>
      <c r="D18" s="1" t="str">
        <f>VLOOKUP($C18,Sheet2!$A$2:$B$10,2,0)</f>
        <v>116040-92240</v>
      </c>
      <c r="E18" s="7" t="s">
        <v>51</v>
      </c>
      <c r="F18" s="12">
        <v>45990</v>
      </c>
      <c r="G18" s="13">
        <v>0.47916666666666669</v>
      </c>
      <c r="H18" s="1" t="s">
        <v>52</v>
      </c>
      <c r="I18" s="1" t="s">
        <v>10</v>
      </c>
      <c r="J18" s="1">
        <v>48</v>
      </c>
      <c r="K18" s="14">
        <f>VLOOKUP($C18,Sheet2!$A$2:$D$10,4,0)</f>
        <v>6</v>
      </c>
      <c r="L18" s="14" t="str">
        <f>VLOOKUP($C18,Sheet2!$A$2:$E$10,5,0)</f>
        <v>Bin</v>
      </c>
      <c r="M18" s="14">
        <f t="shared" si="2"/>
        <v>8</v>
      </c>
      <c r="N18" s="1"/>
      <c r="O18" s="1" t="s">
        <v>171</v>
      </c>
      <c r="P18" s="1" t="s">
        <v>1501</v>
      </c>
    </row>
    <row r="19" spans="1:16" x14ac:dyDescent="0.25">
      <c r="A19" s="15" t="s">
        <v>1487</v>
      </c>
      <c r="B19" s="16" t="s">
        <v>1476</v>
      </c>
      <c r="C19" s="1" t="s">
        <v>59</v>
      </c>
      <c r="D19" s="1" t="str">
        <f>VLOOKUP($C19,Sheet2!$A$2:$B$10,2,0)</f>
        <v>114010-50820</v>
      </c>
      <c r="E19" s="7" t="s">
        <v>60</v>
      </c>
      <c r="F19" s="12">
        <v>45990</v>
      </c>
      <c r="G19" s="13">
        <v>0.47916666666666669</v>
      </c>
      <c r="H19" s="1" t="s">
        <v>52</v>
      </c>
      <c r="I19" s="1" t="s">
        <v>10</v>
      </c>
      <c r="J19" s="1">
        <v>9</v>
      </c>
      <c r="K19" s="14">
        <f>VLOOKUP($C19,Sheet2!$A$2:$D$10,4,0)</f>
        <v>1</v>
      </c>
      <c r="L19" s="14" t="str">
        <f>VLOOKUP($C19,Sheet2!$A$2:$E$10,5,0)</f>
        <v>Bin</v>
      </c>
      <c r="M19" s="14">
        <f t="shared" si="2"/>
        <v>9</v>
      </c>
      <c r="N19" s="1"/>
      <c r="O19" s="1" t="s">
        <v>171</v>
      </c>
      <c r="P19" s="1" t="s">
        <v>1499</v>
      </c>
    </row>
    <row r="20" spans="1:16" x14ac:dyDescent="0.25">
      <c r="A20" s="15" t="s">
        <v>1487</v>
      </c>
      <c r="B20" s="16" t="s">
        <v>1477</v>
      </c>
      <c r="C20" s="1" t="s">
        <v>59</v>
      </c>
      <c r="D20" s="1" t="str">
        <f>VLOOKUP($C20,Sheet2!$A$2:$B$10,2,0)</f>
        <v>114010-50820</v>
      </c>
      <c r="E20" s="7" t="s">
        <v>60</v>
      </c>
      <c r="F20" s="12">
        <v>45990</v>
      </c>
      <c r="G20" s="13">
        <v>0.47916666666666669</v>
      </c>
      <c r="H20" s="1" t="s">
        <v>52</v>
      </c>
      <c r="I20" s="1" t="s">
        <v>10</v>
      </c>
      <c r="J20" s="1">
        <v>19</v>
      </c>
      <c r="K20" s="14">
        <f>VLOOKUP($C20,Sheet2!$A$2:$D$10,4,0)</f>
        <v>1</v>
      </c>
      <c r="L20" s="14" t="str">
        <f>VLOOKUP($C20,Sheet2!$A$2:$E$10,5,0)</f>
        <v>Bin</v>
      </c>
      <c r="M20" s="14">
        <f t="shared" si="2"/>
        <v>19</v>
      </c>
      <c r="N20" s="1"/>
      <c r="O20" s="1" t="s">
        <v>171</v>
      </c>
      <c r="P20" s="1" t="s">
        <v>1499</v>
      </c>
    </row>
    <row r="21" spans="1:16" x14ac:dyDescent="0.25">
      <c r="A21" s="15" t="s">
        <v>1487</v>
      </c>
      <c r="B21" s="16" t="s">
        <v>1480</v>
      </c>
      <c r="C21" s="1" t="s">
        <v>67</v>
      </c>
      <c r="D21" s="1" t="str">
        <f>VLOOKUP($C21,Sheet2!$A$2:$B$10,2,0)</f>
        <v>114010-50830</v>
      </c>
      <c r="E21" s="7" t="s">
        <v>60</v>
      </c>
      <c r="F21" s="12">
        <v>45990</v>
      </c>
      <c r="G21" s="13">
        <v>0.47916666666666669</v>
      </c>
      <c r="H21" s="1" t="s">
        <v>52</v>
      </c>
      <c r="I21" s="1" t="s">
        <v>10</v>
      </c>
      <c r="J21" s="1">
        <v>12</v>
      </c>
      <c r="K21" s="14">
        <f>VLOOKUP($C21,Sheet2!$A$2:$D$10,4,0)</f>
        <v>1</v>
      </c>
      <c r="L21" s="14" t="str">
        <f>VLOOKUP($C21,Sheet2!$A$2:$E$10,5,0)</f>
        <v>Bin</v>
      </c>
      <c r="M21" s="14">
        <f t="shared" si="2"/>
        <v>12</v>
      </c>
      <c r="N21" s="1"/>
      <c r="O21" s="1" t="s">
        <v>171</v>
      </c>
      <c r="P21" s="1" t="s">
        <v>1495</v>
      </c>
    </row>
    <row r="22" spans="1:16" x14ac:dyDescent="0.25">
      <c r="A22" s="15" t="s">
        <v>1487</v>
      </c>
      <c r="B22" s="16" t="s">
        <v>1481</v>
      </c>
      <c r="C22" s="1" t="s">
        <v>67</v>
      </c>
      <c r="D22" s="1" t="str">
        <f>VLOOKUP($C22,Sheet2!$A$2:$B$10,2,0)</f>
        <v>114010-50830</v>
      </c>
      <c r="E22" s="7" t="s">
        <v>60</v>
      </c>
      <c r="F22" s="12">
        <v>45990</v>
      </c>
      <c r="G22" s="13">
        <v>0.47916666666666669</v>
      </c>
      <c r="H22" s="1" t="s">
        <v>52</v>
      </c>
      <c r="I22" s="1" t="s">
        <v>10</v>
      </c>
      <c r="J22" s="1">
        <v>29</v>
      </c>
      <c r="K22" s="14">
        <f>VLOOKUP($C22,Sheet2!$A$2:$D$10,4,0)</f>
        <v>1</v>
      </c>
      <c r="L22" s="14" t="str">
        <f>VLOOKUP($C22,Sheet2!$A$2:$E$10,5,0)</f>
        <v>Bin</v>
      </c>
      <c r="M22" s="14">
        <f t="shared" si="2"/>
        <v>29</v>
      </c>
      <c r="N22" s="1"/>
      <c r="O22" s="1" t="s">
        <v>171</v>
      </c>
      <c r="P22" s="1" t="s">
        <v>1495</v>
      </c>
    </row>
    <row r="23" spans="1:16" s="20" customForma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>
        <v>104</v>
      </c>
      <c r="N23" s="9">
        <v>4</v>
      </c>
      <c r="O23" s="9"/>
      <c r="P23" s="9"/>
    </row>
    <row r="24" spans="1:16" x14ac:dyDescent="0.25">
      <c r="A24" s="15" t="s">
        <v>1488</v>
      </c>
      <c r="B24" s="16" t="s">
        <v>1448</v>
      </c>
      <c r="C24" s="1" t="s">
        <v>7</v>
      </c>
      <c r="D24" s="1" t="str">
        <f>VLOOKUP($C24,Sheet2!$A$2:$B$10,2,0)</f>
        <v>141110-14600</v>
      </c>
      <c r="E24" s="7" t="s">
        <v>8</v>
      </c>
      <c r="F24" s="12">
        <v>45990</v>
      </c>
      <c r="G24" s="13">
        <v>0.52083333333333337</v>
      </c>
      <c r="H24" s="1" t="s">
        <v>9</v>
      </c>
      <c r="I24" s="1" t="s">
        <v>10</v>
      </c>
      <c r="J24" s="1">
        <v>18</v>
      </c>
      <c r="K24" s="14">
        <f>VLOOKUP($C24,Sheet2!$A$2:$D$10,4,0)</f>
        <v>18</v>
      </c>
      <c r="L24" s="14" t="str">
        <f>VLOOKUP($C24,Sheet2!$A$2:$E$10,5,0)</f>
        <v>Trolley (H)</v>
      </c>
      <c r="M24" s="14"/>
      <c r="N24" s="63">
        <v>1</v>
      </c>
      <c r="O24" s="1" t="s">
        <v>166</v>
      </c>
      <c r="P24" s="1" t="s">
        <v>1502</v>
      </c>
    </row>
    <row r="25" spans="1:16" x14ac:dyDescent="0.25">
      <c r="A25" s="15" t="s">
        <v>1488</v>
      </c>
      <c r="B25" s="16" t="s">
        <v>1452</v>
      </c>
      <c r="C25" s="1" t="s">
        <v>16</v>
      </c>
      <c r="D25" s="1" t="str">
        <f>VLOOKUP($C25,Sheet2!$A$2:$B$10,2,0)</f>
        <v>141120-14600</v>
      </c>
      <c r="E25" s="7" t="s">
        <v>17</v>
      </c>
      <c r="F25" s="12">
        <v>45990</v>
      </c>
      <c r="G25" s="13">
        <v>0.52083333333333337</v>
      </c>
      <c r="H25" s="1" t="s">
        <v>9</v>
      </c>
      <c r="I25" s="1" t="s">
        <v>10</v>
      </c>
      <c r="J25" s="1">
        <v>18</v>
      </c>
      <c r="K25" s="14">
        <f>VLOOKUP($C25,Sheet2!$A$2:$D$10,4,0)</f>
        <v>18</v>
      </c>
      <c r="L25" s="14" t="str">
        <f>VLOOKUP($C25,Sheet2!$A$2:$E$10,5,0)</f>
        <v>Trolley (H)</v>
      </c>
      <c r="M25" s="14"/>
      <c r="N25" s="64"/>
      <c r="O25" s="1" t="s">
        <v>166</v>
      </c>
      <c r="P25" s="1" t="s">
        <v>1502</v>
      </c>
    </row>
    <row r="26" spans="1:16" x14ac:dyDescent="0.25">
      <c r="A26" s="15" t="s">
        <v>1488</v>
      </c>
      <c r="B26" s="16" t="s">
        <v>1456</v>
      </c>
      <c r="C26" s="1" t="s">
        <v>23</v>
      </c>
      <c r="D26" s="1" t="str">
        <f>VLOOKUP($C26,Sheet2!$A$2:$B$10,2,0)</f>
        <v>141185-74670</v>
      </c>
      <c r="E26" s="7" t="s">
        <v>24</v>
      </c>
      <c r="F26" s="12">
        <v>45990</v>
      </c>
      <c r="G26" s="13">
        <v>0.52083333333333337</v>
      </c>
      <c r="H26" s="1" t="s">
        <v>9</v>
      </c>
      <c r="I26" s="1" t="s">
        <v>10</v>
      </c>
      <c r="J26" s="1">
        <v>40</v>
      </c>
      <c r="K26" s="14">
        <f>VLOOKUP($C26,Sheet2!$A$2:$D$10,4,0)</f>
        <v>40</v>
      </c>
      <c r="L26" s="14" t="str">
        <f>VLOOKUP($C26,Sheet2!$A$2:$E$10,5,0)</f>
        <v>Trolley</v>
      </c>
      <c r="M26" s="14"/>
      <c r="N26" s="1">
        <f>J26/K26</f>
        <v>1</v>
      </c>
      <c r="O26" s="1" t="s">
        <v>166</v>
      </c>
      <c r="P26" s="1">
        <v>910102394</v>
      </c>
    </row>
    <row r="27" spans="1:16" x14ac:dyDescent="0.25">
      <c r="A27" s="15" t="s">
        <v>1488</v>
      </c>
      <c r="B27" s="16" t="s">
        <v>1460</v>
      </c>
      <c r="C27" s="1" t="s">
        <v>29</v>
      </c>
      <c r="D27" s="1" t="str">
        <f>VLOOKUP($C27,Sheet2!$A$2:$B$10,2,0)</f>
        <v>141140-91211</v>
      </c>
      <c r="E27" s="7" t="s">
        <v>30</v>
      </c>
      <c r="F27" s="12">
        <v>45990</v>
      </c>
      <c r="G27" s="13">
        <v>0.52083333333333337</v>
      </c>
      <c r="H27" s="1" t="s">
        <v>31</v>
      </c>
      <c r="I27" s="1" t="s">
        <v>10</v>
      </c>
      <c r="J27" s="1">
        <v>20</v>
      </c>
      <c r="K27" s="14">
        <f>VLOOKUP($C27,Sheet2!$A$2:$D$10,4,0)</f>
        <v>2</v>
      </c>
      <c r="L27" s="14" t="str">
        <f>VLOOKUP($C27,Sheet2!$A$2:$E$10,5,0)</f>
        <v>Bin</v>
      </c>
      <c r="M27" s="14">
        <f t="shared" ref="M27:M28" si="3">J27/K27</f>
        <v>10</v>
      </c>
      <c r="N27" s="1"/>
      <c r="O27" s="1" t="s">
        <v>166</v>
      </c>
      <c r="P27" s="1" t="s">
        <v>1441</v>
      </c>
    </row>
    <row r="28" spans="1:16" x14ac:dyDescent="0.25">
      <c r="A28" s="15" t="s">
        <v>1488</v>
      </c>
      <c r="B28" s="16" t="s">
        <v>1465</v>
      </c>
      <c r="C28" s="1" t="s">
        <v>37</v>
      </c>
      <c r="D28" s="1" t="str">
        <f>VLOOKUP($C28,Sheet2!$A$2:$B$10,2,0)</f>
        <v>141150-91211</v>
      </c>
      <c r="E28" s="7" t="s">
        <v>38</v>
      </c>
      <c r="F28" s="12">
        <v>45990</v>
      </c>
      <c r="G28" s="13">
        <v>0.52083333333333337</v>
      </c>
      <c r="H28" s="1" t="s">
        <v>31</v>
      </c>
      <c r="I28" s="1" t="s">
        <v>10</v>
      </c>
      <c r="J28" s="1">
        <v>20</v>
      </c>
      <c r="K28" s="14">
        <f>VLOOKUP($C28,Sheet2!$A$2:$D$10,4,0)</f>
        <v>2</v>
      </c>
      <c r="L28" s="14" t="str">
        <f>VLOOKUP($C28,Sheet2!$A$2:$E$10,5,0)</f>
        <v>Bin</v>
      </c>
      <c r="M28" s="14">
        <f t="shared" si="3"/>
        <v>10</v>
      </c>
      <c r="N28" s="1"/>
      <c r="O28" s="1" t="s">
        <v>166</v>
      </c>
      <c r="P28" s="1" t="s">
        <v>1441</v>
      </c>
    </row>
    <row r="29" spans="1:16" x14ac:dyDescent="0.25">
      <c r="A29" s="15" t="s">
        <v>1488</v>
      </c>
      <c r="B29" s="16" t="s">
        <v>1470</v>
      </c>
      <c r="C29" s="1" t="s">
        <v>45</v>
      </c>
      <c r="D29" s="1" t="str">
        <f>VLOOKUP($C29,Sheet2!$A$2:$B$10,2,0)</f>
        <v>141186-74360</v>
      </c>
      <c r="E29" s="7" t="s">
        <v>46</v>
      </c>
      <c r="F29" s="12">
        <v>45990</v>
      </c>
      <c r="G29" s="13">
        <v>0.52083333333333337</v>
      </c>
      <c r="H29" s="1" t="s">
        <v>31</v>
      </c>
      <c r="I29" s="1" t="s">
        <v>10</v>
      </c>
      <c r="J29" s="1">
        <v>40</v>
      </c>
      <c r="K29" s="14">
        <f>VLOOKUP($C29,Sheet2!$A$2:$D$10,4,0)</f>
        <v>40</v>
      </c>
      <c r="L29" s="14" t="str">
        <f>VLOOKUP($C29,Sheet2!$A$2:$E$10,5,0)</f>
        <v>Trolley</v>
      </c>
      <c r="M29" s="14"/>
      <c r="N29" s="1">
        <f>J29/K29</f>
        <v>1</v>
      </c>
      <c r="O29" s="1" t="s">
        <v>166</v>
      </c>
      <c r="P29" s="1">
        <v>910101603</v>
      </c>
    </row>
    <row r="30" spans="1:16" x14ac:dyDescent="0.25">
      <c r="A30" s="15" t="s">
        <v>1489</v>
      </c>
      <c r="B30" s="16" t="s">
        <v>1474</v>
      </c>
      <c r="C30" s="1" t="s">
        <v>50</v>
      </c>
      <c r="D30" s="1" t="str">
        <f>VLOOKUP($C30,Sheet2!$A$2:$B$10,2,0)</f>
        <v>116040-92240</v>
      </c>
      <c r="E30" s="7" t="s">
        <v>51</v>
      </c>
      <c r="F30" s="12">
        <v>45990</v>
      </c>
      <c r="G30" s="13">
        <v>0.52083333333333337</v>
      </c>
      <c r="H30" s="1" t="s">
        <v>52</v>
      </c>
      <c r="I30" s="1" t="s">
        <v>10</v>
      </c>
      <c r="J30" s="1">
        <v>24</v>
      </c>
      <c r="K30" s="14">
        <f>VLOOKUP($C30,Sheet2!$A$2:$D$10,4,0)</f>
        <v>6</v>
      </c>
      <c r="L30" s="14" t="str">
        <f>VLOOKUP($C30,Sheet2!$A$2:$E$10,5,0)</f>
        <v>Bin</v>
      </c>
      <c r="M30" s="14">
        <f t="shared" ref="M30:M32" si="4">J30/K30</f>
        <v>4</v>
      </c>
      <c r="N30" s="1"/>
      <c r="O30" s="1" t="s">
        <v>166</v>
      </c>
      <c r="P30" s="1" t="s">
        <v>1500</v>
      </c>
    </row>
    <row r="31" spans="1:16" x14ac:dyDescent="0.25">
      <c r="A31" s="15" t="s">
        <v>1489</v>
      </c>
      <c r="B31" s="16" t="s">
        <v>1478</v>
      </c>
      <c r="C31" s="1" t="s">
        <v>59</v>
      </c>
      <c r="D31" s="1" t="str">
        <f>VLOOKUP($C31,Sheet2!$A$2:$B$10,2,0)</f>
        <v>114010-50820</v>
      </c>
      <c r="E31" s="7" t="s">
        <v>60</v>
      </c>
      <c r="F31" s="12">
        <v>45990</v>
      </c>
      <c r="G31" s="13">
        <v>0.52083333333333337</v>
      </c>
      <c r="H31" s="1" t="s">
        <v>52</v>
      </c>
      <c r="I31" s="1" t="s">
        <v>10</v>
      </c>
      <c r="J31" s="1">
        <v>5</v>
      </c>
      <c r="K31" s="14">
        <f>VLOOKUP($C31,Sheet2!$A$2:$D$10,4,0)</f>
        <v>1</v>
      </c>
      <c r="L31" s="14" t="str">
        <f>VLOOKUP($C31,Sheet2!$A$2:$E$10,5,0)</f>
        <v>Bin</v>
      </c>
      <c r="M31" s="14">
        <f t="shared" si="4"/>
        <v>5</v>
      </c>
      <c r="N31" s="1"/>
      <c r="O31" s="1" t="s">
        <v>166</v>
      </c>
      <c r="P31" s="1" t="s">
        <v>910</v>
      </c>
    </row>
    <row r="32" spans="1:16" x14ac:dyDescent="0.25">
      <c r="A32" s="15" t="s">
        <v>1489</v>
      </c>
      <c r="B32" s="16" t="s">
        <v>1482</v>
      </c>
      <c r="C32" s="1" t="s">
        <v>67</v>
      </c>
      <c r="D32" s="1" t="str">
        <f>VLOOKUP($C32,Sheet2!$A$2:$B$10,2,0)</f>
        <v>114010-50830</v>
      </c>
      <c r="E32" s="7" t="s">
        <v>60</v>
      </c>
      <c r="F32" s="12">
        <v>45990</v>
      </c>
      <c r="G32" s="13">
        <v>0.52083333333333337</v>
      </c>
      <c r="H32" s="1" t="s">
        <v>52</v>
      </c>
      <c r="I32" s="1" t="s">
        <v>10</v>
      </c>
      <c r="J32" s="1">
        <v>5</v>
      </c>
      <c r="K32" s="14">
        <f>VLOOKUP($C32,Sheet2!$A$2:$D$10,4,0)</f>
        <v>1</v>
      </c>
      <c r="L32" s="14" t="str">
        <f>VLOOKUP($C32,Sheet2!$A$2:$E$10,5,0)</f>
        <v>Bin</v>
      </c>
      <c r="M32" s="14">
        <f t="shared" si="4"/>
        <v>5</v>
      </c>
      <c r="N32" s="1"/>
      <c r="O32" s="1" t="s">
        <v>166</v>
      </c>
      <c r="P32" s="1" t="s">
        <v>1495</v>
      </c>
    </row>
    <row r="33" spans="1:16" s="20" customForma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>
        <v>34</v>
      </c>
      <c r="N33" s="9">
        <v>3</v>
      </c>
      <c r="O33" s="9"/>
      <c r="P33" s="9"/>
    </row>
    <row r="34" spans="1:16" ht="15.75" customHeight="1" x14ac:dyDescent="0.25">
      <c r="A34" s="15" t="s">
        <v>1490</v>
      </c>
      <c r="B34" s="16" t="s">
        <v>1457</v>
      </c>
      <c r="C34" s="1" t="s">
        <v>23</v>
      </c>
      <c r="D34" s="1" t="str">
        <f>VLOOKUP($C34,Sheet2!$A$2:$B$10,2,0)</f>
        <v>141185-74670</v>
      </c>
      <c r="E34" s="7" t="s">
        <v>24</v>
      </c>
      <c r="F34" s="12">
        <v>45990</v>
      </c>
      <c r="G34" s="13">
        <v>0.60416666666666663</v>
      </c>
      <c r="H34" s="1" t="s">
        <v>9</v>
      </c>
      <c r="I34" s="1" t="s">
        <v>10</v>
      </c>
      <c r="J34" s="1">
        <v>40</v>
      </c>
      <c r="K34" s="14">
        <f>VLOOKUP($C34,Sheet2!$A$2:$D$10,4,0)</f>
        <v>40</v>
      </c>
      <c r="L34" s="14" t="str">
        <f>VLOOKUP($C34,Sheet2!$A$2:$E$10,5,0)</f>
        <v>Trolley</v>
      </c>
      <c r="M34" s="14"/>
      <c r="N34" s="1">
        <f>J34/K34</f>
        <v>1</v>
      </c>
      <c r="O34" s="1" t="s">
        <v>1301</v>
      </c>
      <c r="P34" s="1">
        <v>910102507</v>
      </c>
    </row>
    <row r="35" spans="1:16" ht="15.75" customHeight="1" x14ac:dyDescent="0.25">
      <c r="A35" s="15" t="s">
        <v>1490</v>
      </c>
      <c r="B35" s="16" t="s">
        <v>1461</v>
      </c>
      <c r="C35" s="1" t="s">
        <v>29</v>
      </c>
      <c r="D35" s="1" t="str">
        <f>VLOOKUP($C35,Sheet2!$A$2:$B$10,2,0)</f>
        <v>141140-91211</v>
      </c>
      <c r="E35" s="7" t="s">
        <v>30</v>
      </c>
      <c r="F35" s="12">
        <v>45990</v>
      </c>
      <c r="G35" s="13">
        <v>0.60416666666666663</v>
      </c>
      <c r="H35" s="1" t="s">
        <v>31</v>
      </c>
      <c r="I35" s="1" t="s">
        <v>10</v>
      </c>
      <c r="J35" s="1">
        <v>2</v>
      </c>
      <c r="K35" s="14">
        <f>VLOOKUP($C35,Sheet2!$A$2:$D$10,4,0)</f>
        <v>2</v>
      </c>
      <c r="L35" s="14" t="str">
        <f>VLOOKUP($C35,Sheet2!$A$2:$E$10,5,0)</f>
        <v>Bin</v>
      </c>
      <c r="M35" s="14">
        <f t="shared" ref="M35:M37" si="5">J35/K35</f>
        <v>1</v>
      </c>
      <c r="N35" s="1"/>
      <c r="O35" s="1" t="s">
        <v>1301</v>
      </c>
      <c r="P35" s="1" t="s">
        <v>1503</v>
      </c>
    </row>
    <row r="36" spans="1:16" ht="15.75" customHeight="1" x14ac:dyDescent="0.25">
      <c r="A36" s="15" t="s">
        <v>1490</v>
      </c>
      <c r="B36" s="16" t="s">
        <v>1466</v>
      </c>
      <c r="C36" s="1" t="s">
        <v>37</v>
      </c>
      <c r="D36" s="1" t="str">
        <f>VLOOKUP($C36,Sheet2!$A$2:$B$10,2,0)</f>
        <v>141150-91211</v>
      </c>
      <c r="E36" s="7" t="s">
        <v>38</v>
      </c>
      <c r="F36" s="12">
        <v>45990</v>
      </c>
      <c r="G36" s="13">
        <v>0.60416666666666663</v>
      </c>
      <c r="H36" s="1" t="s">
        <v>31</v>
      </c>
      <c r="I36" s="1" t="s">
        <v>10</v>
      </c>
      <c r="J36" s="1">
        <v>2</v>
      </c>
      <c r="K36" s="14">
        <f>VLOOKUP($C36,Sheet2!$A$2:$D$10,4,0)</f>
        <v>2</v>
      </c>
      <c r="L36" s="14" t="str">
        <f>VLOOKUP($C36,Sheet2!$A$2:$E$10,5,0)</f>
        <v>Bin</v>
      </c>
      <c r="M36" s="14">
        <f t="shared" si="5"/>
        <v>1</v>
      </c>
      <c r="N36" s="1"/>
      <c r="O36" s="1" t="s">
        <v>1301</v>
      </c>
      <c r="P36" s="1" t="s">
        <v>1503</v>
      </c>
    </row>
    <row r="37" spans="1:16" ht="15.75" customHeight="1" x14ac:dyDescent="0.25">
      <c r="A37" s="15" t="s">
        <v>1491</v>
      </c>
      <c r="B37" s="16" t="s">
        <v>1483</v>
      </c>
      <c r="C37" s="1" t="s">
        <v>67</v>
      </c>
      <c r="D37" s="1" t="str">
        <f>VLOOKUP($C37,Sheet2!$A$2:$B$10,2,0)</f>
        <v>114010-50830</v>
      </c>
      <c r="E37" s="7" t="s">
        <v>60</v>
      </c>
      <c r="F37" s="12">
        <v>45990</v>
      </c>
      <c r="G37" s="13">
        <v>0.60416666666666663</v>
      </c>
      <c r="H37" s="1" t="s">
        <v>52</v>
      </c>
      <c r="I37" s="1" t="s">
        <v>10</v>
      </c>
      <c r="J37" s="1">
        <v>10</v>
      </c>
      <c r="K37" s="14">
        <f>VLOOKUP($C37,Sheet2!$A$2:$D$10,4,0)</f>
        <v>1</v>
      </c>
      <c r="L37" s="14" t="str">
        <f>VLOOKUP($C37,Sheet2!$A$2:$E$10,5,0)</f>
        <v>Bin</v>
      </c>
      <c r="M37" s="14">
        <f t="shared" si="5"/>
        <v>10</v>
      </c>
      <c r="N37" s="1"/>
      <c r="O37" s="1" t="s">
        <v>1301</v>
      </c>
      <c r="P37" s="1" t="s">
        <v>1495</v>
      </c>
    </row>
    <row r="38" spans="1:16" s="20" customFormat="1" ht="15.7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>
        <v>12</v>
      </c>
      <c r="N38" s="9">
        <v>1</v>
      </c>
      <c r="O38" s="9"/>
      <c r="P38" s="9"/>
    </row>
    <row r="39" spans="1:16" ht="15.75" customHeight="1" x14ac:dyDescent="0.25">
      <c r="A39" s="15" t="s">
        <v>1492</v>
      </c>
      <c r="B39" s="16" t="s">
        <v>1449</v>
      </c>
      <c r="C39" s="1" t="s">
        <v>7</v>
      </c>
      <c r="D39" s="1" t="str">
        <f>VLOOKUP($C39,Sheet2!$A$2:$B$10,2,0)</f>
        <v>141110-14600</v>
      </c>
      <c r="E39" s="7" t="s">
        <v>8</v>
      </c>
      <c r="F39" s="12">
        <v>45990</v>
      </c>
      <c r="G39" s="13">
        <v>0.6875</v>
      </c>
      <c r="H39" s="1" t="s">
        <v>9</v>
      </c>
      <c r="I39" s="1" t="s">
        <v>10</v>
      </c>
      <c r="J39" s="1">
        <v>18</v>
      </c>
      <c r="K39" s="14">
        <f>VLOOKUP($C39,Sheet2!$A$2:$D$10,4,0)</f>
        <v>18</v>
      </c>
      <c r="L39" s="14" t="str">
        <f>VLOOKUP($C39,Sheet2!$A$2:$E$10,5,0)</f>
        <v>Trolley (H)</v>
      </c>
      <c r="M39" s="14"/>
      <c r="N39" s="63">
        <v>1</v>
      </c>
      <c r="O39" s="1" t="s">
        <v>1304</v>
      </c>
      <c r="P39" s="1" t="s">
        <v>1498</v>
      </c>
    </row>
    <row r="40" spans="1:16" ht="15.75" customHeight="1" x14ac:dyDescent="0.25">
      <c r="A40" s="15" t="s">
        <v>1492</v>
      </c>
      <c r="B40" s="16" t="s">
        <v>1453</v>
      </c>
      <c r="C40" s="1" t="s">
        <v>16</v>
      </c>
      <c r="D40" s="1" t="str">
        <f>VLOOKUP($C40,Sheet2!$A$2:$B$10,2,0)</f>
        <v>141120-14600</v>
      </c>
      <c r="E40" s="7" t="s">
        <v>17</v>
      </c>
      <c r="F40" s="12">
        <v>45990</v>
      </c>
      <c r="G40" s="13">
        <v>0.6875</v>
      </c>
      <c r="H40" s="1" t="s">
        <v>9</v>
      </c>
      <c r="I40" s="1" t="s">
        <v>10</v>
      </c>
      <c r="J40" s="1">
        <v>18</v>
      </c>
      <c r="K40" s="14">
        <f>VLOOKUP($C40,Sheet2!$A$2:$D$10,4,0)</f>
        <v>18</v>
      </c>
      <c r="L40" s="14" t="str">
        <f>VLOOKUP($C40,Sheet2!$A$2:$E$10,5,0)</f>
        <v>Trolley (H)</v>
      </c>
      <c r="M40" s="14"/>
      <c r="N40" s="64"/>
      <c r="O40" s="1" t="s">
        <v>1304</v>
      </c>
      <c r="P40" s="1" t="s">
        <v>1498</v>
      </c>
    </row>
    <row r="41" spans="1:16" ht="15.75" customHeight="1" x14ac:dyDescent="0.25">
      <c r="A41" s="15" t="s">
        <v>1492</v>
      </c>
      <c r="B41" s="16" t="s">
        <v>1462</v>
      </c>
      <c r="C41" s="1" t="s">
        <v>29</v>
      </c>
      <c r="D41" s="1" t="str">
        <f>VLOOKUP($C41,Sheet2!$A$2:$B$10,2,0)</f>
        <v>141140-91211</v>
      </c>
      <c r="E41" s="7" t="s">
        <v>30</v>
      </c>
      <c r="F41" s="12">
        <v>45990</v>
      </c>
      <c r="G41" s="13">
        <v>0.6875</v>
      </c>
      <c r="H41" s="1" t="s">
        <v>31</v>
      </c>
      <c r="I41" s="1" t="s">
        <v>10</v>
      </c>
      <c r="J41" s="1">
        <v>12</v>
      </c>
      <c r="K41" s="14">
        <f>VLOOKUP($C41,Sheet2!$A$2:$D$10,4,0)</f>
        <v>2</v>
      </c>
      <c r="L41" s="14" t="str">
        <f>VLOOKUP($C41,Sheet2!$A$2:$E$10,5,0)</f>
        <v>Bin</v>
      </c>
      <c r="M41" s="14">
        <f t="shared" ref="M41:M42" si="6">J41/K41</f>
        <v>6</v>
      </c>
      <c r="N41" s="1"/>
      <c r="O41" s="1" t="s">
        <v>1304</v>
      </c>
      <c r="P41" s="1" t="s">
        <v>1441</v>
      </c>
    </row>
    <row r="42" spans="1:16" ht="15.75" customHeight="1" x14ac:dyDescent="0.25">
      <c r="A42" s="15" t="s">
        <v>1492</v>
      </c>
      <c r="B42" s="16" t="s">
        <v>1467</v>
      </c>
      <c r="C42" s="1" t="s">
        <v>37</v>
      </c>
      <c r="D42" s="1" t="str">
        <f>VLOOKUP($C42,Sheet2!$A$2:$B$10,2,0)</f>
        <v>141150-91211</v>
      </c>
      <c r="E42" s="7" t="s">
        <v>38</v>
      </c>
      <c r="F42" s="12">
        <v>45990</v>
      </c>
      <c r="G42" s="13">
        <v>0.6875</v>
      </c>
      <c r="H42" s="1" t="s">
        <v>31</v>
      </c>
      <c r="I42" s="1" t="s">
        <v>10</v>
      </c>
      <c r="J42" s="1">
        <v>12</v>
      </c>
      <c r="K42" s="14">
        <f>VLOOKUP($C42,Sheet2!$A$2:$D$10,4,0)</f>
        <v>2</v>
      </c>
      <c r="L42" s="14" t="str">
        <f>VLOOKUP($C42,Sheet2!$A$2:$E$10,5,0)</f>
        <v>Bin</v>
      </c>
      <c r="M42" s="14">
        <f t="shared" si="6"/>
        <v>6</v>
      </c>
      <c r="N42" s="1"/>
      <c r="O42" s="1" t="s">
        <v>1304</v>
      </c>
      <c r="P42" s="1" t="s">
        <v>1441</v>
      </c>
    </row>
    <row r="43" spans="1:16" ht="15.75" customHeight="1" x14ac:dyDescent="0.25">
      <c r="A43" s="15" t="s">
        <v>1492</v>
      </c>
      <c r="B43" s="16" t="s">
        <v>1471</v>
      </c>
      <c r="C43" s="1" t="s">
        <v>45</v>
      </c>
      <c r="D43" s="1" t="str">
        <f>VLOOKUP($C43,Sheet2!$A$2:$B$10,2,0)</f>
        <v>141186-74360</v>
      </c>
      <c r="E43" s="7" t="s">
        <v>46</v>
      </c>
      <c r="F43" s="12">
        <v>45990</v>
      </c>
      <c r="G43" s="13">
        <v>0.6875</v>
      </c>
      <c r="H43" s="1" t="s">
        <v>31</v>
      </c>
      <c r="I43" s="1" t="s">
        <v>10</v>
      </c>
      <c r="J43" s="1">
        <v>40</v>
      </c>
      <c r="K43" s="14">
        <f>VLOOKUP($C43,Sheet2!$A$2:$D$10,4,0)</f>
        <v>40</v>
      </c>
      <c r="L43" s="14" t="str">
        <f>VLOOKUP($C43,Sheet2!$A$2:$E$10,5,0)</f>
        <v>Trolley</v>
      </c>
      <c r="M43" s="14"/>
      <c r="N43" s="1">
        <f>J43/K43</f>
        <v>1</v>
      </c>
      <c r="O43" s="1" t="s">
        <v>1304</v>
      </c>
      <c r="P43" s="1">
        <v>910101603</v>
      </c>
    </row>
    <row r="44" spans="1:16" ht="15.75" customHeight="1" x14ac:dyDescent="0.25">
      <c r="A44" s="15" t="s">
        <v>1493</v>
      </c>
      <c r="B44" s="16" t="s">
        <v>1475</v>
      </c>
      <c r="C44" s="1" t="s">
        <v>50</v>
      </c>
      <c r="D44" s="1" t="str">
        <f>VLOOKUP($C44,Sheet2!$A$2:$B$10,2,0)</f>
        <v>116040-92240</v>
      </c>
      <c r="E44" s="7" t="s">
        <v>51</v>
      </c>
      <c r="F44" s="12">
        <v>45990</v>
      </c>
      <c r="G44" s="13">
        <v>0.6875</v>
      </c>
      <c r="H44" s="1" t="s">
        <v>52</v>
      </c>
      <c r="I44" s="1" t="s">
        <v>10</v>
      </c>
      <c r="J44" s="1">
        <v>12</v>
      </c>
      <c r="K44" s="14">
        <f>VLOOKUP($C44,Sheet2!$A$2:$D$10,4,0)</f>
        <v>6</v>
      </c>
      <c r="L44" s="14" t="str">
        <f>VLOOKUP($C44,Sheet2!$A$2:$E$10,5,0)</f>
        <v>Bin</v>
      </c>
      <c r="M44" s="14">
        <f t="shared" ref="M44:M46" si="7">J44/K44</f>
        <v>2</v>
      </c>
      <c r="N44" s="1"/>
      <c r="O44" s="1" t="s">
        <v>1304</v>
      </c>
      <c r="P44" s="1" t="s">
        <v>1500</v>
      </c>
    </row>
    <row r="45" spans="1:16" ht="15.75" customHeight="1" x14ac:dyDescent="0.25">
      <c r="A45" s="15" t="s">
        <v>1493</v>
      </c>
      <c r="B45" s="16" t="s">
        <v>1479</v>
      </c>
      <c r="C45" s="1" t="s">
        <v>59</v>
      </c>
      <c r="D45" s="1" t="str">
        <f>VLOOKUP($C45,Sheet2!$A$2:$B$10,2,0)</f>
        <v>114010-50820</v>
      </c>
      <c r="E45" s="7" t="s">
        <v>60</v>
      </c>
      <c r="F45" s="12">
        <v>45990</v>
      </c>
      <c r="G45" s="13">
        <v>0.6875</v>
      </c>
      <c r="H45" s="1" t="s">
        <v>52</v>
      </c>
      <c r="I45" s="1" t="s">
        <v>10</v>
      </c>
      <c r="J45" s="1">
        <v>6</v>
      </c>
      <c r="K45" s="14">
        <f>VLOOKUP($C45,Sheet2!$A$2:$D$10,4,0)</f>
        <v>1</v>
      </c>
      <c r="L45" s="14" t="str">
        <f>VLOOKUP($C45,Sheet2!$A$2:$E$10,5,0)</f>
        <v>Bin</v>
      </c>
      <c r="M45" s="14">
        <f t="shared" si="7"/>
        <v>6</v>
      </c>
      <c r="N45" s="1"/>
      <c r="O45" s="1" t="s">
        <v>1304</v>
      </c>
      <c r="P45" s="1" t="s">
        <v>1499</v>
      </c>
    </row>
    <row r="46" spans="1:16" ht="15.75" customHeight="1" x14ac:dyDescent="0.25">
      <c r="A46" s="15" t="s">
        <v>1493</v>
      </c>
      <c r="B46" s="16" t="s">
        <v>1484</v>
      </c>
      <c r="C46" s="1" t="s">
        <v>67</v>
      </c>
      <c r="D46" s="1" t="str">
        <f>VLOOKUP($C46,Sheet2!$A$2:$B$10,2,0)</f>
        <v>114010-50830</v>
      </c>
      <c r="E46" s="7" t="s">
        <v>60</v>
      </c>
      <c r="F46" s="12">
        <v>45990</v>
      </c>
      <c r="G46" s="13">
        <v>0.6875</v>
      </c>
      <c r="H46" s="1" t="s">
        <v>52</v>
      </c>
      <c r="I46" s="1" t="s">
        <v>10</v>
      </c>
      <c r="J46" s="1">
        <v>8</v>
      </c>
      <c r="K46" s="14">
        <f>VLOOKUP($C46,Sheet2!$A$2:$D$10,4,0)</f>
        <v>1</v>
      </c>
      <c r="L46" s="14" t="str">
        <f>VLOOKUP($C46,Sheet2!$A$2:$E$10,5,0)</f>
        <v>Bin</v>
      </c>
      <c r="M46" s="14">
        <f t="shared" si="7"/>
        <v>8</v>
      </c>
      <c r="N46" s="1"/>
      <c r="O46" s="1" t="s">
        <v>1304</v>
      </c>
      <c r="P46" s="1" t="s">
        <v>1495</v>
      </c>
    </row>
    <row r="47" spans="1:16" s="20" customFormat="1" ht="15.7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>
        <v>28</v>
      </c>
      <c r="N47" s="9">
        <v>2</v>
      </c>
      <c r="O47" s="9"/>
      <c r="P47" s="9"/>
    </row>
  </sheetData>
  <mergeCells count="7">
    <mergeCell ref="N39:N40"/>
    <mergeCell ref="A1:F1"/>
    <mergeCell ref="J1:N1"/>
    <mergeCell ref="L2:N2"/>
    <mergeCell ref="N13:N14"/>
    <mergeCell ref="N4:N5"/>
    <mergeCell ref="N24:N25"/>
  </mergeCells>
  <conditionalFormatting sqref="B2">
    <cfRule type="duplicateValues" dxfId="45" priority="47"/>
    <cfRule type="duplicateValues" dxfId="44" priority="48"/>
  </conditionalFormatting>
  <conditionalFormatting sqref="B4:B11 B24:B32 B34:B37 B39:B46 B13:B22">
    <cfRule type="duplicateValues" dxfId="43" priority="142"/>
  </conditionalFormatting>
  <conditionalFormatting sqref="C2:D2">
    <cfRule type="duplicateValues" dxfId="42" priority="50"/>
    <cfRule type="duplicateValues" dxfId="41" priority="49"/>
  </conditionalFormatting>
  <conditionalFormatting sqref="D3">
    <cfRule type="duplicateValues" dxfId="39" priority="46"/>
    <cfRule type="duplicateValues" dxfId="38" priority="45"/>
  </conditionalFormatting>
  <conditionalFormatting sqref="D47">
    <cfRule type="duplicateValues" dxfId="33" priority="14"/>
    <cfRule type="duplicateValues" dxfId="32" priority="15"/>
  </conditionalFormatting>
  <pageMargins left="0.17" right="0.17" top="0.17" bottom="0.17" header="0.3" footer="0.3"/>
  <pageSetup paperSize="9" scale="75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text="17521M68PA0" id="{61C31716-AF13-4960-AEAB-B95AA6F7B653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C4:D11 C13:D22 C24:D32 C34:D37 C39:D46</xm:sqref>
        </x14:conditionalFormatting>
        <x14:conditionalFormatting xmlns:xm="http://schemas.microsoft.com/office/excel/2006/main">
          <x14:cfRule type="containsText" priority="55" operator="containsText" text="17521M68PA0" id="{C78493D8-50D7-4A4D-A2A1-FE1F31341155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2" operator="containsText" text="17521M68PA0" id="{D1830F5B-C07D-4724-9B1A-ECFD9F7CCFE0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" operator="containsText" text="17521M74T00" id="{48996D42-1948-4694-B99A-916965D1B20F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14:cfRule type="containsText" priority="1" operator="containsText" text="17521M74T00" id="{129196D0-F0D4-4020-862C-7C20D332D78B}">
            <xm:f>NOT(ISERROR(SEARCH("17521M74T00",'[Sep-2025 Copy.xlsx]12-09-2025'!#REF!)))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D4:D11 D13:D22 D24:D32 D34:D37 D39:D46</xm:sqref>
        </x14:conditionalFormatting>
        <x14:conditionalFormatting xmlns:xm="http://schemas.microsoft.com/office/excel/2006/main">
          <x14:cfRule type="containsText" priority="16" operator="containsText" text="17521M68PA0" id="{0B073A91-1FAD-484F-8DF4-96F5E4691B02}">
            <xm:f>NOT(ISERROR(SEARCH("17521M68PA0",'[Sep-2025 Copy.xlsx]12-09-2025'!#REF!)))</xm:f>
            <x14:dxf>
              <fill>
                <patternFill>
                  <bgColor rgb="FFFFC000"/>
                </patternFill>
              </fill>
            </x14:dxf>
          </x14:cfRule>
          <xm:sqref>D47</xm:sqref>
        </x14:conditionalFormatting>
        <x14:conditionalFormatting xmlns:xm="http://schemas.microsoft.com/office/excel/2006/main">
          <x14:cfRule type="containsText" priority="51" operator="containsText" text="17521M68PA0" id="{53466B01-2D33-455E-B70B-8B086B9DCFAF}">
            <xm:f>NOT(ISERROR(SEARCH("17521M68PA0",'https://nagarkot-my.sharepoint.com/personal/gj1warehouse_nagarkot_co_in/Documents/GJ01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2" operator="containsText" text="17521M74T00" id="{DE012C6B-F118-409A-93ED-8FF58CC4D612}">
            <xm:f>NOT(ISERROR(SEARCH("17521M74T00",'https://nagarkot-my.sharepoint.com/personal/gj1warehouse_nagarkot_co_in/Documents/GJ01 Inventory Data 2025/4 - Schedule &amp; piking sheet/[july -2025.xlsx]22-07-2025'!#REF!)))</xm:f>
            <x14:dxf>
              <font>
                <color auto="1"/>
              </font>
              <fill>
                <patternFill>
                  <bgColor rgb="FF00B05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containsText" priority="42" operator="containsText" text="BELT,WATER PUMP - 7PK 975" id="{F1172E1E-22A0-4B0D-AF29-9B88D79398E7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</xm:sqref>
        </x14:conditionalFormatting>
        <x14:conditionalFormatting xmlns:xm="http://schemas.microsoft.com/office/excel/2006/main">
          <x14:cfRule type="containsText" priority="41" operator="containsText" text="BELT,WATER PUMP - 5PK 913" id="{4EFAB0C7-B2B8-4D42-B7CD-A1091270AFDA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E3:E47</xm:sqref>
        </x14:conditionalFormatting>
        <x14:conditionalFormatting xmlns:xm="http://schemas.microsoft.com/office/excel/2006/main">
          <x14:cfRule type="containsText" priority="5" operator="containsText" text="BELT,WATER PUMP - 7PK 975" id="{E20E667D-4AF8-407F-A037-B23382522FDD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containsText" priority="29" operator="containsText" text="BELT,WATER PUMP - 7PK 975" id="{1AE033F0-671D-46F2-939A-2D0BDA9E4810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E23</xm:sqref>
        </x14:conditionalFormatting>
        <x14:conditionalFormatting xmlns:xm="http://schemas.microsoft.com/office/excel/2006/main">
          <x14:cfRule type="containsText" priority="23" operator="containsText" text="BELT,WATER PUMP - 7PK 975" id="{82528D69-F6E3-4C6E-8269-CBB6FB035F06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E33</xm:sqref>
        </x14:conditionalFormatting>
        <x14:conditionalFormatting xmlns:xm="http://schemas.microsoft.com/office/excel/2006/main">
          <x14:cfRule type="containsText" priority="17" operator="containsText" text="BELT,WATER PUMP - 7PK 975" id="{D2C346CE-FD84-45B5-B5B5-CDBF61E72DB9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E38</xm:sqref>
        </x14:conditionalFormatting>
        <x14:conditionalFormatting xmlns:xm="http://schemas.microsoft.com/office/excel/2006/main">
          <x14:cfRule type="containsText" priority="11" operator="containsText" text="BELT,WATER PUMP - 7PK 975" id="{429F1489-6D81-4DF9-B327-D88579F1D1D3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E47</xm:sqref>
        </x14:conditionalFormatting>
        <x14:conditionalFormatting xmlns:xm="http://schemas.microsoft.com/office/excel/2006/main">
          <x14:cfRule type="containsText" priority="53" operator="containsText" text="BELT,WATER PUMP - 5PK 913" id="{9E57C25C-4356-463A-85A2-8AD570485296}">
            <xm:f>NOT(ISERROR(SEARCH("BELT,WATER PUMP - 5PK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54" operator="containsText" text="BELT,WATER PUMP - 7PK 975" id="{C2E0DE7C-1735-4C76-87E2-C1921770F76B}">
            <xm:f>NOT(ISERROR(SEARCH("BELT,WATER PUMP - 7PK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containsText" priority="43" operator="containsText" text="5PK 913" id="{A96DF906-4F5F-465B-BF64-3AFBCF0762C0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44" operator="containsText" text="7PK 975" id="{8FBB53E5-B865-49E8-8AB1-2F28B956C25B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P2:P3</xm:sqref>
        </x14:conditionalFormatting>
        <x14:conditionalFormatting xmlns:xm="http://schemas.microsoft.com/office/excel/2006/main">
          <x14:cfRule type="containsText" priority="6" operator="containsText" text="5PK 913" id="{8B624B8F-C164-45B3-99E7-E9337BBD3D04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7" operator="containsText" text="7PK 975" id="{B706356F-80C2-4DE0-B5AF-623D34D9961D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P12</xm:sqref>
        </x14:conditionalFormatting>
        <x14:conditionalFormatting xmlns:xm="http://schemas.microsoft.com/office/excel/2006/main">
          <x14:cfRule type="containsText" priority="30" operator="containsText" text="5PK 913" id="{A872EFEB-CC53-476B-8A07-11BCEEACCDCE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31" operator="containsText" text="7PK 975" id="{13F78D5F-4F9B-4D56-B256-1E24CFD9918D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P23</xm:sqref>
        </x14:conditionalFormatting>
        <x14:conditionalFormatting xmlns:xm="http://schemas.microsoft.com/office/excel/2006/main">
          <x14:cfRule type="containsText" priority="25" operator="containsText" text="7PK 975" id="{6521AAC7-6FE2-489D-A752-A78374BAA7F3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24" operator="containsText" text="5PK 913" id="{852CA9D8-0261-4386-B261-702A2732559B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P33</xm:sqref>
        </x14:conditionalFormatting>
        <x14:conditionalFormatting xmlns:xm="http://schemas.microsoft.com/office/excel/2006/main">
          <x14:cfRule type="containsText" priority="19" operator="containsText" text="7PK 975" id="{EF8009BB-8744-4BB3-A124-740CEE2FFD3B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14:cfRule type="containsText" priority="18" operator="containsText" text="5PK 913" id="{BE287E88-7359-48BD-A770-F3428D2B285C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m:sqref>P38</xm:sqref>
        </x14:conditionalFormatting>
        <x14:conditionalFormatting xmlns:xm="http://schemas.microsoft.com/office/excel/2006/main">
          <x14:cfRule type="containsText" priority="12" operator="containsText" text="5PK 913" id="{E0C4E5E5-293D-4E7C-92A7-058057FC560B}">
            <xm:f>NOT(ISERROR(SEARCH("5PK 913",'https://nagarkot-my.sharepoint.com/personal/gj1warehouse_nagarkot_co_in/Documents/GJ01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FFC000"/>
                </patternFill>
              </fill>
            </x14:dxf>
          </x14:cfRule>
          <x14:cfRule type="containsText" priority="13" operator="containsText" text="7PK 975" id="{55DB1B41-073E-4F6B-A5F1-11B11EC49E88}">
            <xm:f>NOT(ISERROR(SEARCH("7PK 975",'https://nagarkot-my.sharepoint.com/personal/gj1warehouse_nagarkot_co_in/Documents/GJ01 Inventory Data 2025/4 - Schedule &amp; piking sheet/[july -2025.xlsx]22-07-2025'!#REF!)))</xm:f>
            <x14:dxf>
              <fill>
                <patternFill>
                  <bgColor rgb="FF00B050"/>
                </patternFill>
              </fill>
            </x14:dxf>
          </x14:cfRule>
          <xm:sqref>P47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5D3A-DF9D-434E-82F9-EA044BCC3827}">
  <dimension ref="A1:E10"/>
  <sheetViews>
    <sheetView workbookViewId="0">
      <selection sqref="A1:E10"/>
    </sheetView>
  </sheetViews>
  <sheetFormatPr defaultRowHeight="15" x14ac:dyDescent="0.25"/>
  <cols>
    <col min="1" max="1" width="14.140625" bestFit="1" customWidth="1"/>
    <col min="2" max="2" width="12.7109375" bestFit="1" customWidth="1"/>
    <col min="3" max="3" width="11.5703125" bestFit="1" customWidth="1"/>
    <col min="4" max="4" width="16.140625" bestFit="1" customWidth="1"/>
    <col min="5" max="5" width="10.28515625" bestFit="1" customWidth="1"/>
  </cols>
  <sheetData>
    <row r="1" spans="1:5" x14ac:dyDescent="0.25">
      <c r="A1" s="10" t="s">
        <v>1</v>
      </c>
      <c r="B1" s="10" t="s">
        <v>86</v>
      </c>
      <c r="C1" s="10" t="s">
        <v>2</v>
      </c>
      <c r="D1" s="10" t="s">
        <v>87</v>
      </c>
      <c r="E1" s="10" t="s">
        <v>88</v>
      </c>
    </row>
    <row r="2" spans="1:5" x14ac:dyDescent="0.25">
      <c r="A2" s="1" t="s">
        <v>7</v>
      </c>
      <c r="B2" s="1" t="s">
        <v>89</v>
      </c>
      <c r="C2" s="1" t="s">
        <v>90</v>
      </c>
      <c r="D2" s="1">
        <v>18</v>
      </c>
      <c r="E2" s="1" t="s">
        <v>91</v>
      </c>
    </row>
    <row r="3" spans="1:5" x14ac:dyDescent="0.25">
      <c r="A3" s="1" t="s">
        <v>16</v>
      </c>
      <c r="B3" s="1" t="s">
        <v>92</v>
      </c>
      <c r="C3" s="1" t="s">
        <v>93</v>
      </c>
      <c r="D3" s="1">
        <v>18</v>
      </c>
      <c r="E3" s="1" t="s">
        <v>91</v>
      </c>
    </row>
    <row r="4" spans="1:5" x14ac:dyDescent="0.25">
      <c r="A4" s="1" t="s">
        <v>23</v>
      </c>
      <c r="B4" s="1" t="s">
        <v>94</v>
      </c>
      <c r="C4" s="1" t="s">
        <v>95</v>
      </c>
      <c r="D4" s="1">
        <v>40</v>
      </c>
      <c r="E4" s="1" t="s">
        <v>96</v>
      </c>
    </row>
    <row r="5" spans="1:5" x14ac:dyDescent="0.25">
      <c r="A5" s="1" t="s">
        <v>29</v>
      </c>
      <c r="B5" s="1" t="s">
        <v>97</v>
      </c>
      <c r="C5" s="1" t="s">
        <v>98</v>
      </c>
      <c r="D5" s="1">
        <v>2</v>
      </c>
      <c r="E5" s="1" t="s">
        <v>99</v>
      </c>
    </row>
    <row r="6" spans="1:5" x14ac:dyDescent="0.25">
      <c r="A6" s="1" t="s">
        <v>37</v>
      </c>
      <c r="B6" s="1" t="s">
        <v>100</v>
      </c>
      <c r="C6" s="1" t="s">
        <v>101</v>
      </c>
      <c r="D6" s="1">
        <v>2</v>
      </c>
      <c r="E6" s="1" t="s">
        <v>99</v>
      </c>
    </row>
    <row r="7" spans="1:5" x14ac:dyDescent="0.25">
      <c r="A7" s="1" t="s">
        <v>45</v>
      </c>
      <c r="B7" s="1" t="s">
        <v>102</v>
      </c>
      <c r="C7" s="1" t="s">
        <v>103</v>
      </c>
      <c r="D7" s="1">
        <v>40</v>
      </c>
      <c r="E7" s="1" t="s">
        <v>96</v>
      </c>
    </row>
    <row r="8" spans="1:5" x14ac:dyDescent="0.25">
      <c r="A8" s="1" t="s">
        <v>50</v>
      </c>
      <c r="B8" s="1" t="s">
        <v>104</v>
      </c>
      <c r="C8" s="1" t="s">
        <v>105</v>
      </c>
      <c r="D8" s="1">
        <v>6</v>
      </c>
      <c r="E8" s="1" t="s">
        <v>99</v>
      </c>
    </row>
    <row r="9" spans="1:5" x14ac:dyDescent="0.25">
      <c r="A9" s="1" t="s">
        <v>67</v>
      </c>
      <c r="B9" s="1" t="s">
        <v>106</v>
      </c>
      <c r="C9" s="1" t="s">
        <v>107</v>
      </c>
      <c r="D9" s="1">
        <v>1</v>
      </c>
      <c r="E9" s="1" t="s">
        <v>99</v>
      </c>
    </row>
    <row r="10" spans="1:5" x14ac:dyDescent="0.25">
      <c r="A10" s="1" t="s">
        <v>59</v>
      </c>
      <c r="B10" s="1" t="s">
        <v>108</v>
      </c>
      <c r="C10" s="1" t="s">
        <v>109</v>
      </c>
      <c r="D10" s="1">
        <v>1</v>
      </c>
      <c r="E10" s="1" t="s">
        <v>99</v>
      </c>
    </row>
  </sheetData>
  <conditionalFormatting sqref="A1:B1">
    <cfRule type="duplicateValues" dxfId="7" priority="19"/>
    <cfRule type="duplicateValues" dxfId="6" priority="20"/>
  </conditionalFormatting>
  <conditionalFormatting sqref="A1:B10">
    <cfRule type="containsText" dxfId="5" priority="11" operator="containsText" text="17521M68PA0">
      <formula>NOT(ISERROR(SEARCH("17521M68PA0",A1)))</formula>
    </cfRule>
    <cfRule type="containsText" dxfId="4" priority="12" operator="containsText" text="17521M74T00">
      <formula>NOT(ISERROR(SEARCH("17521M74T00",A1)))</formula>
    </cfRule>
  </conditionalFormatting>
  <conditionalFormatting sqref="A2:B10">
    <cfRule type="duplicateValues" dxfId="3" priority="13"/>
    <cfRule type="duplicateValues" dxfId="2" priority="14"/>
  </conditionalFormatting>
  <conditionalFormatting sqref="C1:E10">
    <cfRule type="containsText" dxfId="1" priority="1" operator="containsText" text="BELT,WATER PUMP - 5PK 913">
      <formula>NOT(ISERROR(SEARCH("BELT,WATER PUMP - 5PK 913",C1)))</formula>
    </cfRule>
    <cfRule type="containsText" dxfId="0" priority="2" operator="containsText" text="BELT,WATER PUMP - 7PK 975">
      <formula>NOT(ISERROR(SEARCH("BELT,WATER PUMP - 7PK 975",C1)))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01-11-2025</vt:lpstr>
      <vt:lpstr>03-11-2025</vt:lpstr>
      <vt:lpstr>04-11-2025</vt:lpstr>
      <vt:lpstr>05-11-2025</vt:lpstr>
      <vt:lpstr>06-11-2025</vt:lpstr>
      <vt:lpstr>07-11-2025</vt:lpstr>
      <vt:lpstr>08-11-2025</vt:lpstr>
      <vt:lpstr>10-11-2025</vt:lpstr>
      <vt:lpstr>11-11-2025</vt:lpstr>
      <vt:lpstr>12-11-2025</vt:lpstr>
      <vt:lpstr>13-11-2025</vt:lpstr>
      <vt:lpstr>14-11-2025</vt:lpstr>
      <vt:lpstr>14-11-2025 GJ RPDC</vt:lpstr>
      <vt:lpstr>15-11-2025</vt:lpstr>
      <vt:lpstr>17-11-2025</vt:lpstr>
      <vt:lpstr>17-11-2025 GJ EXPORT</vt:lpstr>
      <vt:lpstr>18-11-2025</vt:lpstr>
      <vt:lpstr>19-11-2025</vt:lpstr>
      <vt:lpstr>20-11-2025</vt:lpstr>
      <vt:lpstr>21-11-2025</vt:lpstr>
      <vt:lpstr>22-11-2025</vt:lpstr>
      <vt:lpstr>24-11-2025</vt:lpstr>
      <vt:lpstr>25-11-2025</vt:lpstr>
      <vt:lpstr>26-11-2025</vt:lpstr>
      <vt:lpstr>27-11-2025</vt:lpstr>
      <vt:lpstr>27-11-2025 GJ RPDC</vt:lpstr>
      <vt:lpstr>27-11-2025 GJ EXPORT</vt:lpstr>
      <vt:lpstr>28-11-2025</vt:lpstr>
      <vt:lpstr>29-11-2025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2025-12-03T05:20:36Z</dcterms:modified>
</cp:coreProperties>
</file>