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agarkot-my.sharepoint.com/personal/gj1warehouse_nagarkot_co_in/Documents/GJ01 Inventory Data 2025/3 - Nagare Schedule &amp; Picking Sheet/"/>
    </mc:Choice>
  </mc:AlternateContent>
  <xr:revisionPtr revIDLastSave="170" documentId="8_{9FD79F67-F919-4775-99AF-7016BCC46D1E}" xr6:coauthVersionLast="47" xr6:coauthVersionMax="47" xr10:uidLastSave="{DFD64A8E-6851-45BB-A775-014AA2C64DF2}"/>
  <bookViews>
    <workbookView xWindow="-120" yWindow="-120" windowWidth="29040" windowHeight="15720" firstSheet="18" activeTab="25" xr2:uid="{00000000-000D-0000-FFFF-FFFF00000000}"/>
  </bookViews>
  <sheets>
    <sheet name="Sheet1" sheetId="1" r:id="rId1"/>
    <sheet name="05-01-2026" sheetId="2" r:id="rId2"/>
    <sheet name="06-01-2026" sheetId="3" r:id="rId3"/>
    <sheet name="06-01-26 RPDC" sheetId="6" r:id="rId4"/>
    <sheet name="07-01-2026" sheetId="7" r:id="rId5"/>
    <sheet name="08-01-2026" sheetId="8" r:id="rId6"/>
    <sheet name="09-01-2026" sheetId="9" r:id="rId7"/>
    <sheet name="10-01-2026" sheetId="10" r:id="rId8"/>
    <sheet name="11-01-2026" sheetId="11" r:id="rId9"/>
    <sheet name="12-01-2026" sheetId="12" r:id="rId10"/>
    <sheet name="13-01-2026" sheetId="13" r:id="rId11"/>
    <sheet name="16-01-2026" sheetId="14" r:id="rId12"/>
    <sheet name="17-01-2026" sheetId="16" r:id="rId13"/>
    <sheet name="19-01-2026" sheetId="17" r:id="rId14"/>
    <sheet name="20-01-2026" sheetId="18" r:id="rId15"/>
    <sheet name="RPDC 20-01-2026" sheetId="19" r:id="rId16"/>
    <sheet name="21-01-2026" sheetId="20" r:id="rId17"/>
    <sheet name="22-01-2026" sheetId="22" r:id="rId18"/>
    <sheet name="23-01-2023" sheetId="23" r:id="rId19"/>
    <sheet name="24-01-2026" sheetId="24" r:id="rId20"/>
    <sheet name="25-01-2026" sheetId="26" r:id="rId21"/>
    <sheet name="27-01-2026" sheetId="27" r:id="rId22"/>
    <sheet name="EXPORT 27-01-2026" sheetId="28" r:id="rId23"/>
    <sheet name="28-01-2026" sheetId="29" r:id="rId24"/>
    <sheet name="29-01-2026" sheetId="32" r:id="rId25"/>
    <sheet name="30-01-2026" sheetId="33" r:id="rId26"/>
    <sheet name="31-01-2026" sheetId="35" r:id="rId27"/>
    <sheet name="02-02-2026" sheetId="36" state="hidden" r:id="rId28"/>
  </sheets>
  <definedNames>
    <definedName name="_xlnm._FilterDatabase" localSheetId="27" hidden="1">'02-02-2026'!$A$3:$P$104</definedName>
    <definedName name="_xlnm._FilterDatabase" localSheetId="1" hidden="1">'05-01-2026'!$A$3:$P$54</definedName>
    <definedName name="_xlnm._FilterDatabase" localSheetId="2" hidden="1">'06-01-2026'!$A$3:$Q$52</definedName>
    <definedName name="_xlnm._FilterDatabase" localSheetId="3" hidden="1">'06-01-26 RPDC'!$A$1:$S$1</definedName>
    <definedName name="_xlnm._FilterDatabase" localSheetId="4" hidden="1">'07-01-2026'!$A$3:$P$59</definedName>
    <definedName name="_xlnm._FilterDatabase" localSheetId="5" hidden="1">'08-01-2026'!$A$3:$P$68</definedName>
    <definedName name="_xlnm._FilterDatabase" localSheetId="6" hidden="1">'09-01-2026'!$A$3:$P$55</definedName>
    <definedName name="_xlnm._FilterDatabase" localSheetId="7" hidden="1">'10-01-2026'!$A$3:$P$63</definedName>
    <definedName name="_xlnm._FilterDatabase" localSheetId="8" hidden="1">'11-01-2026'!$A$3:$P$58</definedName>
    <definedName name="_xlnm._FilterDatabase" localSheetId="9" hidden="1">'12-01-2026'!$A$3:$Q$64</definedName>
    <definedName name="_xlnm._FilterDatabase" localSheetId="10" hidden="1">'13-01-2026'!$A$3:$P$65</definedName>
    <definedName name="_xlnm._FilterDatabase" localSheetId="11" hidden="1">'16-01-2026'!$A$3:$P$64</definedName>
    <definedName name="_xlnm._FilterDatabase" localSheetId="12" hidden="1">'17-01-2026'!$A$3:$P$79</definedName>
    <definedName name="_xlnm._FilterDatabase" localSheetId="13" hidden="1">'19-01-2026'!$A$3:$P$66</definedName>
    <definedName name="_xlnm._FilterDatabase" localSheetId="14" hidden="1">'20-01-2026'!$A$3:$P$66</definedName>
    <definedName name="_xlnm._FilterDatabase" localSheetId="16" hidden="1">'21-01-2026'!$A$3:$P$67</definedName>
    <definedName name="_xlnm._FilterDatabase" localSheetId="17" hidden="1">'22-01-2026'!$A$3:$P$68</definedName>
    <definedName name="_xlnm._FilterDatabase" localSheetId="18" hidden="1">'23-01-2023'!$A$3:$P$73</definedName>
    <definedName name="_xlnm._FilterDatabase" localSheetId="19" hidden="1">'24-01-2026'!$A$3:$P$72</definedName>
    <definedName name="_xlnm._FilterDatabase" localSheetId="20" hidden="1">'25-01-2026'!$A$3:$P$3</definedName>
    <definedName name="_xlnm._FilterDatabase" localSheetId="21" hidden="1">'27-01-2026'!$A$3:$P$108</definedName>
    <definedName name="_xlnm._FilterDatabase" localSheetId="23" hidden="1">'28-01-2026'!$A$3:$P$102</definedName>
    <definedName name="_xlnm._FilterDatabase" localSheetId="24" hidden="1">'29-01-2026'!$A$3:$P$110</definedName>
    <definedName name="_xlnm._FilterDatabase" localSheetId="25" hidden="1">'30-01-2026'!$A$3:$P$92</definedName>
    <definedName name="_xlnm._FilterDatabase" localSheetId="26" hidden="1">'31-01-2026'!$A$3:$P$106</definedName>
    <definedName name="_xlnm._FilterDatabase" localSheetId="22" hidden="1">'EXPORT 27-01-2026'!$A$1:$R$12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5" l="1"/>
  <c r="L25" i="36"/>
  <c r="K25" i="36"/>
  <c r="M25" i="36" s="1"/>
  <c r="D25" i="36"/>
  <c r="L19" i="36"/>
  <c r="K19" i="36"/>
  <c r="N19" i="36" s="1"/>
  <c r="D19" i="36"/>
  <c r="K5" i="36"/>
  <c r="M5" i="36" s="1"/>
  <c r="L5" i="36"/>
  <c r="K6" i="36"/>
  <c r="M6" i="36" s="1"/>
  <c r="L6" i="36"/>
  <c r="K7" i="36"/>
  <c r="M7" i="36" s="1"/>
  <c r="L7" i="36"/>
  <c r="K8" i="36"/>
  <c r="L8" i="36"/>
  <c r="K9" i="36"/>
  <c r="L9" i="36"/>
  <c r="K10" i="36"/>
  <c r="N10" i="36" s="1"/>
  <c r="L10" i="36"/>
  <c r="K11" i="36"/>
  <c r="M11" i="36" s="1"/>
  <c r="L11" i="36"/>
  <c r="K21" i="36"/>
  <c r="M21" i="36" s="1"/>
  <c r="L21" i="36"/>
  <c r="K12" i="36"/>
  <c r="M12" i="36" s="1"/>
  <c r="L12" i="36"/>
  <c r="K22" i="36"/>
  <c r="M22" i="36" s="1"/>
  <c r="L22" i="36"/>
  <c r="K13" i="36"/>
  <c r="N13" i="36" s="1"/>
  <c r="L13" i="36"/>
  <c r="K20" i="36"/>
  <c r="N20" i="36" s="1"/>
  <c r="L20" i="36"/>
  <c r="K14" i="36"/>
  <c r="M14" i="36" s="1"/>
  <c r="L14" i="36"/>
  <c r="K15" i="36"/>
  <c r="M15" i="36" s="1"/>
  <c r="L15" i="36"/>
  <c r="K16" i="36"/>
  <c r="M16" i="36" s="1"/>
  <c r="L16" i="36"/>
  <c r="K23" i="36"/>
  <c r="M23" i="36" s="1"/>
  <c r="L23" i="36"/>
  <c r="K17" i="36"/>
  <c r="M17" i="36" s="1"/>
  <c r="L17" i="36"/>
  <c r="K24" i="36"/>
  <c r="M24" i="36" s="1"/>
  <c r="L24" i="36"/>
  <c r="K26" i="36"/>
  <c r="L26" i="36"/>
  <c r="K27" i="36"/>
  <c r="L27" i="36"/>
  <c r="K28" i="36"/>
  <c r="N28" i="36" s="1"/>
  <c r="L28" i="36"/>
  <c r="K29" i="36"/>
  <c r="M29" i="36" s="1"/>
  <c r="L29" i="36"/>
  <c r="K30" i="36"/>
  <c r="M30" i="36" s="1"/>
  <c r="L30" i="36"/>
  <c r="K31" i="36"/>
  <c r="N31" i="36" s="1"/>
  <c r="L31" i="36"/>
  <c r="K32" i="36"/>
  <c r="M32" i="36" s="1"/>
  <c r="L32" i="36"/>
  <c r="K33" i="36"/>
  <c r="M33" i="36" s="1"/>
  <c r="L33" i="36"/>
  <c r="K34" i="36"/>
  <c r="M34" i="36" s="1"/>
  <c r="L34" i="36"/>
  <c r="K36" i="36"/>
  <c r="L36" i="36"/>
  <c r="K37" i="36"/>
  <c r="L37" i="36"/>
  <c r="K38" i="36"/>
  <c r="N38" i="36" s="1"/>
  <c r="L38" i="36"/>
  <c r="K39" i="36"/>
  <c r="M39" i="36" s="1"/>
  <c r="L39" i="36"/>
  <c r="K40" i="36"/>
  <c r="M40" i="36" s="1"/>
  <c r="L40" i="36"/>
  <c r="K41" i="36"/>
  <c r="N41" i="36" s="1"/>
  <c r="L41" i="36"/>
  <c r="K42" i="36"/>
  <c r="M42" i="36" s="1"/>
  <c r="L42" i="36"/>
  <c r="K43" i="36"/>
  <c r="M43" i="36" s="1"/>
  <c r="L43" i="36"/>
  <c r="K44" i="36"/>
  <c r="M44" i="36" s="1"/>
  <c r="L44" i="36"/>
  <c r="K46" i="36"/>
  <c r="L46" i="36"/>
  <c r="K47" i="36"/>
  <c r="L47" i="36"/>
  <c r="K48" i="36"/>
  <c r="N48" i="36" s="1"/>
  <c r="L48" i="36"/>
  <c r="K49" i="36"/>
  <c r="M49" i="36" s="1"/>
  <c r="L49" i="36"/>
  <c r="K50" i="36"/>
  <c r="M50" i="36" s="1"/>
  <c r="L50" i="36"/>
  <c r="K51" i="36"/>
  <c r="N51" i="36" s="1"/>
  <c r="L51" i="36"/>
  <c r="K52" i="36"/>
  <c r="M52" i="36" s="1"/>
  <c r="L52" i="36"/>
  <c r="K53" i="36"/>
  <c r="M53" i="36" s="1"/>
  <c r="L53" i="36"/>
  <c r="K54" i="36"/>
  <c r="M54" i="36" s="1"/>
  <c r="L54" i="36"/>
  <c r="K56" i="36"/>
  <c r="L56" i="36"/>
  <c r="K57" i="36"/>
  <c r="L57" i="36"/>
  <c r="K58" i="36"/>
  <c r="N58" i="36" s="1"/>
  <c r="L58" i="36"/>
  <c r="K59" i="36"/>
  <c r="M59" i="36" s="1"/>
  <c r="L59" i="36"/>
  <c r="K60" i="36"/>
  <c r="M60" i="36" s="1"/>
  <c r="L60" i="36"/>
  <c r="K61" i="36"/>
  <c r="N61" i="36" s="1"/>
  <c r="L61" i="36"/>
  <c r="K62" i="36"/>
  <c r="M62" i="36" s="1"/>
  <c r="L62" i="36"/>
  <c r="K63" i="36"/>
  <c r="M63" i="36" s="1"/>
  <c r="L63" i="36"/>
  <c r="K64" i="36"/>
  <c r="M64" i="36" s="1"/>
  <c r="L64" i="36"/>
  <c r="K66" i="36"/>
  <c r="L66" i="36"/>
  <c r="K67" i="36"/>
  <c r="L67" i="36"/>
  <c r="K68" i="36"/>
  <c r="N68" i="36" s="1"/>
  <c r="L68" i="36"/>
  <c r="K69" i="36"/>
  <c r="M69" i="36" s="1"/>
  <c r="L69" i="36"/>
  <c r="K70" i="36"/>
  <c r="M70" i="36" s="1"/>
  <c r="L70" i="36"/>
  <c r="K71" i="36"/>
  <c r="N71" i="36" s="1"/>
  <c r="L71" i="36"/>
  <c r="K72" i="36"/>
  <c r="M72" i="36" s="1"/>
  <c r="L72" i="36"/>
  <c r="K73" i="36"/>
  <c r="M73" i="36" s="1"/>
  <c r="L73" i="36"/>
  <c r="K74" i="36"/>
  <c r="M74" i="36" s="1"/>
  <c r="L74" i="36"/>
  <c r="K76" i="36"/>
  <c r="L76" i="36"/>
  <c r="K77" i="36"/>
  <c r="L77" i="36"/>
  <c r="K78" i="36"/>
  <c r="N78" i="36" s="1"/>
  <c r="L78" i="36"/>
  <c r="K79" i="36"/>
  <c r="M79" i="36" s="1"/>
  <c r="L79" i="36"/>
  <c r="K80" i="36"/>
  <c r="M80" i="36" s="1"/>
  <c r="L80" i="36"/>
  <c r="K81" i="36"/>
  <c r="N81" i="36" s="1"/>
  <c r="L81" i="36"/>
  <c r="K82" i="36"/>
  <c r="M82" i="36" s="1"/>
  <c r="L82" i="36"/>
  <c r="K83" i="36"/>
  <c r="M83" i="36" s="1"/>
  <c r="L83" i="36"/>
  <c r="K84" i="36"/>
  <c r="M84" i="36" s="1"/>
  <c r="L84" i="36"/>
  <c r="K86" i="36"/>
  <c r="L86" i="36"/>
  <c r="K87" i="36"/>
  <c r="L87" i="36"/>
  <c r="K88" i="36"/>
  <c r="N88" i="36" s="1"/>
  <c r="L88" i="36"/>
  <c r="K89" i="36"/>
  <c r="M89" i="36" s="1"/>
  <c r="L89" i="36"/>
  <c r="K90" i="36"/>
  <c r="M90" i="36" s="1"/>
  <c r="L90" i="36"/>
  <c r="K91" i="36"/>
  <c r="N91" i="36" s="1"/>
  <c r="L91" i="36"/>
  <c r="K92" i="36"/>
  <c r="M92" i="36" s="1"/>
  <c r="L92" i="36"/>
  <c r="K93" i="36"/>
  <c r="M93" i="36" s="1"/>
  <c r="L93" i="36"/>
  <c r="K94" i="36"/>
  <c r="M94" i="36" s="1"/>
  <c r="L94" i="36"/>
  <c r="K96" i="36"/>
  <c r="L96" i="36"/>
  <c r="K97" i="36"/>
  <c r="L97" i="36"/>
  <c r="K98" i="36"/>
  <c r="N98" i="36" s="1"/>
  <c r="L98" i="36"/>
  <c r="K99" i="36"/>
  <c r="M99" i="36" s="1"/>
  <c r="L99" i="36"/>
  <c r="K100" i="36"/>
  <c r="M100" i="36" s="1"/>
  <c r="L100" i="36"/>
  <c r="K101" i="36"/>
  <c r="N101" i="36" s="1"/>
  <c r="L101" i="36"/>
  <c r="K102" i="36"/>
  <c r="M102" i="36" s="1"/>
  <c r="L102" i="36"/>
  <c r="K103" i="36"/>
  <c r="M103" i="36" s="1"/>
  <c r="L103" i="36"/>
  <c r="K104" i="36"/>
  <c r="M104" i="36" s="1"/>
  <c r="L104" i="36"/>
  <c r="L4" i="36"/>
  <c r="K4" i="36"/>
  <c r="M4" i="36" s="1"/>
  <c r="D5" i="36"/>
  <c r="D6" i="36"/>
  <c r="D7" i="36"/>
  <c r="D8" i="36"/>
  <c r="D9" i="36"/>
  <c r="D10" i="36"/>
  <c r="D11" i="36"/>
  <c r="D21" i="36"/>
  <c r="D12" i="36"/>
  <c r="D22" i="36"/>
  <c r="D13" i="36"/>
  <c r="D20" i="36"/>
  <c r="D14" i="36"/>
  <c r="D15" i="36"/>
  <c r="D16" i="36"/>
  <c r="D23" i="36"/>
  <c r="D17" i="36"/>
  <c r="D24" i="36"/>
  <c r="D26" i="36"/>
  <c r="D27" i="36"/>
  <c r="D28" i="36"/>
  <c r="D29" i="36"/>
  <c r="D30" i="36"/>
  <c r="D31" i="36"/>
  <c r="D32" i="36"/>
  <c r="D33" i="36"/>
  <c r="D34" i="36"/>
  <c r="D36" i="36"/>
  <c r="D37" i="36"/>
  <c r="D38" i="36"/>
  <c r="D39" i="36"/>
  <c r="D40" i="36"/>
  <c r="D41" i="36"/>
  <c r="D42" i="36"/>
  <c r="D43" i="36"/>
  <c r="D44" i="36"/>
  <c r="D46" i="36"/>
  <c r="D47" i="36"/>
  <c r="D48" i="36"/>
  <c r="D49" i="36"/>
  <c r="D50" i="36"/>
  <c r="D51" i="36"/>
  <c r="D52" i="36"/>
  <c r="D53" i="36"/>
  <c r="D54" i="36"/>
  <c r="D56" i="36"/>
  <c r="D57" i="36"/>
  <c r="D58" i="36"/>
  <c r="D59" i="36"/>
  <c r="D60" i="36"/>
  <c r="D61" i="36"/>
  <c r="D62" i="36"/>
  <c r="D63" i="36"/>
  <c r="D64" i="36"/>
  <c r="D66" i="36"/>
  <c r="D67" i="36"/>
  <c r="D68" i="36"/>
  <c r="D69" i="36"/>
  <c r="D70" i="36"/>
  <c r="D71" i="36"/>
  <c r="D72" i="36"/>
  <c r="D73" i="36"/>
  <c r="D74" i="36"/>
  <c r="D76" i="36"/>
  <c r="D77" i="36"/>
  <c r="D78" i="36"/>
  <c r="D79" i="36"/>
  <c r="D80" i="36"/>
  <c r="D81" i="36"/>
  <c r="D82" i="36"/>
  <c r="D83" i="36"/>
  <c r="D84" i="36"/>
  <c r="D86" i="36"/>
  <c r="D87" i="36"/>
  <c r="D88" i="36"/>
  <c r="D89" i="36"/>
  <c r="D90" i="36"/>
  <c r="D91" i="36"/>
  <c r="D92" i="36"/>
  <c r="D93" i="36"/>
  <c r="D94" i="36"/>
  <c r="D96" i="36"/>
  <c r="D97" i="36"/>
  <c r="D98" i="36"/>
  <c r="D99" i="36"/>
  <c r="D100" i="36"/>
  <c r="D101" i="36"/>
  <c r="D102" i="36"/>
  <c r="D103" i="36"/>
  <c r="D104" i="36"/>
  <c r="D4" i="36"/>
  <c r="D91" i="33" l="1"/>
  <c r="L34" i="35" l="1"/>
  <c r="K34" i="35"/>
  <c r="M34" i="35" s="1"/>
  <c r="D34" i="35"/>
  <c r="L91" i="33"/>
  <c r="K91" i="33"/>
  <c r="M91" i="33" s="1"/>
  <c r="L20" i="35"/>
  <c r="K20" i="35"/>
  <c r="M20" i="35" s="1"/>
  <c r="D20" i="35"/>
  <c r="L19" i="35"/>
  <c r="K19" i="35"/>
  <c r="M19" i="35" s="1"/>
  <c r="D19" i="35"/>
  <c r="L17" i="35"/>
  <c r="K17" i="35"/>
  <c r="M17" i="35" s="1"/>
  <c r="D17" i="35"/>
  <c r="K6" i="35"/>
  <c r="L6" i="35"/>
  <c r="K5" i="35"/>
  <c r="L5" i="35"/>
  <c r="K7" i="35"/>
  <c r="L7" i="35"/>
  <c r="K8" i="35"/>
  <c r="N8" i="35" s="1"/>
  <c r="L8" i="35"/>
  <c r="K9" i="35"/>
  <c r="N9" i="35" s="1"/>
  <c r="L9" i="35"/>
  <c r="K10" i="35"/>
  <c r="M10" i="35" s="1"/>
  <c r="L10" i="35"/>
  <c r="K11" i="35"/>
  <c r="M11" i="35" s="1"/>
  <c r="L11" i="35"/>
  <c r="K12" i="35"/>
  <c r="M12" i="35" s="1"/>
  <c r="L12" i="35"/>
  <c r="K13" i="35"/>
  <c r="M13" i="35" s="1"/>
  <c r="L13" i="35"/>
  <c r="K14" i="35"/>
  <c r="N14" i="35" s="1"/>
  <c r="L14" i="35"/>
  <c r="K15" i="35"/>
  <c r="N15" i="35" s="1"/>
  <c r="L15" i="35"/>
  <c r="K16" i="35"/>
  <c r="M16" i="35" s="1"/>
  <c r="L16" i="35"/>
  <c r="K21" i="35"/>
  <c r="M21" i="35" s="1"/>
  <c r="L21" i="35"/>
  <c r="K18" i="35"/>
  <c r="M18" i="35" s="1"/>
  <c r="L18" i="35"/>
  <c r="K22" i="35"/>
  <c r="M22" i="35" s="1"/>
  <c r="L22" i="35"/>
  <c r="K23" i="35"/>
  <c r="M23" i="35" s="1"/>
  <c r="L23" i="35"/>
  <c r="K24" i="35"/>
  <c r="M24" i="35" s="1"/>
  <c r="L24" i="35"/>
  <c r="K26" i="35"/>
  <c r="L26" i="35"/>
  <c r="K27" i="35"/>
  <c r="L27" i="35"/>
  <c r="K28" i="35"/>
  <c r="N28" i="35" s="1"/>
  <c r="L28" i="35"/>
  <c r="K29" i="35"/>
  <c r="M29" i="35" s="1"/>
  <c r="L29" i="35"/>
  <c r="K30" i="35"/>
  <c r="M30" i="35" s="1"/>
  <c r="L30" i="35"/>
  <c r="K31" i="35"/>
  <c r="N31" i="35" s="1"/>
  <c r="L31" i="35"/>
  <c r="K32" i="35"/>
  <c r="M32" i="35" s="1"/>
  <c r="L32" i="35"/>
  <c r="K33" i="35"/>
  <c r="M33" i="35" s="1"/>
  <c r="L33" i="35"/>
  <c r="K35" i="35"/>
  <c r="M35" i="35" s="1"/>
  <c r="L35" i="35"/>
  <c r="K37" i="35"/>
  <c r="L37" i="35"/>
  <c r="K38" i="35"/>
  <c r="L38" i="35"/>
  <c r="K39" i="35"/>
  <c r="N39" i="35" s="1"/>
  <c r="L39" i="35"/>
  <c r="K40" i="35"/>
  <c r="M40" i="35" s="1"/>
  <c r="L40" i="35"/>
  <c r="K41" i="35"/>
  <c r="M41" i="35" s="1"/>
  <c r="L41" i="35"/>
  <c r="K42" i="35"/>
  <c r="N42" i="35" s="1"/>
  <c r="L42" i="35"/>
  <c r="K43" i="35"/>
  <c r="M43" i="35" s="1"/>
  <c r="L43" i="35"/>
  <c r="K44" i="35"/>
  <c r="M44" i="35" s="1"/>
  <c r="L44" i="35"/>
  <c r="K45" i="35"/>
  <c r="M45" i="35" s="1"/>
  <c r="L45" i="35"/>
  <c r="K47" i="35"/>
  <c r="L47" i="35"/>
  <c r="K48" i="35"/>
  <c r="L48" i="35"/>
  <c r="K49" i="35"/>
  <c r="N49" i="35" s="1"/>
  <c r="L49" i="35"/>
  <c r="K50" i="35"/>
  <c r="M50" i="35" s="1"/>
  <c r="L50" i="35"/>
  <c r="K51" i="35"/>
  <c r="M51" i="35" s="1"/>
  <c r="L51" i="35"/>
  <c r="K52" i="35"/>
  <c r="N52" i="35" s="1"/>
  <c r="L52" i="35"/>
  <c r="K53" i="35"/>
  <c r="M53" i="35" s="1"/>
  <c r="L53" i="35"/>
  <c r="K54" i="35"/>
  <c r="M54" i="35" s="1"/>
  <c r="L54" i="35"/>
  <c r="K55" i="35"/>
  <c r="M55" i="35" s="1"/>
  <c r="L55" i="35"/>
  <c r="K57" i="35"/>
  <c r="L57" i="35"/>
  <c r="K58" i="35"/>
  <c r="L58" i="35"/>
  <c r="K59" i="35"/>
  <c r="N59" i="35" s="1"/>
  <c r="L59" i="35"/>
  <c r="K60" i="35"/>
  <c r="M60" i="35" s="1"/>
  <c r="L60" i="35"/>
  <c r="K61" i="35"/>
  <c r="M61" i="35" s="1"/>
  <c r="L61" i="35"/>
  <c r="K62" i="35"/>
  <c r="N62" i="35" s="1"/>
  <c r="L62" i="35"/>
  <c r="K63" i="35"/>
  <c r="M63" i="35" s="1"/>
  <c r="L63" i="35"/>
  <c r="K64" i="35"/>
  <c r="M64" i="35" s="1"/>
  <c r="L64" i="35"/>
  <c r="K65" i="35"/>
  <c r="M65" i="35" s="1"/>
  <c r="L65" i="35"/>
  <c r="K67" i="35"/>
  <c r="L67" i="35"/>
  <c r="K68" i="35"/>
  <c r="L68" i="35"/>
  <c r="K69" i="35"/>
  <c r="N69" i="35" s="1"/>
  <c r="L69" i="35"/>
  <c r="K70" i="35"/>
  <c r="M70" i="35" s="1"/>
  <c r="L70" i="35"/>
  <c r="K71" i="35"/>
  <c r="M71" i="35" s="1"/>
  <c r="L71" i="35"/>
  <c r="K72" i="35"/>
  <c r="N72" i="35" s="1"/>
  <c r="L72" i="35"/>
  <c r="K73" i="35"/>
  <c r="M73" i="35" s="1"/>
  <c r="L73" i="35"/>
  <c r="K74" i="35"/>
  <c r="M74" i="35" s="1"/>
  <c r="L74" i="35"/>
  <c r="K75" i="35"/>
  <c r="M75" i="35" s="1"/>
  <c r="L75" i="35"/>
  <c r="K77" i="35"/>
  <c r="L77" i="35"/>
  <c r="K78" i="35"/>
  <c r="L78" i="35"/>
  <c r="K79" i="35"/>
  <c r="N79" i="35" s="1"/>
  <c r="L79" i="35"/>
  <c r="K80" i="35"/>
  <c r="M80" i="35" s="1"/>
  <c r="L80" i="35"/>
  <c r="K81" i="35"/>
  <c r="M81" i="35" s="1"/>
  <c r="L81" i="35"/>
  <c r="K82" i="35"/>
  <c r="N82" i="35" s="1"/>
  <c r="L82" i="35"/>
  <c r="K83" i="35"/>
  <c r="M83" i="35" s="1"/>
  <c r="L83" i="35"/>
  <c r="K84" i="35"/>
  <c r="M84" i="35" s="1"/>
  <c r="L84" i="35"/>
  <c r="K85" i="35"/>
  <c r="M85" i="35" s="1"/>
  <c r="L85" i="35"/>
  <c r="K87" i="35"/>
  <c r="L87" i="35"/>
  <c r="K88" i="35"/>
  <c r="L88" i="35"/>
  <c r="K89" i="35"/>
  <c r="N89" i="35" s="1"/>
  <c r="L89" i="35"/>
  <c r="K90" i="35"/>
  <c r="M90" i="35" s="1"/>
  <c r="L90" i="35"/>
  <c r="K91" i="35"/>
  <c r="M91" i="35" s="1"/>
  <c r="L91" i="35"/>
  <c r="K92" i="35"/>
  <c r="N92" i="35" s="1"/>
  <c r="L92" i="35"/>
  <c r="K93" i="35"/>
  <c r="M93" i="35" s="1"/>
  <c r="L93" i="35"/>
  <c r="K94" i="35"/>
  <c r="M94" i="35" s="1"/>
  <c r="L94" i="35"/>
  <c r="K95" i="35"/>
  <c r="M95" i="35" s="1"/>
  <c r="L95" i="35"/>
  <c r="K97" i="35"/>
  <c r="L97" i="35"/>
  <c r="K98" i="35"/>
  <c r="L98" i="35"/>
  <c r="K99" i="35"/>
  <c r="N99" i="35" s="1"/>
  <c r="L99" i="35"/>
  <c r="K100" i="35"/>
  <c r="M100" i="35" s="1"/>
  <c r="L100" i="35"/>
  <c r="K101" i="35"/>
  <c r="M101" i="35" s="1"/>
  <c r="L101" i="35"/>
  <c r="K102" i="35"/>
  <c r="N102" i="35" s="1"/>
  <c r="L102" i="35"/>
  <c r="K103" i="35"/>
  <c r="M103" i="35" s="1"/>
  <c r="L103" i="35"/>
  <c r="K104" i="35"/>
  <c r="M104" i="35" s="1"/>
  <c r="L104" i="35"/>
  <c r="K105" i="35"/>
  <c r="M105" i="35" s="1"/>
  <c r="L105" i="35"/>
  <c r="L4" i="35"/>
  <c r="K4" i="35"/>
  <c r="D6" i="35"/>
  <c r="D5" i="35"/>
  <c r="D7" i="35"/>
  <c r="D8" i="35"/>
  <c r="D9" i="35"/>
  <c r="D10" i="35"/>
  <c r="D11" i="35"/>
  <c r="D12" i="35"/>
  <c r="D13" i="35"/>
  <c r="D14" i="35"/>
  <c r="D15" i="35"/>
  <c r="D16" i="35"/>
  <c r="D21" i="35"/>
  <c r="D18" i="35"/>
  <c r="D22" i="35"/>
  <c r="D23" i="35"/>
  <c r="D24" i="35"/>
  <c r="D26" i="35"/>
  <c r="D27" i="35"/>
  <c r="D28" i="35"/>
  <c r="D29" i="35"/>
  <c r="D30" i="35"/>
  <c r="D31" i="35"/>
  <c r="D32" i="35"/>
  <c r="D33" i="35"/>
  <c r="D35" i="35"/>
  <c r="D38" i="35"/>
  <c r="D39" i="35"/>
  <c r="D40" i="35"/>
  <c r="D41" i="35"/>
  <c r="D42" i="35"/>
  <c r="D43" i="35"/>
  <c r="D44" i="35"/>
  <c r="D45" i="35"/>
  <c r="D47" i="35"/>
  <c r="D48" i="35"/>
  <c r="D49" i="35"/>
  <c r="D50" i="35"/>
  <c r="D51" i="35"/>
  <c r="D52" i="35"/>
  <c r="D53" i="35"/>
  <c r="D54" i="35"/>
  <c r="D55" i="35"/>
  <c r="D57" i="35"/>
  <c r="D58" i="35"/>
  <c r="D59" i="35"/>
  <c r="D60" i="35"/>
  <c r="D61" i="35"/>
  <c r="D62" i="35"/>
  <c r="D63" i="35"/>
  <c r="D64" i="35"/>
  <c r="D65" i="35"/>
  <c r="D67" i="35"/>
  <c r="D68" i="35"/>
  <c r="D69" i="35"/>
  <c r="D70" i="35"/>
  <c r="D71" i="35"/>
  <c r="D72" i="35"/>
  <c r="D73" i="35"/>
  <c r="D74" i="35"/>
  <c r="D75" i="35"/>
  <c r="D77" i="35"/>
  <c r="D78" i="35"/>
  <c r="D79" i="35"/>
  <c r="D80" i="35"/>
  <c r="D81" i="35"/>
  <c r="D82" i="35"/>
  <c r="D83" i="35"/>
  <c r="D84" i="35"/>
  <c r="D85" i="35"/>
  <c r="D87" i="35"/>
  <c r="D88" i="35"/>
  <c r="D89" i="35"/>
  <c r="D90" i="35"/>
  <c r="D91" i="35"/>
  <c r="D92" i="35"/>
  <c r="D93" i="35"/>
  <c r="D94" i="35"/>
  <c r="D95" i="35"/>
  <c r="D97" i="35"/>
  <c r="D98" i="35"/>
  <c r="D99" i="35"/>
  <c r="D100" i="35"/>
  <c r="D101" i="35"/>
  <c r="D102" i="35"/>
  <c r="D103" i="35"/>
  <c r="D104" i="35"/>
  <c r="D105" i="35"/>
  <c r="D4" i="35"/>
  <c r="K84" i="33"/>
  <c r="L84" i="33"/>
  <c r="K85" i="33"/>
  <c r="L85" i="33"/>
  <c r="K86" i="33"/>
  <c r="M86" i="33" s="1"/>
  <c r="L86" i="33"/>
  <c r="K87" i="33"/>
  <c r="M87" i="33" s="1"/>
  <c r="L87" i="33"/>
  <c r="K88" i="33"/>
  <c r="L88" i="33"/>
  <c r="K89" i="33"/>
  <c r="M89" i="33" s="1"/>
  <c r="L89" i="33"/>
  <c r="K90" i="33"/>
  <c r="M90" i="33" s="1"/>
  <c r="L90" i="33"/>
  <c r="L83" i="33"/>
  <c r="K83" i="33"/>
  <c r="K76" i="33"/>
  <c r="L76" i="33"/>
  <c r="K77" i="33"/>
  <c r="L77" i="33"/>
  <c r="K78" i="33"/>
  <c r="M78" i="33" s="1"/>
  <c r="L78" i="33"/>
  <c r="K79" i="33"/>
  <c r="M79" i="33" s="1"/>
  <c r="L79" i="33"/>
  <c r="K80" i="33"/>
  <c r="L80" i="33"/>
  <c r="K81" i="33"/>
  <c r="M81" i="33" s="1"/>
  <c r="L81" i="33"/>
  <c r="K82" i="33"/>
  <c r="M82" i="33" s="1"/>
  <c r="L82" i="33"/>
  <c r="L75" i="33"/>
  <c r="K75" i="33"/>
  <c r="K72" i="33"/>
  <c r="M72" i="33" s="1"/>
  <c r="L72" i="33"/>
  <c r="K73" i="33"/>
  <c r="M73" i="33" s="1"/>
  <c r="L73" i="33"/>
  <c r="L71" i="33"/>
  <c r="K71" i="33"/>
  <c r="M71" i="33" s="1"/>
  <c r="D84" i="33"/>
  <c r="D85" i="33"/>
  <c r="D86" i="33"/>
  <c r="D87" i="33"/>
  <c r="D88" i="33"/>
  <c r="D89" i="33"/>
  <c r="D90" i="33"/>
  <c r="D83" i="33"/>
  <c r="D76" i="33"/>
  <c r="D77" i="33"/>
  <c r="D78" i="33"/>
  <c r="D79" i="33"/>
  <c r="D80" i="33"/>
  <c r="D81" i="33"/>
  <c r="D82" i="33"/>
  <c r="D75" i="33"/>
  <c r="D72" i="33"/>
  <c r="D73" i="33"/>
  <c r="D71" i="33"/>
  <c r="L19" i="33" l="1"/>
  <c r="K19" i="33"/>
  <c r="D19" i="33"/>
  <c r="L18" i="33"/>
  <c r="K18" i="33"/>
  <c r="D18" i="33"/>
  <c r="K4" i="33"/>
  <c r="L4" i="33"/>
  <c r="K6" i="33"/>
  <c r="L6" i="33"/>
  <c r="K25" i="33"/>
  <c r="L25" i="33"/>
  <c r="K35" i="33"/>
  <c r="L35" i="33"/>
  <c r="K45" i="33"/>
  <c r="L45" i="33"/>
  <c r="K55" i="33"/>
  <c r="L55" i="33"/>
  <c r="K65" i="33"/>
  <c r="L65" i="33"/>
  <c r="K5" i="33"/>
  <c r="L5" i="33"/>
  <c r="K7" i="33"/>
  <c r="L7" i="33"/>
  <c r="K26" i="33"/>
  <c r="L26" i="33"/>
  <c r="K36" i="33"/>
  <c r="L36" i="33"/>
  <c r="K46" i="33"/>
  <c r="L46" i="33"/>
  <c r="K56" i="33"/>
  <c r="L56" i="33"/>
  <c r="K66" i="33"/>
  <c r="L66" i="33"/>
  <c r="K8" i="33"/>
  <c r="N8" i="33" s="1"/>
  <c r="L8" i="33"/>
  <c r="K20" i="33"/>
  <c r="N20" i="33" s="1"/>
  <c r="L20" i="33"/>
  <c r="K27" i="33"/>
  <c r="N27" i="33" s="1"/>
  <c r="L27" i="33"/>
  <c r="K37" i="33"/>
  <c r="N37" i="33" s="1"/>
  <c r="L37" i="33"/>
  <c r="K47" i="33"/>
  <c r="N47" i="33" s="1"/>
  <c r="L47" i="33"/>
  <c r="K57" i="33"/>
  <c r="N57" i="33" s="1"/>
  <c r="L57" i="33"/>
  <c r="K67" i="33"/>
  <c r="N67" i="33" s="1"/>
  <c r="L67" i="33"/>
  <c r="K9" i="33"/>
  <c r="M9" i="33" s="1"/>
  <c r="L9" i="33"/>
  <c r="K21" i="33"/>
  <c r="M21" i="33" s="1"/>
  <c r="L21" i="33"/>
  <c r="K28" i="33"/>
  <c r="M28" i="33" s="1"/>
  <c r="L28" i="33"/>
  <c r="K38" i="33"/>
  <c r="M38" i="33" s="1"/>
  <c r="L38" i="33"/>
  <c r="K48" i="33"/>
  <c r="M48" i="33" s="1"/>
  <c r="L48" i="33"/>
  <c r="K58" i="33"/>
  <c r="M58" i="33" s="1"/>
  <c r="L58" i="33"/>
  <c r="K68" i="33"/>
  <c r="M68" i="33" s="1"/>
  <c r="L68" i="33"/>
  <c r="K10" i="33"/>
  <c r="M10" i="33" s="1"/>
  <c r="L10" i="33"/>
  <c r="K22" i="33"/>
  <c r="M22" i="33" s="1"/>
  <c r="L22" i="33"/>
  <c r="K29" i="33"/>
  <c r="M29" i="33" s="1"/>
  <c r="L29" i="33"/>
  <c r="K39" i="33"/>
  <c r="M39" i="33" s="1"/>
  <c r="L39" i="33"/>
  <c r="K49" i="33"/>
  <c r="M49" i="33" s="1"/>
  <c r="L49" i="33"/>
  <c r="K59" i="33"/>
  <c r="M59" i="33" s="1"/>
  <c r="L59" i="33"/>
  <c r="K69" i="33"/>
  <c r="M69" i="33" s="1"/>
  <c r="L69" i="33"/>
  <c r="K11" i="33"/>
  <c r="N11" i="33" s="1"/>
  <c r="L11" i="33"/>
  <c r="K23" i="33"/>
  <c r="N23" i="33" s="1"/>
  <c r="L23" i="33"/>
  <c r="K30" i="33"/>
  <c r="N30" i="33" s="1"/>
  <c r="L30" i="33"/>
  <c r="K40" i="33"/>
  <c r="N40" i="33" s="1"/>
  <c r="L40" i="33"/>
  <c r="K50" i="33"/>
  <c r="N50" i="33" s="1"/>
  <c r="L50" i="33"/>
  <c r="K60" i="33"/>
  <c r="N60" i="33" s="1"/>
  <c r="L60" i="33"/>
  <c r="K70" i="33"/>
  <c r="N70" i="33" s="1"/>
  <c r="L70" i="33"/>
  <c r="K12" i="33"/>
  <c r="M12" i="33" s="1"/>
  <c r="L12" i="33"/>
  <c r="K13" i="33"/>
  <c r="M13" i="33" s="1"/>
  <c r="L13" i="33"/>
  <c r="K31" i="33"/>
  <c r="M31" i="33" s="1"/>
  <c r="L31" i="33"/>
  <c r="K41" i="33"/>
  <c r="M41" i="33" s="1"/>
  <c r="L41" i="33"/>
  <c r="K51" i="33"/>
  <c r="M51" i="33" s="1"/>
  <c r="L51" i="33"/>
  <c r="K61" i="33"/>
  <c r="M61" i="33" s="1"/>
  <c r="L61" i="33"/>
  <c r="K14" i="33"/>
  <c r="M14" i="33" s="1"/>
  <c r="L14" i="33"/>
  <c r="K24" i="33"/>
  <c r="M24" i="33" s="1"/>
  <c r="L24" i="33"/>
  <c r="K32" i="33"/>
  <c r="M32" i="33" s="1"/>
  <c r="L32" i="33"/>
  <c r="K42" i="33"/>
  <c r="M42" i="33" s="1"/>
  <c r="L42" i="33"/>
  <c r="K52" i="33"/>
  <c r="M52" i="33" s="1"/>
  <c r="L52" i="33"/>
  <c r="K62" i="33"/>
  <c r="M62" i="33" s="1"/>
  <c r="L62" i="33"/>
  <c r="K15" i="33"/>
  <c r="M15" i="33" s="1"/>
  <c r="L15" i="33"/>
  <c r="K16" i="33"/>
  <c r="M16" i="33" s="1"/>
  <c r="L16" i="33"/>
  <c r="K33" i="33"/>
  <c r="M33" i="33" s="1"/>
  <c r="L33" i="33"/>
  <c r="K43" i="33"/>
  <c r="M43" i="33" s="1"/>
  <c r="L43" i="33"/>
  <c r="K53" i="33"/>
  <c r="M53" i="33" s="1"/>
  <c r="L53" i="33"/>
  <c r="K63" i="33"/>
  <c r="M63" i="33" s="1"/>
  <c r="L63" i="33"/>
  <c r="D4" i="33"/>
  <c r="D6" i="33"/>
  <c r="D25" i="33"/>
  <c r="D35" i="33"/>
  <c r="D45" i="33"/>
  <c r="D55" i="33"/>
  <c r="D65" i="33"/>
  <c r="D5" i="33"/>
  <c r="D7" i="33"/>
  <c r="D26" i="33"/>
  <c r="D36" i="33"/>
  <c r="D46" i="33"/>
  <c r="D56" i="33"/>
  <c r="D66" i="33"/>
  <c r="D8" i="33"/>
  <c r="D20" i="33"/>
  <c r="D27" i="33"/>
  <c r="D37" i="33"/>
  <c r="D47" i="33"/>
  <c r="D57" i="33"/>
  <c r="D67" i="33"/>
  <c r="D9" i="33"/>
  <c r="D21" i="33"/>
  <c r="D28" i="33"/>
  <c r="D38" i="33"/>
  <c r="D48" i="33"/>
  <c r="D58" i="33"/>
  <c r="D68" i="33"/>
  <c r="D10" i="33"/>
  <c r="D22" i="33"/>
  <c r="D29" i="33"/>
  <c r="D39" i="33"/>
  <c r="D49" i="33"/>
  <c r="D59" i="33"/>
  <c r="D69" i="33"/>
  <c r="D11" i="33"/>
  <c r="D23" i="33"/>
  <c r="D30" i="33"/>
  <c r="D40" i="33"/>
  <c r="D50" i="33"/>
  <c r="D60" i="33"/>
  <c r="D70" i="33"/>
  <c r="D12" i="33"/>
  <c r="D13" i="33"/>
  <c r="D31" i="33"/>
  <c r="D41" i="33"/>
  <c r="D51" i="33"/>
  <c r="D61" i="33"/>
  <c r="D14" i="33"/>
  <c r="D24" i="33"/>
  <c r="D32" i="33"/>
  <c r="D42" i="33"/>
  <c r="D52" i="33"/>
  <c r="D62" i="33"/>
  <c r="D15" i="33"/>
  <c r="D16" i="33"/>
  <c r="D33" i="33"/>
  <c r="D43" i="33"/>
  <c r="D53" i="33"/>
  <c r="D63" i="33"/>
  <c r="K4" i="32"/>
  <c r="L4" i="32"/>
  <c r="K6" i="32"/>
  <c r="L6" i="32"/>
  <c r="K23" i="32"/>
  <c r="L23" i="32"/>
  <c r="K25" i="32"/>
  <c r="L25" i="32"/>
  <c r="K41" i="32"/>
  <c r="L41" i="32"/>
  <c r="K51" i="32"/>
  <c r="L51" i="32"/>
  <c r="K61" i="32"/>
  <c r="L61" i="32"/>
  <c r="K71" i="32"/>
  <c r="L71" i="32"/>
  <c r="K81" i="32"/>
  <c r="L81" i="32"/>
  <c r="K91" i="32"/>
  <c r="L91" i="32"/>
  <c r="K101" i="32"/>
  <c r="L101" i="32"/>
  <c r="K5" i="32"/>
  <c r="L5" i="32"/>
  <c r="K7" i="32"/>
  <c r="L7" i="32"/>
  <c r="K24" i="32"/>
  <c r="L24" i="32"/>
  <c r="K26" i="32"/>
  <c r="L26" i="32"/>
  <c r="K42" i="32"/>
  <c r="L42" i="32"/>
  <c r="K52" i="32"/>
  <c r="L52" i="32"/>
  <c r="K62" i="32"/>
  <c r="L62" i="32"/>
  <c r="K72" i="32"/>
  <c r="L72" i="32"/>
  <c r="K82" i="32"/>
  <c r="L82" i="32"/>
  <c r="K92" i="32"/>
  <c r="L92" i="32"/>
  <c r="K102" i="32"/>
  <c r="L102" i="32"/>
  <c r="K8" i="32"/>
  <c r="N8" i="32" s="1"/>
  <c r="L8" i="32"/>
  <c r="K9" i="32"/>
  <c r="N9" i="32" s="1"/>
  <c r="L9" i="32"/>
  <c r="K27" i="32"/>
  <c r="N27" i="32" s="1"/>
  <c r="L27" i="32"/>
  <c r="K43" i="32"/>
  <c r="N43" i="32" s="1"/>
  <c r="L43" i="32"/>
  <c r="K53" i="32"/>
  <c r="N53" i="32" s="1"/>
  <c r="L53" i="32"/>
  <c r="K63" i="32"/>
  <c r="N63" i="32" s="1"/>
  <c r="L63" i="32"/>
  <c r="K73" i="32"/>
  <c r="N73" i="32" s="1"/>
  <c r="L73" i="32"/>
  <c r="K83" i="32"/>
  <c r="N83" i="32" s="1"/>
  <c r="L83" i="32"/>
  <c r="K93" i="32"/>
  <c r="N93" i="32" s="1"/>
  <c r="L93" i="32"/>
  <c r="K103" i="32"/>
  <c r="N103" i="32" s="1"/>
  <c r="L103" i="32"/>
  <c r="K10" i="32"/>
  <c r="M10" i="32" s="1"/>
  <c r="L10" i="32"/>
  <c r="K17" i="32"/>
  <c r="M17" i="32" s="1"/>
  <c r="L17" i="32"/>
  <c r="K28" i="32"/>
  <c r="M28" i="32" s="1"/>
  <c r="L28" i="32"/>
  <c r="K29" i="32"/>
  <c r="M29" i="32" s="1"/>
  <c r="L29" i="32"/>
  <c r="K44" i="32"/>
  <c r="M44" i="32" s="1"/>
  <c r="L44" i="32"/>
  <c r="K54" i="32"/>
  <c r="M54" i="32" s="1"/>
  <c r="L54" i="32"/>
  <c r="K64" i="32"/>
  <c r="M64" i="32" s="1"/>
  <c r="L64" i="32"/>
  <c r="K74" i="32"/>
  <c r="M74" i="32" s="1"/>
  <c r="L74" i="32"/>
  <c r="K84" i="32"/>
  <c r="M84" i="32" s="1"/>
  <c r="L84" i="32"/>
  <c r="K94" i="32"/>
  <c r="M94" i="32" s="1"/>
  <c r="L94" i="32"/>
  <c r="K104" i="32"/>
  <c r="M104" i="32" s="1"/>
  <c r="L104" i="32"/>
  <c r="K11" i="32"/>
  <c r="M11" i="32" s="1"/>
  <c r="L11" i="32"/>
  <c r="K18" i="32"/>
  <c r="M18" i="32" s="1"/>
  <c r="L18" i="32"/>
  <c r="K30" i="32"/>
  <c r="M30" i="32" s="1"/>
  <c r="L30" i="32"/>
  <c r="K31" i="32"/>
  <c r="M31" i="32" s="1"/>
  <c r="L31" i="32"/>
  <c r="K45" i="32"/>
  <c r="M45" i="32" s="1"/>
  <c r="L45" i="32"/>
  <c r="K55" i="32"/>
  <c r="M55" i="32" s="1"/>
  <c r="L55" i="32"/>
  <c r="K65" i="32"/>
  <c r="M65" i="32" s="1"/>
  <c r="L65" i="32"/>
  <c r="K75" i="32"/>
  <c r="M75" i="32" s="1"/>
  <c r="L75" i="32"/>
  <c r="K85" i="32"/>
  <c r="M85" i="32" s="1"/>
  <c r="L85" i="32"/>
  <c r="K95" i="32"/>
  <c r="M95" i="32" s="1"/>
  <c r="L95" i="32"/>
  <c r="K105" i="32"/>
  <c r="M105" i="32" s="1"/>
  <c r="L105" i="32"/>
  <c r="K12" i="32"/>
  <c r="N12" i="32" s="1"/>
  <c r="L12" i="32"/>
  <c r="K19" i="32"/>
  <c r="N19" i="32" s="1"/>
  <c r="L19" i="32"/>
  <c r="K39" i="32"/>
  <c r="N39" i="32" s="1"/>
  <c r="L39" i="32"/>
  <c r="K40" i="32"/>
  <c r="N40" i="32" s="1"/>
  <c r="L40" i="32"/>
  <c r="K46" i="32"/>
  <c r="N46" i="32" s="1"/>
  <c r="L46" i="32"/>
  <c r="K56" i="32"/>
  <c r="N56" i="32" s="1"/>
  <c r="L56" i="32"/>
  <c r="K66" i="32"/>
  <c r="N66" i="32" s="1"/>
  <c r="L66" i="32"/>
  <c r="K76" i="32"/>
  <c r="N76" i="32" s="1"/>
  <c r="L76" i="32"/>
  <c r="K86" i="32"/>
  <c r="N86" i="32" s="1"/>
  <c r="L86" i="32"/>
  <c r="K96" i="32"/>
  <c r="N96" i="32" s="1"/>
  <c r="L96" i="32"/>
  <c r="K106" i="32"/>
  <c r="N106" i="32" s="1"/>
  <c r="L106" i="32"/>
  <c r="K13" i="32"/>
  <c r="M13" i="32" s="1"/>
  <c r="L13" i="32"/>
  <c r="K20" i="32"/>
  <c r="M20" i="32" s="1"/>
  <c r="L20" i="32"/>
  <c r="K32" i="32"/>
  <c r="M32" i="32" s="1"/>
  <c r="L32" i="32"/>
  <c r="K33" i="32"/>
  <c r="M33" i="32" s="1"/>
  <c r="L33" i="32"/>
  <c r="K47" i="32"/>
  <c r="M47" i="32" s="1"/>
  <c r="L47" i="32"/>
  <c r="K57" i="32"/>
  <c r="M57" i="32" s="1"/>
  <c r="L57" i="32"/>
  <c r="K67" i="32"/>
  <c r="M67" i="32" s="1"/>
  <c r="L67" i="32"/>
  <c r="K77" i="32"/>
  <c r="M77" i="32" s="1"/>
  <c r="L77" i="32"/>
  <c r="K87" i="32"/>
  <c r="M87" i="32" s="1"/>
  <c r="L87" i="32"/>
  <c r="K97" i="32"/>
  <c r="M97" i="32" s="1"/>
  <c r="L97" i="32"/>
  <c r="K107" i="32"/>
  <c r="M107" i="32" s="1"/>
  <c r="L107" i="32"/>
  <c r="K14" i="32"/>
  <c r="M14" i="32" s="1"/>
  <c r="L14" i="32"/>
  <c r="K21" i="32"/>
  <c r="M21" i="32" s="1"/>
  <c r="L21" i="32"/>
  <c r="K34" i="32"/>
  <c r="M34" i="32" s="1"/>
  <c r="L34" i="32"/>
  <c r="K35" i="32"/>
  <c r="M35" i="32" s="1"/>
  <c r="L35" i="32"/>
  <c r="K48" i="32"/>
  <c r="M48" i="32" s="1"/>
  <c r="L48" i="32"/>
  <c r="K58" i="32"/>
  <c r="M58" i="32" s="1"/>
  <c r="L58" i="32"/>
  <c r="K68" i="32"/>
  <c r="M68" i="32" s="1"/>
  <c r="L68" i="32"/>
  <c r="K78" i="32"/>
  <c r="M78" i="32" s="1"/>
  <c r="L78" i="32"/>
  <c r="K88" i="32"/>
  <c r="M88" i="32" s="1"/>
  <c r="L88" i="32"/>
  <c r="K98" i="32"/>
  <c r="M98" i="32" s="1"/>
  <c r="L98" i="32"/>
  <c r="K108" i="32"/>
  <c r="M108" i="32" s="1"/>
  <c r="L108" i="32"/>
  <c r="K15" i="32"/>
  <c r="M15" i="32" s="1"/>
  <c r="L15" i="32"/>
  <c r="K22" i="32"/>
  <c r="M22" i="32" s="1"/>
  <c r="L22" i="32"/>
  <c r="K36" i="32"/>
  <c r="M36" i="32" s="1"/>
  <c r="L36" i="32"/>
  <c r="K37" i="32"/>
  <c r="M37" i="32" s="1"/>
  <c r="L37" i="32"/>
  <c r="K49" i="32"/>
  <c r="M49" i="32" s="1"/>
  <c r="L49" i="32"/>
  <c r="K59" i="32"/>
  <c r="M59" i="32" s="1"/>
  <c r="L59" i="32"/>
  <c r="K69" i="32"/>
  <c r="M69" i="32" s="1"/>
  <c r="L69" i="32"/>
  <c r="K79" i="32"/>
  <c r="M79" i="32" s="1"/>
  <c r="L79" i="32"/>
  <c r="K89" i="32"/>
  <c r="M89" i="32" s="1"/>
  <c r="L89" i="32"/>
  <c r="K99" i="32"/>
  <c r="M99" i="32" s="1"/>
  <c r="L99" i="32"/>
  <c r="K109" i="32"/>
  <c r="M109" i="32" s="1"/>
  <c r="L109" i="32"/>
  <c r="D4" i="32"/>
  <c r="D6" i="32"/>
  <c r="D23" i="32"/>
  <c r="D25" i="32"/>
  <c r="D41" i="32"/>
  <c r="D51" i="32"/>
  <c r="D61" i="32"/>
  <c r="D71" i="32"/>
  <c r="D81" i="32"/>
  <c r="D91" i="32"/>
  <c r="D101" i="32"/>
  <c r="D5" i="32"/>
  <c r="D7" i="32"/>
  <c r="D24" i="32"/>
  <c r="D26" i="32"/>
  <c r="D42" i="32"/>
  <c r="D52" i="32"/>
  <c r="D62" i="32"/>
  <c r="D72" i="32"/>
  <c r="D82" i="32"/>
  <c r="D92" i="32"/>
  <c r="D102" i="32"/>
  <c r="D8" i="32"/>
  <c r="D9" i="32"/>
  <c r="D27" i="32"/>
  <c r="D43" i="32"/>
  <c r="D53" i="32"/>
  <c r="D63" i="32"/>
  <c r="D73" i="32"/>
  <c r="D83" i="32"/>
  <c r="D93" i="32"/>
  <c r="D103" i="32"/>
  <c r="D10" i="32"/>
  <c r="D17" i="32"/>
  <c r="D28" i="32"/>
  <c r="D29" i="32"/>
  <c r="D44" i="32"/>
  <c r="D54" i="32"/>
  <c r="D64" i="32"/>
  <c r="D74" i="32"/>
  <c r="D84" i="32"/>
  <c r="D94" i="32"/>
  <c r="D104" i="32"/>
  <c r="D11" i="32"/>
  <c r="D18" i="32"/>
  <c r="D30" i="32"/>
  <c r="D31" i="32"/>
  <c r="D45" i="32"/>
  <c r="D55" i="32"/>
  <c r="D65" i="32"/>
  <c r="D75" i="32"/>
  <c r="D85" i="32"/>
  <c r="D95" i="32"/>
  <c r="D105" i="32"/>
  <c r="D12" i="32"/>
  <c r="D19" i="32"/>
  <c r="D39" i="32"/>
  <c r="D40" i="32"/>
  <c r="D46" i="32"/>
  <c r="D56" i="32"/>
  <c r="D66" i="32"/>
  <c r="D76" i="32"/>
  <c r="D86" i="32"/>
  <c r="D96" i="32"/>
  <c r="D106" i="32"/>
  <c r="D13" i="32"/>
  <c r="D20" i="32"/>
  <c r="D32" i="32"/>
  <c r="D33" i="32"/>
  <c r="D47" i="32"/>
  <c r="D57" i="32"/>
  <c r="D67" i="32"/>
  <c r="D77" i="32"/>
  <c r="D87" i="32"/>
  <c r="D97" i="32"/>
  <c r="D107" i="32"/>
  <c r="D14" i="32"/>
  <c r="D21" i="32"/>
  <c r="D34" i="32"/>
  <c r="D35" i="32"/>
  <c r="D48" i="32"/>
  <c r="D58" i="32"/>
  <c r="D68" i="32"/>
  <c r="D78" i="32"/>
  <c r="D88" i="32"/>
  <c r="D98" i="32"/>
  <c r="D108" i="32"/>
  <c r="D15" i="32"/>
  <c r="D22" i="32"/>
  <c r="D36" i="32"/>
  <c r="D37" i="32"/>
  <c r="D49" i="32"/>
  <c r="D59" i="32"/>
  <c r="D69" i="32"/>
  <c r="D79" i="32"/>
  <c r="D89" i="32"/>
  <c r="D99" i="32"/>
  <c r="D109" i="32"/>
  <c r="K4" i="29" l="1"/>
  <c r="L4" i="29"/>
  <c r="K6" i="29"/>
  <c r="L6" i="29"/>
  <c r="K23" i="29"/>
  <c r="L23" i="29"/>
  <c r="K33" i="29"/>
  <c r="L33" i="29"/>
  <c r="K43" i="29"/>
  <c r="L43" i="29"/>
  <c r="K53" i="29"/>
  <c r="L53" i="29"/>
  <c r="K63" i="29"/>
  <c r="L63" i="29"/>
  <c r="K73" i="29"/>
  <c r="L73" i="29"/>
  <c r="K83" i="29"/>
  <c r="L83" i="29"/>
  <c r="K93" i="29"/>
  <c r="L93" i="29"/>
  <c r="K5" i="29"/>
  <c r="L5" i="29"/>
  <c r="K7" i="29"/>
  <c r="L7" i="29"/>
  <c r="K24" i="29"/>
  <c r="L24" i="29"/>
  <c r="K34" i="29"/>
  <c r="L34" i="29"/>
  <c r="K44" i="29"/>
  <c r="L44" i="29"/>
  <c r="K54" i="29"/>
  <c r="L54" i="29"/>
  <c r="K64" i="29"/>
  <c r="L64" i="29"/>
  <c r="K74" i="29"/>
  <c r="L74" i="29"/>
  <c r="K84" i="29"/>
  <c r="L84" i="29"/>
  <c r="K94" i="29"/>
  <c r="L94" i="29"/>
  <c r="K8" i="29"/>
  <c r="N8" i="29" s="1"/>
  <c r="L8" i="29"/>
  <c r="K9" i="29"/>
  <c r="N9" i="29" s="1"/>
  <c r="L9" i="29"/>
  <c r="K25" i="29"/>
  <c r="N25" i="29" s="1"/>
  <c r="L25" i="29"/>
  <c r="K35" i="29"/>
  <c r="N35" i="29" s="1"/>
  <c r="L35" i="29"/>
  <c r="K45" i="29"/>
  <c r="N45" i="29" s="1"/>
  <c r="L45" i="29"/>
  <c r="K55" i="29"/>
  <c r="N55" i="29" s="1"/>
  <c r="L55" i="29"/>
  <c r="K65" i="29"/>
  <c r="N65" i="29" s="1"/>
  <c r="L65" i="29"/>
  <c r="K75" i="29"/>
  <c r="N75" i="29" s="1"/>
  <c r="L75" i="29"/>
  <c r="K85" i="29"/>
  <c r="N85" i="29" s="1"/>
  <c r="L85" i="29"/>
  <c r="K95" i="29"/>
  <c r="N95" i="29" s="1"/>
  <c r="L95" i="29"/>
  <c r="K10" i="29"/>
  <c r="M10" i="29" s="1"/>
  <c r="L10" i="29"/>
  <c r="K16" i="29"/>
  <c r="M16" i="29" s="1"/>
  <c r="L16" i="29"/>
  <c r="K26" i="29"/>
  <c r="M26" i="29" s="1"/>
  <c r="L26" i="29"/>
  <c r="K36" i="29"/>
  <c r="M36" i="29" s="1"/>
  <c r="L36" i="29"/>
  <c r="K46" i="29"/>
  <c r="M46" i="29" s="1"/>
  <c r="L46" i="29"/>
  <c r="K56" i="29"/>
  <c r="M56" i="29" s="1"/>
  <c r="L56" i="29"/>
  <c r="K66" i="29"/>
  <c r="M66" i="29" s="1"/>
  <c r="L66" i="29"/>
  <c r="K76" i="29"/>
  <c r="M76" i="29" s="1"/>
  <c r="L76" i="29"/>
  <c r="K86" i="29"/>
  <c r="M86" i="29" s="1"/>
  <c r="L86" i="29"/>
  <c r="K96" i="29"/>
  <c r="M96" i="29" s="1"/>
  <c r="L96" i="29"/>
  <c r="K11" i="29"/>
  <c r="M11" i="29" s="1"/>
  <c r="L11" i="29"/>
  <c r="K17" i="29"/>
  <c r="M17" i="29" s="1"/>
  <c r="L17" i="29"/>
  <c r="K27" i="29"/>
  <c r="M27" i="29" s="1"/>
  <c r="L27" i="29"/>
  <c r="K37" i="29"/>
  <c r="M37" i="29" s="1"/>
  <c r="L37" i="29"/>
  <c r="K47" i="29"/>
  <c r="M47" i="29" s="1"/>
  <c r="L47" i="29"/>
  <c r="K57" i="29"/>
  <c r="M57" i="29" s="1"/>
  <c r="L57" i="29"/>
  <c r="K67" i="29"/>
  <c r="M67" i="29" s="1"/>
  <c r="L67" i="29"/>
  <c r="K77" i="29"/>
  <c r="M77" i="29" s="1"/>
  <c r="L77" i="29"/>
  <c r="K87" i="29"/>
  <c r="M87" i="29" s="1"/>
  <c r="L87" i="29"/>
  <c r="K97" i="29"/>
  <c r="M97" i="29" s="1"/>
  <c r="L97" i="29"/>
  <c r="K12" i="29"/>
  <c r="N12" i="29" s="1"/>
  <c r="L12" i="29"/>
  <c r="K18" i="29"/>
  <c r="N18" i="29" s="1"/>
  <c r="L18" i="29"/>
  <c r="K28" i="29"/>
  <c r="N28" i="29" s="1"/>
  <c r="L28" i="29"/>
  <c r="K38" i="29"/>
  <c r="N38" i="29" s="1"/>
  <c r="L38" i="29"/>
  <c r="K48" i="29"/>
  <c r="N48" i="29" s="1"/>
  <c r="L48" i="29"/>
  <c r="K58" i="29"/>
  <c r="N58" i="29" s="1"/>
  <c r="L58" i="29"/>
  <c r="K68" i="29"/>
  <c r="N68" i="29" s="1"/>
  <c r="L68" i="29"/>
  <c r="K78" i="29"/>
  <c r="N78" i="29" s="1"/>
  <c r="L78" i="29"/>
  <c r="K88" i="29"/>
  <c r="N88" i="29" s="1"/>
  <c r="L88" i="29"/>
  <c r="K98" i="29"/>
  <c r="N98" i="29" s="1"/>
  <c r="L98" i="29"/>
  <c r="K13" i="29"/>
  <c r="M13" i="29" s="1"/>
  <c r="L13" i="29"/>
  <c r="K19" i="29"/>
  <c r="M19" i="29" s="1"/>
  <c r="L19" i="29"/>
  <c r="K29" i="29"/>
  <c r="M29" i="29" s="1"/>
  <c r="L29" i="29"/>
  <c r="K39" i="29"/>
  <c r="M39" i="29" s="1"/>
  <c r="L39" i="29"/>
  <c r="K49" i="29"/>
  <c r="M49" i="29" s="1"/>
  <c r="L49" i="29"/>
  <c r="K59" i="29"/>
  <c r="M59" i="29" s="1"/>
  <c r="L59" i="29"/>
  <c r="K69" i="29"/>
  <c r="M69" i="29" s="1"/>
  <c r="L69" i="29"/>
  <c r="K79" i="29"/>
  <c r="M79" i="29" s="1"/>
  <c r="L79" i="29"/>
  <c r="K89" i="29"/>
  <c r="M89" i="29" s="1"/>
  <c r="L89" i="29"/>
  <c r="K99" i="29"/>
  <c r="M99" i="29" s="1"/>
  <c r="L99" i="29"/>
  <c r="K14" i="29"/>
  <c r="M14" i="29" s="1"/>
  <c r="L14" i="29"/>
  <c r="K20" i="29"/>
  <c r="M20" i="29" s="1"/>
  <c r="L20" i="29"/>
  <c r="K30" i="29"/>
  <c r="M30" i="29" s="1"/>
  <c r="L30" i="29"/>
  <c r="K40" i="29"/>
  <c r="M40" i="29" s="1"/>
  <c r="L40" i="29"/>
  <c r="K50" i="29"/>
  <c r="M50" i="29" s="1"/>
  <c r="L50" i="29"/>
  <c r="K60" i="29"/>
  <c r="M60" i="29" s="1"/>
  <c r="L60" i="29"/>
  <c r="K70" i="29"/>
  <c r="M70" i="29" s="1"/>
  <c r="L70" i="29"/>
  <c r="K80" i="29"/>
  <c r="M80" i="29" s="1"/>
  <c r="L80" i="29"/>
  <c r="K90" i="29"/>
  <c r="M90" i="29" s="1"/>
  <c r="L90" i="29"/>
  <c r="K100" i="29"/>
  <c r="M100" i="29" s="1"/>
  <c r="L100" i="29"/>
  <c r="K15" i="29"/>
  <c r="M15" i="29" s="1"/>
  <c r="L15" i="29"/>
  <c r="K21" i="29"/>
  <c r="M21" i="29" s="1"/>
  <c r="L21" i="29"/>
  <c r="K31" i="29"/>
  <c r="M31" i="29" s="1"/>
  <c r="L31" i="29"/>
  <c r="K41" i="29"/>
  <c r="M41" i="29" s="1"/>
  <c r="L41" i="29"/>
  <c r="K51" i="29"/>
  <c r="M51" i="29" s="1"/>
  <c r="L51" i="29"/>
  <c r="K61" i="29"/>
  <c r="M61" i="29" s="1"/>
  <c r="L61" i="29"/>
  <c r="K71" i="29"/>
  <c r="M71" i="29" s="1"/>
  <c r="L71" i="29"/>
  <c r="K81" i="29"/>
  <c r="M81" i="29" s="1"/>
  <c r="L81" i="29"/>
  <c r="K91" i="29"/>
  <c r="M91" i="29" s="1"/>
  <c r="L91" i="29"/>
  <c r="K101" i="29"/>
  <c r="M101" i="29" s="1"/>
  <c r="L101" i="29"/>
  <c r="D4" i="29"/>
  <c r="D6" i="29"/>
  <c r="D23" i="29"/>
  <c r="D33" i="29"/>
  <c r="D43" i="29"/>
  <c r="D53" i="29"/>
  <c r="D63" i="29"/>
  <c r="D73" i="29"/>
  <c r="D83" i="29"/>
  <c r="D93" i="29"/>
  <c r="D5" i="29"/>
  <c r="D7" i="29"/>
  <c r="D24" i="29"/>
  <c r="D34" i="29"/>
  <c r="D44" i="29"/>
  <c r="D54" i="29"/>
  <c r="D64" i="29"/>
  <c r="D74" i="29"/>
  <c r="D84" i="29"/>
  <c r="D94" i="29"/>
  <c r="D8" i="29"/>
  <c r="D9" i="29"/>
  <c r="D25" i="29"/>
  <c r="D35" i="29"/>
  <c r="D45" i="29"/>
  <c r="D55" i="29"/>
  <c r="D65" i="29"/>
  <c r="D75" i="29"/>
  <c r="D85" i="29"/>
  <c r="D95" i="29"/>
  <c r="D10" i="29"/>
  <c r="D16" i="29"/>
  <c r="D26" i="29"/>
  <c r="D36" i="29"/>
  <c r="D46" i="29"/>
  <c r="D56" i="29"/>
  <c r="D66" i="29"/>
  <c r="D76" i="29"/>
  <c r="D86" i="29"/>
  <c r="D96" i="29"/>
  <c r="D11" i="29"/>
  <c r="D17" i="29"/>
  <c r="D27" i="29"/>
  <c r="D37" i="29"/>
  <c r="D47" i="29"/>
  <c r="D57" i="29"/>
  <c r="D67" i="29"/>
  <c r="D77" i="29"/>
  <c r="D87" i="29"/>
  <c r="D97" i="29"/>
  <c r="D12" i="29"/>
  <c r="D18" i="29"/>
  <c r="D28" i="29"/>
  <c r="D38" i="29"/>
  <c r="D48" i="29"/>
  <c r="D58" i="29"/>
  <c r="D68" i="29"/>
  <c r="D78" i="29"/>
  <c r="D88" i="29"/>
  <c r="D98" i="29"/>
  <c r="D13" i="29"/>
  <c r="D19" i="29"/>
  <c r="D29" i="29"/>
  <c r="D39" i="29"/>
  <c r="D49" i="29"/>
  <c r="D59" i="29"/>
  <c r="D69" i="29"/>
  <c r="D79" i="29"/>
  <c r="D89" i="29"/>
  <c r="D99" i="29"/>
  <c r="D14" i="29"/>
  <c r="D20" i="29"/>
  <c r="D30" i="29"/>
  <c r="D40" i="29"/>
  <c r="D50" i="29"/>
  <c r="D60" i="29"/>
  <c r="D70" i="29"/>
  <c r="D80" i="29"/>
  <c r="D90" i="29"/>
  <c r="D100" i="29"/>
  <c r="D15" i="29"/>
  <c r="D21" i="29"/>
  <c r="D31" i="29"/>
  <c r="D41" i="29"/>
  <c r="D51" i="29"/>
  <c r="D61" i="29"/>
  <c r="D71" i="29"/>
  <c r="D81" i="29"/>
  <c r="D91" i="29"/>
  <c r="D101" i="29"/>
  <c r="D64" i="27"/>
  <c r="D65" i="27"/>
  <c r="D66" i="27"/>
  <c r="D67" i="27"/>
  <c r="Q3" i="28"/>
  <c r="Q4" i="28"/>
  <c r="Q5" i="28"/>
  <c r="Q6" i="28"/>
  <c r="Q7" i="28"/>
  <c r="Q8" i="28"/>
  <c r="Q9" i="28"/>
  <c r="Q10" i="28"/>
  <c r="Q11" i="28"/>
  <c r="Q12" i="28"/>
  <c r="Q2" i="28"/>
  <c r="L19" i="27"/>
  <c r="K19" i="27"/>
  <c r="M19" i="27" s="1"/>
  <c r="D19" i="27"/>
  <c r="L22" i="27"/>
  <c r="K22" i="27"/>
  <c r="M22" i="27" s="1"/>
  <c r="D22" i="27"/>
  <c r="K6" i="27" l="1"/>
  <c r="L6" i="27"/>
  <c r="K25" i="27"/>
  <c r="L25" i="27"/>
  <c r="K35" i="27"/>
  <c r="L35" i="27"/>
  <c r="K45" i="27"/>
  <c r="L45" i="27"/>
  <c r="K55" i="27"/>
  <c r="L55" i="27"/>
  <c r="K69" i="27"/>
  <c r="L69" i="27"/>
  <c r="K79" i="27"/>
  <c r="L79" i="27"/>
  <c r="K89" i="27"/>
  <c r="L89" i="27"/>
  <c r="K99" i="27"/>
  <c r="L99" i="27"/>
  <c r="K5" i="27"/>
  <c r="L5" i="27"/>
  <c r="K7" i="27"/>
  <c r="L7" i="27"/>
  <c r="K26" i="27"/>
  <c r="L26" i="27"/>
  <c r="K36" i="27"/>
  <c r="L36" i="27"/>
  <c r="K46" i="27"/>
  <c r="L46" i="27"/>
  <c r="K56" i="27"/>
  <c r="L56" i="27"/>
  <c r="K70" i="27"/>
  <c r="L70" i="27"/>
  <c r="K80" i="27"/>
  <c r="L80" i="27"/>
  <c r="K90" i="27"/>
  <c r="L90" i="27"/>
  <c r="K100" i="27"/>
  <c r="L100" i="27"/>
  <c r="K8" i="27"/>
  <c r="N8" i="27" s="1"/>
  <c r="L8" i="27"/>
  <c r="K9" i="27"/>
  <c r="N9" i="27" s="1"/>
  <c r="L9" i="27"/>
  <c r="K27" i="27"/>
  <c r="N27" i="27" s="1"/>
  <c r="L27" i="27"/>
  <c r="K37" i="27"/>
  <c r="N37" i="27" s="1"/>
  <c r="L37" i="27"/>
  <c r="K47" i="27"/>
  <c r="N47" i="27" s="1"/>
  <c r="L47" i="27"/>
  <c r="K57" i="27"/>
  <c r="N57" i="27" s="1"/>
  <c r="L57" i="27"/>
  <c r="K71" i="27"/>
  <c r="N71" i="27" s="1"/>
  <c r="L71" i="27"/>
  <c r="K81" i="27"/>
  <c r="N81" i="27" s="1"/>
  <c r="L81" i="27"/>
  <c r="K91" i="27"/>
  <c r="N91" i="27" s="1"/>
  <c r="L91" i="27"/>
  <c r="K101" i="27"/>
  <c r="N101" i="27" s="1"/>
  <c r="L101" i="27"/>
  <c r="K10" i="27"/>
  <c r="M10" i="27" s="1"/>
  <c r="L10" i="27"/>
  <c r="K11" i="27"/>
  <c r="M11" i="27" s="1"/>
  <c r="L11" i="27"/>
  <c r="K28" i="27"/>
  <c r="M28" i="27" s="1"/>
  <c r="L28" i="27"/>
  <c r="K38" i="27"/>
  <c r="M38" i="27" s="1"/>
  <c r="L38" i="27"/>
  <c r="K48" i="27"/>
  <c r="M48" i="27" s="1"/>
  <c r="L48" i="27"/>
  <c r="K58" i="27"/>
  <c r="M58" i="27" s="1"/>
  <c r="L58" i="27"/>
  <c r="K72" i="27"/>
  <c r="M72" i="27" s="1"/>
  <c r="L72" i="27"/>
  <c r="K82" i="27"/>
  <c r="M82" i="27" s="1"/>
  <c r="L82" i="27"/>
  <c r="K92" i="27"/>
  <c r="M92" i="27" s="1"/>
  <c r="L92" i="27"/>
  <c r="K102" i="27"/>
  <c r="M102" i="27" s="1"/>
  <c r="L102" i="27"/>
  <c r="K12" i="27"/>
  <c r="M12" i="27" s="1"/>
  <c r="L12" i="27"/>
  <c r="K13" i="27"/>
  <c r="M13" i="27" s="1"/>
  <c r="L13" i="27"/>
  <c r="K29" i="27"/>
  <c r="M29" i="27" s="1"/>
  <c r="L29" i="27"/>
  <c r="K39" i="27"/>
  <c r="M39" i="27" s="1"/>
  <c r="L39" i="27"/>
  <c r="K49" i="27"/>
  <c r="M49" i="27" s="1"/>
  <c r="L49" i="27"/>
  <c r="K59" i="27"/>
  <c r="M59" i="27" s="1"/>
  <c r="L59" i="27"/>
  <c r="K73" i="27"/>
  <c r="M73" i="27" s="1"/>
  <c r="L73" i="27"/>
  <c r="K83" i="27"/>
  <c r="M83" i="27" s="1"/>
  <c r="L83" i="27"/>
  <c r="K93" i="27"/>
  <c r="M93" i="27" s="1"/>
  <c r="L93" i="27"/>
  <c r="K103" i="27"/>
  <c r="M103" i="27" s="1"/>
  <c r="L103" i="27"/>
  <c r="K14" i="27"/>
  <c r="N14" i="27" s="1"/>
  <c r="L14" i="27"/>
  <c r="K15" i="27"/>
  <c r="N15" i="27" s="1"/>
  <c r="L15" i="27"/>
  <c r="K30" i="27"/>
  <c r="N30" i="27" s="1"/>
  <c r="L30" i="27"/>
  <c r="K40" i="27"/>
  <c r="N40" i="27" s="1"/>
  <c r="L40" i="27"/>
  <c r="K50" i="27"/>
  <c r="N50" i="27" s="1"/>
  <c r="L50" i="27"/>
  <c r="K60" i="27"/>
  <c r="N60" i="27" s="1"/>
  <c r="L60" i="27"/>
  <c r="K74" i="27"/>
  <c r="N74" i="27" s="1"/>
  <c r="L74" i="27"/>
  <c r="K84" i="27"/>
  <c r="N84" i="27" s="1"/>
  <c r="L84" i="27"/>
  <c r="K94" i="27"/>
  <c r="N94" i="27" s="1"/>
  <c r="L94" i="27"/>
  <c r="K104" i="27"/>
  <c r="N104" i="27" s="1"/>
  <c r="L104" i="27"/>
  <c r="K16" i="27"/>
  <c r="M16" i="27" s="1"/>
  <c r="L16" i="27"/>
  <c r="K17" i="27"/>
  <c r="M17" i="27" s="1"/>
  <c r="L17" i="27"/>
  <c r="K31" i="27"/>
  <c r="M31" i="27" s="1"/>
  <c r="L31" i="27"/>
  <c r="K41" i="27"/>
  <c r="M41" i="27" s="1"/>
  <c r="L41" i="27"/>
  <c r="K51" i="27"/>
  <c r="M51" i="27" s="1"/>
  <c r="L51" i="27"/>
  <c r="K61" i="27"/>
  <c r="M61" i="27" s="1"/>
  <c r="L61" i="27"/>
  <c r="K75" i="27"/>
  <c r="M75" i="27" s="1"/>
  <c r="L75" i="27"/>
  <c r="K85" i="27"/>
  <c r="M85" i="27" s="1"/>
  <c r="L85" i="27"/>
  <c r="K95" i="27"/>
  <c r="M95" i="27" s="1"/>
  <c r="L95" i="27"/>
  <c r="K105" i="27"/>
  <c r="M105" i="27" s="1"/>
  <c r="L105" i="27"/>
  <c r="K18" i="27"/>
  <c r="M18" i="27" s="1"/>
  <c r="L18" i="27"/>
  <c r="K23" i="27"/>
  <c r="M23" i="27" s="1"/>
  <c r="L23" i="27"/>
  <c r="K32" i="27"/>
  <c r="M32" i="27" s="1"/>
  <c r="L32" i="27"/>
  <c r="K42" i="27"/>
  <c r="M42" i="27" s="1"/>
  <c r="L42" i="27"/>
  <c r="K52" i="27"/>
  <c r="M52" i="27" s="1"/>
  <c r="L52" i="27"/>
  <c r="K62" i="27"/>
  <c r="M62" i="27" s="1"/>
  <c r="L62" i="27"/>
  <c r="K76" i="27"/>
  <c r="M76" i="27" s="1"/>
  <c r="L76" i="27"/>
  <c r="K86" i="27"/>
  <c r="M86" i="27" s="1"/>
  <c r="L86" i="27"/>
  <c r="K96" i="27"/>
  <c r="M96" i="27" s="1"/>
  <c r="L96" i="27"/>
  <c r="K106" i="27"/>
  <c r="M106" i="27" s="1"/>
  <c r="L106" i="27"/>
  <c r="K20" i="27"/>
  <c r="M20" i="27" s="1"/>
  <c r="L20" i="27"/>
  <c r="K21" i="27"/>
  <c r="M21" i="27" s="1"/>
  <c r="L21" i="27"/>
  <c r="K33" i="27"/>
  <c r="M33" i="27" s="1"/>
  <c r="L33" i="27"/>
  <c r="K43" i="27"/>
  <c r="M43" i="27" s="1"/>
  <c r="L43" i="27"/>
  <c r="K53" i="27"/>
  <c r="M53" i="27" s="1"/>
  <c r="L53" i="27"/>
  <c r="K63" i="27"/>
  <c r="M63" i="27" s="1"/>
  <c r="L63" i="27"/>
  <c r="K77" i="27"/>
  <c r="M77" i="27" s="1"/>
  <c r="L77" i="27"/>
  <c r="K87" i="27"/>
  <c r="M87" i="27" s="1"/>
  <c r="L87" i="27"/>
  <c r="K97" i="27"/>
  <c r="M97" i="27" s="1"/>
  <c r="L97" i="27"/>
  <c r="K107" i="27"/>
  <c r="M107" i="27" s="1"/>
  <c r="L107" i="27"/>
  <c r="L4" i="27"/>
  <c r="K4" i="27"/>
  <c r="D6" i="27"/>
  <c r="D25" i="27"/>
  <c r="D35" i="27"/>
  <c r="D45" i="27"/>
  <c r="D55" i="27"/>
  <c r="D69" i="27"/>
  <c r="D79" i="27"/>
  <c r="D89" i="27"/>
  <c r="D99" i="27"/>
  <c r="D5" i="27"/>
  <c r="D7" i="27"/>
  <c r="D26" i="27"/>
  <c r="D36" i="27"/>
  <c r="D46" i="27"/>
  <c r="D56" i="27"/>
  <c r="D70" i="27"/>
  <c r="D80" i="27"/>
  <c r="D90" i="27"/>
  <c r="D100" i="27"/>
  <c r="D8" i="27"/>
  <c r="D9" i="27"/>
  <c r="D27" i="27"/>
  <c r="D37" i="27"/>
  <c r="D47" i="27"/>
  <c r="D57" i="27"/>
  <c r="D71" i="27"/>
  <c r="D81" i="27"/>
  <c r="D91" i="27"/>
  <c r="D101" i="27"/>
  <c r="D10" i="27"/>
  <c r="D11" i="27"/>
  <c r="D28" i="27"/>
  <c r="D38" i="27"/>
  <c r="D48" i="27"/>
  <c r="D58" i="27"/>
  <c r="D72" i="27"/>
  <c r="D82" i="27"/>
  <c r="D92" i="27"/>
  <c r="D102" i="27"/>
  <c r="D12" i="27"/>
  <c r="D13" i="27"/>
  <c r="D29" i="27"/>
  <c r="D39" i="27"/>
  <c r="D49" i="27"/>
  <c r="D59" i="27"/>
  <c r="D73" i="27"/>
  <c r="D83" i="27"/>
  <c r="D93" i="27"/>
  <c r="D103" i="27"/>
  <c r="D14" i="27"/>
  <c r="D15" i="27"/>
  <c r="D30" i="27"/>
  <c r="D40" i="27"/>
  <c r="D50" i="27"/>
  <c r="D60" i="27"/>
  <c r="D74" i="27"/>
  <c r="D84" i="27"/>
  <c r="D94" i="27"/>
  <c r="D104" i="27"/>
  <c r="D16" i="27"/>
  <c r="D17" i="27"/>
  <c r="D31" i="27"/>
  <c r="D41" i="27"/>
  <c r="D51" i="27"/>
  <c r="D61" i="27"/>
  <c r="D75" i="27"/>
  <c r="D85" i="27"/>
  <c r="D95" i="27"/>
  <c r="D105" i="27"/>
  <c r="D18" i="27"/>
  <c r="D23" i="27"/>
  <c r="D32" i="27"/>
  <c r="D42" i="27"/>
  <c r="D52" i="27"/>
  <c r="D62" i="27"/>
  <c r="D76" i="27"/>
  <c r="D86" i="27"/>
  <c r="D96" i="27"/>
  <c r="D106" i="27"/>
  <c r="D20" i="27"/>
  <c r="D21" i="27"/>
  <c r="D33" i="27"/>
  <c r="D43" i="27"/>
  <c r="D53" i="27"/>
  <c r="D63" i="27"/>
  <c r="D77" i="27"/>
  <c r="D87" i="27"/>
  <c r="D97" i="27"/>
  <c r="D107" i="27"/>
  <c r="D4" i="27"/>
  <c r="K5" i="26"/>
  <c r="L5" i="26"/>
  <c r="K6" i="26"/>
  <c r="N6" i="26" s="1"/>
  <c r="L6" i="26"/>
  <c r="K7" i="26"/>
  <c r="M7" i="26" s="1"/>
  <c r="L7" i="26"/>
  <c r="K8" i="26"/>
  <c r="M8" i="26" s="1"/>
  <c r="L8" i="26"/>
  <c r="K9" i="26"/>
  <c r="N9" i="26" s="1"/>
  <c r="L9" i="26"/>
  <c r="K10" i="26"/>
  <c r="M10" i="26" s="1"/>
  <c r="L10" i="26"/>
  <c r="K11" i="26"/>
  <c r="M11" i="26" s="1"/>
  <c r="L11" i="26"/>
  <c r="K12" i="26"/>
  <c r="M12" i="26" s="1"/>
  <c r="L12" i="26"/>
  <c r="K14" i="26"/>
  <c r="L14" i="26"/>
  <c r="K15" i="26"/>
  <c r="L15" i="26"/>
  <c r="K16" i="26"/>
  <c r="N16" i="26" s="1"/>
  <c r="L16" i="26"/>
  <c r="K17" i="26"/>
  <c r="M17" i="26" s="1"/>
  <c r="L17" i="26"/>
  <c r="K18" i="26"/>
  <c r="M18" i="26" s="1"/>
  <c r="L18" i="26"/>
  <c r="K19" i="26"/>
  <c r="N19" i="26" s="1"/>
  <c r="L19" i="26"/>
  <c r="K20" i="26"/>
  <c r="M20" i="26" s="1"/>
  <c r="L20" i="26"/>
  <c r="K21" i="26"/>
  <c r="M21" i="26" s="1"/>
  <c r="L21" i="26"/>
  <c r="K22" i="26"/>
  <c r="M22" i="26" s="1"/>
  <c r="L22" i="26"/>
  <c r="K24" i="26"/>
  <c r="L24" i="26"/>
  <c r="K25" i="26"/>
  <c r="L25" i="26"/>
  <c r="K26" i="26"/>
  <c r="N26" i="26" s="1"/>
  <c r="L26" i="26"/>
  <c r="K27" i="26"/>
  <c r="M27" i="26" s="1"/>
  <c r="L27" i="26"/>
  <c r="K28" i="26"/>
  <c r="M28" i="26" s="1"/>
  <c r="L28" i="26"/>
  <c r="K29" i="26"/>
  <c r="N29" i="26" s="1"/>
  <c r="L29" i="26"/>
  <c r="K30" i="26"/>
  <c r="M30" i="26" s="1"/>
  <c r="L30" i="26"/>
  <c r="K31" i="26"/>
  <c r="M31" i="26" s="1"/>
  <c r="L31" i="26"/>
  <c r="K32" i="26"/>
  <c r="M32" i="26" s="1"/>
  <c r="L32" i="26"/>
  <c r="K34" i="26"/>
  <c r="L34" i="26"/>
  <c r="K35" i="26"/>
  <c r="L35" i="26"/>
  <c r="K36" i="26"/>
  <c r="N36" i="26" s="1"/>
  <c r="L36" i="26"/>
  <c r="K37" i="26"/>
  <c r="M37" i="26" s="1"/>
  <c r="L37" i="26"/>
  <c r="K38" i="26"/>
  <c r="M38" i="26" s="1"/>
  <c r="L38" i="26"/>
  <c r="K39" i="26"/>
  <c r="N39" i="26" s="1"/>
  <c r="L39" i="26"/>
  <c r="K40" i="26"/>
  <c r="M40" i="26" s="1"/>
  <c r="L40" i="26"/>
  <c r="K41" i="26"/>
  <c r="M41" i="26" s="1"/>
  <c r="L41" i="26"/>
  <c r="K42" i="26"/>
  <c r="M42" i="26" s="1"/>
  <c r="L42" i="26"/>
  <c r="K44" i="26"/>
  <c r="L44" i="26"/>
  <c r="K45" i="26"/>
  <c r="L45" i="26"/>
  <c r="K46" i="26"/>
  <c r="N46" i="26" s="1"/>
  <c r="L46" i="26"/>
  <c r="K47" i="26"/>
  <c r="M47" i="26" s="1"/>
  <c r="L47" i="26"/>
  <c r="K48" i="26"/>
  <c r="M48" i="26" s="1"/>
  <c r="L48" i="26"/>
  <c r="K49" i="26"/>
  <c r="N49" i="26" s="1"/>
  <c r="L49" i="26"/>
  <c r="K50" i="26"/>
  <c r="M50" i="26" s="1"/>
  <c r="L50" i="26"/>
  <c r="K51" i="26"/>
  <c r="M51" i="26" s="1"/>
  <c r="L51" i="26"/>
  <c r="K52" i="26"/>
  <c r="M52" i="26" s="1"/>
  <c r="L52" i="26"/>
  <c r="K54" i="26"/>
  <c r="L54" i="26"/>
  <c r="K55" i="26"/>
  <c r="L55" i="26"/>
  <c r="K56" i="26"/>
  <c r="N56" i="26" s="1"/>
  <c r="L56" i="26"/>
  <c r="K57" i="26"/>
  <c r="M57" i="26" s="1"/>
  <c r="L57" i="26"/>
  <c r="K58" i="26"/>
  <c r="M58" i="26" s="1"/>
  <c r="L58" i="26"/>
  <c r="K59" i="26"/>
  <c r="N59" i="26" s="1"/>
  <c r="L59" i="26"/>
  <c r="K60" i="26"/>
  <c r="M60" i="26" s="1"/>
  <c r="L60" i="26"/>
  <c r="K61" i="26"/>
  <c r="M61" i="26" s="1"/>
  <c r="L61" i="26"/>
  <c r="K62" i="26"/>
  <c r="M62" i="26" s="1"/>
  <c r="L62" i="26"/>
  <c r="K64" i="26"/>
  <c r="L64" i="26"/>
  <c r="K65" i="26"/>
  <c r="L65" i="26"/>
  <c r="K66" i="26"/>
  <c r="N66" i="26" s="1"/>
  <c r="L66" i="26"/>
  <c r="K67" i="26"/>
  <c r="M67" i="26" s="1"/>
  <c r="L67" i="26"/>
  <c r="K68" i="26"/>
  <c r="M68" i="26" s="1"/>
  <c r="L68" i="26"/>
  <c r="K69" i="26"/>
  <c r="N69" i="26" s="1"/>
  <c r="L69" i="26"/>
  <c r="K70" i="26"/>
  <c r="M70" i="26" s="1"/>
  <c r="L70" i="26"/>
  <c r="K71" i="26"/>
  <c r="M71" i="26" s="1"/>
  <c r="L71" i="26"/>
  <c r="K72" i="26"/>
  <c r="M72" i="26" s="1"/>
  <c r="L72" i="26"/>
  <c r="K74" i="26"/>
  <c r="L74" i="26"/>
  <c r="K75" i="26"/>
  <c r="L75" i="26"/>
  <c r="K76" i="26"/>
  <c r="N76" i="26" s="1"/>
  <c r="L76" i="26"/>
  <c r="K77" i="26"/>
  <c r="M77" i="26" s="1"/>
  <c r="L77" i="26"/>
  <c r="K78" i="26"/>
  <c r="M78" i="26" s="1"/>
  <c r="L78" i="26"/>
  <c r="K79" i="26"/>
  <c r="N79" i="26" s="1"/>
  <c r="L79" i="26"/>
  <c r="K80" i="26"/>
  <c r="M80" i="26" s="1"/>
  <c r="L80" i="26"/>
  <c r="K81" i="26"/>
  <c r="M81" i="26" s="1"/>
  <c r="L81" i="26"/>
  <c r="K82" i="26"/>
  <c r="M82" i="26" s="1"/>
  <c r="L82" i="26"/>
  <c r="K84" i="26"/>
  <c r="L84" i="26"/>
  <c r="K85" i="26"/>
  <c r="L85" i="26"/>
  <c r="K86" i="26"/>
  <c r="N86" i="26" s="1"/>
  <c r="L86" i="26"/>
  <c r="K87" i="26"/>
  <c r="M87" i="26" s="1"/>
  <c r="L87" i="26"/>
  <c r="K88" i="26"/>
  <c r="M88" i="26" s="1"/>
  <c r="L88" i="26"/>
  <c r="K89" i="26"/>
  <c r="N89" i="26" s="1"/>
  <c r="L89" i="26"/>
  <c r="K90" i="26"/>
  <c r="M90" i="26" s="1"/>
  <c r="L90" i="26"/>
  <c r="K91" i="26"/>
  <c r="M91" i="26" s="1"/>
  <c r="L91" i="26"/>
  <c r="K92" i="26"/>
  <c r="M92" i="26" s="1"/>
  <c r="L92" i="26"/>
  <c r="K94" i="26"/>
  <c r="L94" i="26"/>
  <c r="K95" i="26"/>
  <c r="L95" i="26"/>
  <c r="K96" i="26"/>
  <c r="N96" i="26" s="1"/>
  <c r="L96" i="26"/>
  <c r="K97" i="26"/>
  <c r="M97" i="26" s="1"/>
  <c r="L97" i="26"/>
  <c r="K98" i="26"/>
  <c r="M98" i="26" s="1"/>
  <c r="L98" i="26"/>
  <c r="K99" i="26"/>
  <c r="N99" i="26" s="1"/>
  <c r="L99" i="26"/>
  <c r="K100" i="26"/>
  <c r="M100" i="26" s="1"/>
  <c r="L100" i="26"/>
  <c r="K101" i="26"/>
  <c r="M101" i="26" s="1"/>
  <c r="L101" i="26"/>
  <c r="L4" i="26"/>
  <c r="K4" i="26"/>
  <c r="D5" i="26"/>
  <c r="D6" i="26"/>
  <c r="D7" i="26"/>
  <c r="D8" i="26"/>
  <c r="D9" i="26"/>
  <c r="D10" i="26"/>
  <c r="D11" i="26"/>
  <c r="D12" i="26"/>
  <c r="D14" i="26"/>
  <c r="D15" i="26"/>
  <c r="D16" i="26"/>
  <c r="D17" i="26"/>
  <c r="D18" i="26"/>
  <c r="D19" i="26"/>
  <c r="D20" i="26"/>
  <c r="D21" i="26"/>
  <c r="D22" i="26"/>
  <c r="D24" i="26"/>
  <c r="D25" i="26"/>
  <c r="D26" i="26"/>
  <c r="D27" i="26"/>
  <c r="D28" i="26"/>
  <c r="D29" i="26"/>
  <c r="D30" i="26"/>
  <c r="D31" i="26"/>
  <c r="D32" i="26"/>
  <c r="D34" i="26"/>
  <c r="D35" i="26"/>
  <c r="D36" i="26"/>
  <c r="D37" i="26"/>
  <c r="D38" i="26"/>
  <c r="D39" i="26"/>
  <c r="D40" i="26"/>
  <c r="D41" i="26"/>
  <c r="D42" i="26"/>
  <c r="D44" i="26"/>
  <c r="D45" i="26"/>
  <c r="D46" i="26"/>
  <c r="D47" i="26"/>
  <c r="D48" i="26"/>
  <c r="D49" i="26"/>
  <c r="D50" i="26"/>
  <c r="D51" i="26"/>
  <c r="D52" i="26"/>
  <c r="D54" i="26"/>
  <c r="D55" i="26"/>
  <c r="D56" i="26"/>
  <c r="D57" i="26"/>
  <c r="D58" i="26"/>
  <c r="D59" i="26"/>
  <c r="D60" i="26"/>
  <c r="D61" i="26"/>
  <c r="D62" i="26"/>
  <c r="D64" i="26"/>
  <c r="D65" i="26"/>
  <c r="D66" i="26"/>
  <c r="D67" i="26"/>
  <c r="D68" i="26"/>
  <c r="D69" i="26"/>
  <c r="D70" i="26"/>
  <c r="D71" i="26"/>
  <c r="D72" i="26"/>
  <c r="D74" i="26"/>
  <c r="D75" i="26"/>
  <c r="D76" i="26"/>
  <c r="D77" i="26"/>
  <c r="D78" i="26"/>
  <c r="D79" i="26"/>
  <c r="D80" i="26"/>
  <c r="D81" i="26"/>
  <c r="D82" i="26"/>
  <c r="D84" i="26"/>
  <c r="D85" i="26"/>
  <c r="D86" i="26"/>
  <c r="D87" i="26"/>
  <c r="D88" i="26"/>
  <c r="D89" i="26"/>
  <c r="D90" i="26"/>
  <c r="D91" i="26"/>
  <c r="D92" i="26"/>
  <c r="D94" i="26"/>
  <c r="D95" i="26"/>
  <c r="D96" i="26"/>
  <c r="D97" i="26"/>
  <c r="D98" i="26"/>
  <c r="D99" i="26"/>
  <c r="D100" i="26"/>
  <c r="D101" i="26"/>
  <c r="D4" i="26"/>
  <c r="L35" i="24" l="1"/>
  <c r="K35" i="24"/>
  <c r="M35" i="24" s="1"/>
  <c r="D35" i="24"/>
  <c r="L36" i="24"/>
  <c r="K36" i="24"/>
  <c r="M36" i="24" s="1"/>
  <c r="D36" i="24"/>
  <c r="L34" i="24"/>
  <c r="K34" i="24"/>
  <c r="M34" i="24" s="1"/>
  <c r="D34" i="24"/>
  <c r="L32" i="24"/>
  <c r="K32" i="24"/>
  <c r="N32" i="24" s="1"/>
  <c r="D32" i="24"/>
  <c r="L33" i="24"/>
  <c r="K33" i="24"/>
  <c r="N33" i="24" s="1"/>
  <c r="D33" i="24"/>
  <c r="L23" i="24" l="1"/>
  <c r="K23" i="24"/>
  <c r="N23" i="24" s="1"/>
  <c r="D23" i="24"/>
  <c r="L18" i="24"/>
  <c r="K18" i="24"/>
  <c r="N18" i="24" s="1"/>
  <c r="D18" i="24"/>
  <c r="L28" i="24"/>
  <c r="K28" i="24"/>
  <c r="M28" i="24" s="1"/>
  <c r="D28" i="24"/>
  <c r="L26" i="24"/>
  <c r="K26" i="24"/>
  <c r="M26" i="24" s="1"/>
  <c r="D26" i="24"/>
  <c r="L24" i="24"/>
  <c r="K24" i="24"/>
  <c r="M24" i="24" s="1"/>
  <c r="D24" i="24"/>
  <c r="L39" i="24"/>
  <c r="K39" i="24"/>
  <c r="N39" i="24" s="1"/>
  <c r="D39" i="24"/>
  <c r="L38" i="24"/>
  <c r="K38" i="24"/>
  <c r="D38" i="24"/>
  <c r="L37" i="24"/>
  <c r="K37" i="24"/>
  <c r="D37" i="24"/>
  <c r="L64" i="24"/>
  <c r="K64" i="24"/>
  <c r="N64" i="24" s="1"/>
  <c r="D64" i="24"/>
  <c r="L63" i="24"/>
  <c r="K63" i="24"/>
  <c r="N63" i="24" s="1"/>
  <c r="D63" i="24"/>
  <c r="L62" i="24"/>
  <c r="K62" i="24"/>
  <c r="D62" i="24"/>
  <c r="L61" i="24"/>
  <c r="K61" i="24"/>
  <c r="D61" i="24"/>
  <c r="L21" i="24"/>
  <c r="K21" i="24"/>
  <c r="M21" i="24" s="1"/>
  <c r="D21" i="24"/>
  <c r="L20" i="24"/>
  <c r="K20" i="24"/>
  <c r="M20" i="24" s="1"/>
  <c r="D20" i="24"/>
  <c r="L17" i="24"/>
  <c r="K17" i="24"/>
  <c r="D17" i="24"/>
  <c r="L16" i="24"/>
  <c r="K16" i="24"/>
  <c r="D16" i="24"/>
  <c r="K30" i="24"/>
  <c r="L30" i="24"/>
  <c r="K44" i="24"/>
  <c r="L44" i="24"/>
  <c r="K51" i="24"/>
  <c r="L51" i="24"/>
  <c r="K5" i="24"/>
  <c r="L5" i="24"/>
  <c r="K31" i="24"/>
  <c r="L31" i="24"/>
  <c r="K45" i="24"/>
  <c r="L45" i="24"/>
  <c r="K52" i="24"/>
  <c r="L52" i="24"/>
  <c r="K6" i="24"/>
  <c r="N6" i="24" s="1"/>
  <c r="L6" i="24"/>
  <c r="K7" i="24"/>
  <c r="N7" i="24" s="1"/>
  <c r="L7" i="24"/>
  <c r="K46" i="24"/>
  <c r="N46" i="24" s="1"/>
  <c r="L46" i="24"/>
  <c r="K53" i="24"/>
  <c r="N53" i="24" s="1"/>
  <c r="L53" i="24"/>
  <c r="K65" i="24"/>
  <c r="N65" i="24" s="1"/>
  <c r="L65" i="24"/>
  <c r="K8" i="24"/>
  <c r="M8" i="24" s="1"/>
  <c r="L8" i="24"/>
  <c r="K19" i="24"/>
  <c r="M19" i="24" s="1"/>
  <c r="L19" i="24"/>
  <c r="K47" i="24"/>
  <c r="M47" i="24" s="1"/>
  <c r="L47" i="24"/>
  <c r="K54" i="24"/>
  <c r="M54" i="24" s="1"/>
  <c r="L54" i="24"/>
  <c r="K66" i="24"/>
  <c r="M66" i="24" s="1"/>
  <c r="L66" i="24"/>
  <c r="K9" i="24"/>
  <c r="M9" i="24" s="1"/>
  <c r="L9" i="24"/>
  <c r="K22" i="24"/>
  <c r="M22" i="24" s="1"/>
  <c r="L22" i="24"/>
  <c r="K48" i="24"/>
  <c r="M48" i="24" s="1"/>
  <c r="L48" i="24"/>
  <c r="K55" i="24"/>
  <c r="M55" i="24" s="1"/>
  <c r="L55" i="24"/>
  <c r="K67" i="24"/>
  <c r="M67" i="24" s="1"/>
  <c r="L67" i="24"/>
  <c r="K10" i="24"/>
  <c r="N10" i="24" s="1"/>
  <c r="L10" i="24"/>
  <c r="K11" i="24"/>
  <c r="N11" i="24" s="1"/>
  <c r="L11" i="24"/>
  <c r="K49" i="24"/>
  <c r="N49" i="24" s="1"/>
  <c r="L49" i="24"/>
  <c r="K56" i="24"/>
  <c r="L56" i="24"/>
  <c r="K68" i="24"/>
  <c r="N68" i="24" s="1"/>
  <c r="L68" i="24"/>
  <c r="K12" i="24"/>
  <c r="M12" i="24" s="1"/>
  <c r="L12" i="24"/>
  <c r="K25" i="24"/>
  <c r="M25" i="24" s="1"/>
  <c r="L25" i="24"/>
  <c r="K40" i="24"/>
  <c r="M40" i="24" s="1"/>
  <c r="L40" i="24"/>
  <c r="K57" i="24"/>
  <c r="M57" i="24" s="1"/>
  <c r="L57" i="24"/>
  <c r="K69" i="24"/>
  <c r="M69" i="24" s="1"/>
  <c r="L69" i="24"/>
  <c r="K13" i="24"/>
  <c r="M13" i="24" s="1"/>
  <c r="L13" i="24"/>
  <c r="K41" i="24"/>
  <c r="M41" i="24" s="1"/>
  <c r="L41" i="24"/>
  <c r="K58" i="24"/>
  <c r="M58" i="24" s="1"/>
  <c r="L58" i="24"/>
  <c r="K70" i="24"/>
  <c r="M70" i="24" s="1"/>
  <c r="L70" i="24"/>
  <c r="K14" i="24"/>
  <c r="M14" i="24" s="1"/>
  <c r="L14" i="24"/>
  <c r="K27" i="24"/>
  <c r="M27" i="24" s="1"/>
  <c r="L27" i="24"/>
  <c r="K42" i="24"/>
  <c r="M42" i="24" s="1"/>
  <c r="L42" i="24"/>
  <c r="K59" i="24"/>
  <c r="M59" i="24" s="1"/>
  <c r="L59" i="24"/>
  <c r="K71" i="24"/>
  <c r="M71" i="24" s="1"/>
  <c r="L71" i="24"/>
  <c r="L4" i="24"/>
  <c r="K4" i="24"/>
  <c r="D30" i="24"/>
  <c r="D44" i="24"/>
  <c r="D51" i="24"/>
  <c r="D5" i="24"/>
  <c r="D31" i="24"/>
  <c r="D45" i="24"/>
  <c r="D52" i="24"/>
  <c r="D6" i="24"/>
  <c r="D7" i="24"/>
  <c r="D46" i="24"/>
  <c r="D53" i="24"/>
  <c r="D65" i="24"/>
  <c r="D8" i="24"/>
  <c r="D19" i="24"/>
  <c r="D47" i="24"/>
  <c r="D54" i="24"/>
  <c r="D66" i="24"/>
  <c r="D9" i="24"/>
  <c r="D22" i="24"/>
  <c r="D48" i="24"/>
  <c r="D55" i="24"/>
  <c r="D67" i="24"/>
  <c r="D10" i="24"/>
  <c r="D11" i="24"/>
  <c r="D49" i="24"/>
  <c r="D56" i="24"/>
  <c r="D68" i="24"/>
  <c r="D12" i="24"/>
  <c r="D25" i="24"/>
  <c r="D40" i="24"/>
  <c r="D57" i="24"/>
  <c r="D69" i="24"/>
  <c r="D13" i="24"/>
  <c r="D41" i="24"/>
  <c r="D58" i="24"/>
  <c r="D70" i="24"/>
  <c r="D14" i="24"/>
  <c r="D27" i="24"/>
  <c r="D42" i="24"/>
  <c r="D59" i="24"/>
  <c r="D71" i="24"/>
  <c r="D4" i="24"/>
  <c r="N56" i="24" l="1"/>
  <c r="M56" i="24"/>
  <c r="L62" i="23"/>
  <c r="K62" i="23"/>
  <c r="N62" i="23" s="1"/>
  <c r="D62" i="23"/>
  <c r="L61" i="23"/>
  <c r="K61" i="23"/>
  <c r="N61" i="23" s="1"/>
  <c r="D61" i="23"/>
  <c r="L60" i="23"/>
  <c r="K60" i="23"/>
  <c r="D60" i="23"/>
  <c r="L59" i="23"/>
  <c r="K59" i="23"/>
  <c r="D59" i="23"/>
  <c r="L37" i="23"/>
  <c r="K37" i="23"/>
  <c r="D37" i="23"/>
  <c r="L36" i="23"/>
  <c r="K36" i="23"/>
  <c r="D36" i="23"/>
  <c r="L35" i="23"/>
  <c r="K35" i="23"/>
  <c r="N35" i="23" s="1"/>
  <c r="D35" i="23"/>
  <c r="L33" i="23"/>
  <c r="K33" i="23"/>
  <c r="N33" i="23" s="1"/>
  <c r="D33" i="23"/>
  <c r="L32" i="23"/>
  <c r="K32" i="23"/>
  <c r="D32" i="23"/>
  <c r="L31" i="23"/>
  <c r="K31" i="23"/>
  <c r="D31" i="23"/>
  <c r="L29" i="23"/>
  <c r="K29" i="23"/>
  <c r="M29" i="23" s="1"/>
  <c r="D29" i="23"/>
  <c r="L27" i="23"/>
  <c r="K27" i="23"/>
  <c r="M27" i="23" s="1"/>
  <c r="D27" i="23"/>
  <c r="L23" i="23"/>
  <c r="K23" i="23"/>
  <c r="M23" i="23" s="1"/>
  <c r="D23" i="23"/>
  <c r="L22" i="23"/>
  <c r="K22" i="23"/>
  <c r="M22" i="23" s="1"/>
  <c r="D22" i="23"/>
  <c r="L25" i="23"/>
  <c r="K25" i="23"/>
  <c r="N25" i="23" s="1"/>
  <c r="D25" i="23"/>
  <c r="L20" i="23"/>
  <c r="K20" i="23"/>
  <c r="N20" i="23" s="1"/>
  <c r="D20" i="23"/>
  <c r="L17" i="23"/>
  <c r="K17" i="23"/>
  <c r="D17" i="23"/>
  <c r="L16" i="23"/>
  <c r="K16" i="23"/>
  <c r="D16" i="23"/>
  <c r="D18" i="23"/>
  <c r="D42" i="23"/>
  <c r="D49" i="23"/>
  <c r="D67" i="23"/>
  <c r="D5" i="23"/>
  <c r="D19" i="23"/>
  <c r="D43" i="23"/>
  <c r="D50" i="23"/>
  <c r="D68" i="23"/>
  <c r="D6" i="23"/>
  <c r="D7" i="23"/>
  <c r="D44" i="23"/>
  <c r="D51" i="23"/>
  <c r="D69" i="23"/>
  <c r="D8" i="23"/>
  <c r="D21" i="23"/>
  <c r="D45" i="23"/>
  <c r="D52" i="23"/>
  <c r="D70" i="23"/>
  <c r="D9" i="23"/>
  <c r="D24" i="23"/>
  <c r="D46" i="23"/>
  <c r="D53" i="23"/>
  <c r="D71" i="23"/>
  <c r="D10" i="23"/>
  <c r="D34" i="23"/>
  <c r="D47" i="23"/>
  <c r="D54" i="23"/>
  <c r="D72" i="23"/>
  <c r="D11" i="23"/>
  <c r="D12" i="23"/>
  <c r="D38" i="23"/>
  <c r="D55" i="23"/>
  <c r="D63" i="23"/>
  <c r="D13" i="23"/>
  <c r="D26" i="23"/>
  <c r="D39" i="23"/>
  <c r="D56" i="23"/>
  <c r="D64" i="23"/>
  <c r="D14" i="23"/>
  <c r="D28" i="23"/>
  <c r="D40" i="23"/>
  <c r="D57" i="23"/>
  <c r="D65" i="23"/>
  <c r="K18" i="23"/>
  <c r="L18" i="23"/>
  <c r="K42" i="23"/>
  <c r="L42" i="23"/>
  <c r="K49" i="23"/>
  <c r="L49" i="23"/>
  <c r="K67" i="23"/>
  <c r="L67" i="23"/>
  <c r="K5" i="23"/>
  <c r="L5" i="23"/>
  <c r="K19" i="23"/>
  <c r="L19" i="23"/>
  <c r="K43" i="23"/>
  <c r="L43" i="23"/>
  <c r="K50" i="23"/>
  <c r="L50" i="23"/>
  <c r="K68" i="23"/>
  <c r="L68" i="23"/>
  <c r="K6" i="23"/>
  <c r="N6" i="23" s="1"/>
  <c r="L6" i="23"/>
  <c r="K7" i="23"/>
  <c r="N7" i="23" s="1"/>
  <c r="L7" i="23"/>
  <c r="K44" i="23"/>
  <c r="N44" i="23" s="1"/>
  <c r="L44" i="23"/>
  <c r="K51" i="23"/>
  <c r="N51" i="23" s="1"/>
  <c r="L51" i="23"/>
  <c r="K69" i="23"/>
  <c r="N69" i="23" s="1"/>
  <c r="L69" i="23"/>
  <c r="K8" i="23"/>
  <c r="M8" i="23" s="1"/>
  <c r="L8" i="23"/>
  <c r="K21" i="23"/>
  <c r="M21" i="23" s="1"/>
  <c r="L21" i="23"/>
  <c r="K45" i="23"/>
  <c r="M45" i="23" s="1"/>
  <c r="L45" i="23"/>
  <c r="K52" i="23"/>
  <c r="M52" i="23" s="1"/>
  <c r="L52" i="23"/>
  <c r="K70" i="23"/>
  <c r="M70" i="23" s="1"/>
  <c r="L70" i="23"/>
  <c r="K9" i="23"/>
  <c r="M9" i="23" s="1"/>
  <c r="L9" i="23"/>
  <c r="K24" i="23"/>
  <c r="M24" i="23" s="1"/>
  <c r="L24" i="23"/>
  <c r="K46" i="23"/>
  <c r="M46" i="23" s="1"/>
  <c r="L46" i="23"/>
  <c r="K53" i="23"/>
  <c r="M53" i="23" s="1"/>
  <c r="L53" i="23"/>
  <c r="K71" i="23"/>
  <c r="M71" i="23" s="1"/>
  <c r="L71" i="23"/>
  <c r="K10" i="23"/>
  <c r="N10" i="23" s="1"/>
  <c r="L10" i="23"/>
  <c r="K34" i="23"/>
  <c r="N34" i="23" s="1"/>
  <c r="L34" i="23"/>
  <c r="K47" i="23"/>
  <c r="N47" i="23" s="1"/>
  <c r="L47" i="23"/>
  <c r="K54" i="23"/>
  <c r="N54" i="23" s="1"/>
  <c r="L54" i="23"/>
  <c r="K72" i="23"/>
  <c r="N72" i="23" s="1"/>
  <c r="L72" i="23"/>
  <c r="K11" i="23"/>
  <c r="M11" i="23" s="1"/>
  <c r="L11" i="23"/>
  <c r="K12" i="23"/>
  <c r="M12" i="23" s="1"/>
  <c r="L12" i="23"/>
  <c r="K38" i="23"/>
  <c r="M38" i="23" s="1"/>
  <c r="L38" i="23"/>
  <c r="K55" i="23"/>
  <c r="M55" i="23" s="1"/>
  <c r="L55" i="23"/>
  <c r="K63" i="23"/>
  <c r="M63" i="23" s="1"/>
  <c r="L63" i="23"/>
  <c r="K13" i="23"/>
  <c r="M13" i="23" s="1"/>
  <c r="L13" i="23"/>
  <c r="K26" i="23"/>
  <c r="M26" i="23" s="1"/>
  <c r="L26" i="23"/>
  <c r="K39" i="23"/>
  <c r="M39" i="23" s="1"/>
  <c r="L39" i="23"/>
  <c r="K56" i="23"/>
  <c r="M56" i="23" s="1"/>
  <c r="L56" i="23"/>
  <c r="K64" i="23"/>
  <c r="M64" i="23" s="1"/>
  <c r="L64" i="23"/>
  <c r="K14" i="23"/>
  <c r="M14" i="23" s="1"/>
  <c r="L14" i="23"/>
  <c r="K28" i="23"/>
  <c r="M28" i="23" s="1"/>
  <c r="L28" i="23"/>
  <c r="K40" i="23"/>
  <c r="M40" i="23" s="1"/>
  <c r="L40" i="23"/>
  <c r="K57" i="23"/>
  <c r="M57" i="23" s="1"/>
  <c r="L57" i="23"/>
  <c r="K65" i="23"/>
  <c r="M65" i="23" s="1"/>
  <c r="L65" i="23"/>
  <c r="L4" i="23"/>
  <c r="K4" i="23"/>
  <c r="D4" i="23"/>
  <c r="L57" i="22" l="1"/>
  <c r="K57" i="22"/>
  <c r="N57" i="22" s="1"/>
  <c r="D57" i="22"/>
  <c r="L56" i="22"/>
  <c r="K56" i="22"/>
  <c r="N56" i="22" s="1"/>
  <c r="D56" i="22"/>
  <c r="L55" i="22"/>
  <c r="K55" i="22"/>
  <c r="D55" i="22"/>
  <c r="L54" i="22"/>
  <c r="K54" i="22"/>
  <c r="D54" i="22"/>
  <c r="L32" i="22"/>
  <c r="K32" i="22"/>
  <c r="N32" i="22" s="1"/>
  <c r="D32" i="22"/>
  <c r="L27" i="22"/>
  <c r="K27" i="22"/>
  <c r="M27" i="22" s="1"/>
  <c r="D27" i="22"/>
  <c r="L21" i="22"/>
  <c r="K21" i="22"/>
  <c r="M21" i="22" s="1"/>
  <c r="D21" i="22"/>
  <c r="L20" i="22"/>
  <c r="K20" i="22"/>
  <c r="M20" i="22" s="1"/>
  <c r="D20" i="22"/>
  <c r="L31" i="22"/>
  <c r="K31" i="22"/>
  <c r="N31" i="22" s="1"/>
  <c r="D31" i="22"/>
  <c r="L23" i="22"/>
  <c r="K23" i="22"/>
  <c r="N23" i="22" s="1"/>
  <c r="D23" i="22"/>
  <c r="L18" i="22"/>
  <c r="K18" i="22"/>
  <c r="N18" i="22" s="1"/>
  <c r="D18" i="22"/>
  <c r="L17" i="22"/>
  <c r="K17" i="22"/>
  <c r="D17" i="22"/>
  <c r="L16" i="22"/>
  <c r="K16" i="22"/>
  <c r="D16" i="22"/>
  <c r="K29" i="22"/>
  <c r="L29" i="22"/>
  <c r="K37" i="22"/>
  <c r="L37" i="22"/>
  <c r="K44" i="22"/>
  <c r="L44" i="22"/>
  <c r="K59" i="22"/>
  <c r="L59" i="22"/>
  <c r="K5" i="22"/>
  <c r="L5" i="22"/>
  <c r="K30" i="22"/>
  <c r="L30" i="22"/>
  <c r="K38" i="22"/>
  <c r="L38" i="22"/>
  <c r="K45" i="22"/>
  <c r="L45" i="22"/>
  <c r="K60" i="22"/>
  <c r="L60" i="22"/>
  <c r="K6" i="22"/>
  <c r="N6" i="22" s="1"/>
  <c r="L6" i="22"/>
  <c r="K7" i="22"/>
  <c r="N7" i="22" s="1"/>
  <c r="L7" i="22"/>
  <c r="K39" i="22"/>
  <c r="N39" i="22" s="1"/>
  <c r="L39" i="22"/>
  <c r="K46" i="22"/>
  <c r="N46" i="22" s="1"/>
  <c r="L46" i="22"/>
  <c r="K61" i="22"/>
  <c r="N61" i="22" s="1"/>
  <c r="L61" i="22"/>
  <c r="K8" i="22"/>
  <c r="M8" i="22" s="1"/>
  <c r="L8" i="22"/>
  <c r="K19" i="22"/>
  <c r="M19" i="22" s="1"/>
  <c r="L19" i="22"/>
  <c r="K40" i="22"/>
  <c r="M40" i="22" s="1"/>
  <c r="L40" i="22"/>
  <c r="K47" i="22"/>
  <c r="M47" i="22" s="1"/>
  <c r="L47" i="22"/>
  <c r="K62" i="22"/>
  <c r="M62" i="22" s="1"/>
  <c r="L62" i="22"/>
  <c r="K9" i="22"/>
  <c r="M9" i="22" s="1"/>
  <c r="L9" i="22"/>
  <c r="K22" i="22"/>
  <c r="M22" i="22" s="1"/>
  <c r="L22" i="22"/>
  <c r="K41" i="22"/>
  <c r="M41" i="22" s="1"/>
  <c r="L41" i="22"/>
  <c r="K48" i="22"/>
  <c r="M48" i="22" s="1"/>
  <c r="L48" i="22"/>
  <c r="K63" i="22"/>
  <c r="M63" i="22" s="1"/>
  <c r="L63" i="22"/>
  <c r="K10" i="22"/>
  <c r="N10" i="22" s="1"/>
  <c r="L10" i="22"/>
  <c r="K11" i="22"/>
  <c r="N11" i="22" s="1"/>
  <c r="L11" i="22"/>
  <c r="K42" i="22"/>
  <c r="N42" i="22" s="1"/>
  <c r="L42" i="22"/>
  <c r="K49" i="22"/>
  <c r="N49" i="22" s="1"/>
  <c r="L49" i="22"/>
  <c r="K64" i="22"/>
  <c r="N64" i="22" s="1"/>
  <c r="L64" i="22"/>
  <c r="K12" i="22"/>
  <c r="M12" i="22" s="1"/>
  <c r="L12" i="22"/>
  <c r="K24" i="22"/>
  <c r="M24" i="22" s="1"/>
  <c r="L24" i="22"/>
  <c r="K33" i="22"/>
  <c r="M33" i="22" s="1"/>
  <c r="L33" i="22"/>
  <c r="K50" i="22"/>
  <c r="M50" i="22" s="1"/>
  <c r="L50" i="22"/>
  <c r="K65" i="22"/>
  <c r="M65" i="22" s="1"/>
  <c r="L65" i="22"/>
  <c r="K25" i="22"/>
  <c r="M25" i="22" s="1"/>
  <c r="L25" i="22"/>
  <c r="K13" i="22"/>
  <c r="M13" i="22" s="1"/>
  <c r="L13" i="22"/>
  <c r="K34" i="22"/>
  <c r="M34" i="22" s="1"/>
  <c r="L34" i="22"/>
  <c r="K51" i="22"/>
  <c r="M51" i="22" s="1"/>
  <c r="L51" i="22"/>
  <c r="K66" i="22"/>
  <c r="M66" i="22" s="1"/>
  <c r="L66" i="22"/>
  <c r="K14" i="22"/>
  <c r="M14" i="22" s="1"/>
  <c r="L14" i="22"/>
  <c r="K26" i="22"/>
  <c r="M26" i="22" s="1"/>
  <c r="L26" i="22"/>
  <c r="K35" i="22"/>
  <c r="M35" i="22" s="1"/>
  <c r="L35" i="22"/>
  <c r="K52" i="22"/>
  <c r="M52" i="22" s="1"/>
  <c r="L52" i="22"/>
  <c r="K67" i="22"/>
  <c r="M67" i="22" s="1"/>
  <c r="L67" i="22"/>
  <c r="L4" i="22"/>
  <c r="K4" i="22"/>
  <c r="D29" i="22"/>
  <c r="D37" i="22"/>
  <c r="D44" i="22"/>
  <c r="D59" i="22"/>
  <c r="D5" i="22"/>
  <c r="D30" i="22"/>
  <c r="D38" i="22"/>
  <c r="D45" i="22"/>
  <c r="D60" i="22"/>
  <c r="D6" i="22"/>
  <c r="D7" i="22"/>
  <c r="D39" i="22"/>
  <c r="D46" i="22"/>
  <c r="D61" i="22"/>
  <c r="D8" i="22"/>
  <c r="D19" i="22"/>
  <c r="D40" i="22"/>
  <c r="D47" i="22"/>
  <c r="D62" i="22"/>
  <c r="D9" i="22"/>
  <c r="D22" i="22"/>
  <c r="D41" i="22"/>
  <c r="D48" i="22"/>
  <c r="D63" i="22"/>
  <c r="D10" i="22"/>
  <c r="D11" i="22"/>
  <c r="D42" i="22"/>
  <c r="D49" i="22"/>
  <c r="D64" i="22"/>
  <c r="D12" i="22"/>
  <c r="D24" i="22"/>
  <c r="D33" i="22"/>
  <c r="D50" i="22"/>
  <c r="D65" i="22"/>
  <c r="D25" i="22"/>
  <c r="D13" i="22"/>
  <c r="D34" i="22"/>
  <c r="D51" i="22"/>
  <c r="D66" i="22"/>
  <c r="D14" i="22"/>
  <c r="D26" i="22"/>
  <c r="D35" i="22"/>
  <c r="D52" i="22"/>
  <c r="D67" i="22"/>
  <c r="D4" i="22"/>
  <c r="L46" i="20"/>
  <c r="K46" i="20"/>
  <c r="D46" i="20"/>
  <c r="L45" i="20"/>
  <c r="K45" i="20"/>
  <c r="D45" i="20"/>
  <c r="L44" i="20"/>
  <c r="K44" i="20"/>
  <c r="N44" i="20" s="1"/>
  <c r="D44" i="20"/>
  <c r="L43" i="20"/>
  <c r="K43" i="20"/>
  <c r="N43" i="20" s="1"/>
  <c r="D43" i="20"/>
  <c r="L42" i="20"/>
  <c r="K42" i="20"/>
  <c r="D42" i="20"/>
  <c r="L41" i="20"/>
  <c r="K41" i="20"/>
  <c r="D41" i="20"/>
  <c r="L29" i="20"/>
  <c r="K29" i="20"/>
  <c r="M29" i="20" s="1"/>
  <c r="D29" i="20"/>
  <c r="L23" i="20"/>
  <c r="K23" i="20"/>
  <c r="M23" i="20" s="1"/>
  <c r="D23" i="20"/>
  <c r="L22" i="20"/>
  <c r="K22" i="20"/>
  <c r="M22" i="20" s="1"/>
  <c r="D22" i="20"/>
  <c r="L25" i="20"/>
  <c r="K25" i="20"/>
  <c r="N25" i="20" s="1"/>
  <c r="D25" i="20"/>
  <c r="L20" i="20"/>
  <c r="K20" i="20"/>
  <c r="N20" i="20" s="1"/>
  <c r="D20" i="20"/>
  <c r="L17" i="20"/>
  <c r="K17" i="20"/>
  <c r="D17" i="20"/>
  <c r="L16" i="20"/>
  <c r="K16" i="20"/>
  <c r="D16" i="20"/>
  <c r="K18" i="20"/>
  <c r="L18" i="20"/>
  <c r="K31" i="20"/>
  <c r="L31" i="20"/>
  <c r="K51" i="20"/>
  <c r="L51" i="20"/>
  <c r="K58" i="20"/>
  <c r="L58" i="20"/>
  <c r="K5" i="20"/>
  <c r="L5" i="20"/>
  <c r="K19" i="20"/>
  <c r="L19" i="20"/>
  <c r="K32" i="20"/>
  <c r="L32" i="20"/>
  <c r="K52" i="20"/>
  <c r="L52" i="20"/>
  <c r="K59" i="20"/>
  <c r="L59" i="20"/>
  <c r="K6" i="20"/>
  <c r="N6" i="20" s="1"/>
  <c r="L6" i="20"/>
  <c r="K7" i="20"/>
  <c r="N7" i="20" s="1"/>
  <c r="L7" i="20"/>
  <c r="K33" i="20"/>
  <c r="N33" i="20" s="1"/>
  <c r="L33" i="20"/>
  <c r="K53" i="20"/>
  <c r="N53" i="20" s="1"/>
  <c r="L53" i="20"/>
  <c r="K60" i="20"/>
  <c r="N60" i="20" s="1"/>
  <c r="L60" i="20"/>
  <c r="K8" i="20"/>
  <c r="M8" i="20" s="1"/>
  <c r="L8" i="20"/>
  <c r="K21" i="20"/>
  <c r="M21" i="20" s="1"/>
  <c r="L21" i="20"/>
  <c r="K34" i="20"/>
  <c r="M34" i="20" s="1"/>
  <c r="L34" i="20"/>
  <c r="K54" i="20"/>
  <c r="M54" i="20" s="1"/>
  <c r="L54" i="20"/>
  <c r="K61" i="20"/>
  <c r="M61" i="20" s="1"/>
  <c r="L61" i="20"/>
  <c r="K9" i="20"/>
  <c r="M9" i="20" s="1"/>
  <c r="L9" i="20"/>
  <c r="K24" i="20"/>
  <c r="M24" i="20" s="1"/>
  <c r="L24" i="20"/>
  <c r="K35" i="20"/>
  <c r="M35" i="20" s="1"/>
  <c r="L35" i="20"/>
  <c r="K55" i="20"/>
  <c r="M55" i="20" s="1"/>
  <c r="L55" i="20"/>
  <c r="K62" i="20"/>
  <c r="M62" i="20" s="1"/>
  <c r="L62" i="20"/>
  <c r="K10" i="20"/>
  <c r="N10" i="20" s="1"/>
  <c r="L10" i="20"/>
  <c r="K11" i="20"/>
  <c r="N11" i="20" s="1"/>
  <c r="L11" i="20"/>
  <c r="K36" i="20"/>
  <c r="N36" i="20" s="1"/>
  <c r="L36" i="20"/>
  <c r="K56" i="20"/>
  <c r="N56" i="20" s="1"/>
  <c r="L56" i="20"/>
  <c r="K63" i="20"/>
  <c r="N63" i="20" s="1"/>
  <c r="L63" i="20"/>
  <c r="K12" i="20"/>
  <c r="M12" i="20" s="1"/>
  <c r="L12" i="20"/>
  <c r="K26" i="20"/>
  <c r="M26" i="20" s="1"/>
  <c r="L26" i="20"/>
  <c r="K37" i="20"/>
  <c r="M37" i="20" s="1"/>
  <c r="L37" i="20"/>
  <c r="K47" i="20"/>
  <c r="M47" i="20" s="1"/>
  <c r="L47" i="20"/>
  <c r="K64" i="20"/>
  <c r="M64" i="20" s="1"/>
  <c r="L64" i="20"/>
  <c r="K13" i="20"/>
  <c r="M13" i="20" s="1"/>
  <c r="L13" i="20"/>
  <c r="K27" i="20"/>
  <c r="M27" i="20" s="1"/>
  <c r="L27" i="20"/>
  <c r="K38" i="20"/>
  <c r="M38" i="20" s="1"/>
  <c r="L38" i="20"/>
  <c r="K48" i="20"/>
  <c r="M48" i="20" s="1"/>
  <c r="L48" i="20"/>
  <c r="K65" i="20"/>
  <c r="M65" i="20" s="1"/>
  <c r="L65" i="20"/>
  <c r="K14" i="20"/>
  <c r="M14" i="20" s="1"/>
  <c r="L14" i="20"/>
  <c r="K28" i="20"/>
  <c r="M28" i="20" s="1"/>
  <c r="L28" i="20"/>
  <c r="K39" i="20"/>
  <c r="M39" i="20" s="1"/>
  <c r="L39" i="20"/>
  <c r="K49" i="20"/>
  <c r="M49" i="20" s="1"/>
  <c r="L49" i="20"/>
  <c r="K66" i="20"/>
  <c r="M66" i="20" s="1"/>
  <c r="L66" i="20"/>
  <c r="L4" i="20"/>
  <c r="K4" i="20"/>
  <c r="D18" i="20"/>
  <c r="D31" i="20"/>
  <c r="D51" i="20"/>
  <c r="D58" i="20"/>
  <c r="D5" i="20"/>
  <c r="D19" i="20"/>
  <c r="D32" i="20"/>
  <c r="D52" i="20"/>
  <c r="D59" i="20"/>
  <c r="D6" i="20"/>
  <c r="D7" i="20"/>
  <c r="D33" i="20"/>
  <c r="D53" i="20"/>
  <c r="D60" i="20"/>
  <c r="D8" i="20"/>
  <c r="D21" i="20"/>
  <c r="D34" i="20"/>
  <c r="D54" i="20"/>
  <c r="D61" i="20"/>
  <c r="D9" i="20"/>
  <c r="D24" i="20"/>
  <c r="D35" i="20"/>
  <c r="D55" i="20"/>
  <c r="D62" i="20"/>
  <c r="D10" i="20"/>
  <c r="D11" i="20"/>
  <c r="D36" i="20"/>
  <c r="D56" i="20"/>
  <c r="D63" i="20"/>
  <c r="D12" i="20"/>
  <c r="D26" i="20"/>
  <c r="D37" i="20"/>
  <c r="D47" i="20"/>
  <c r="D64" i="20"/>
  <c r="D13" i="20"/>
  <c r="D27" i="20"/>
  <c r="D38" i="20"/>
  <c r="D48" i="20"/>
  <c r="D65" i="20"/>
  <c r="D14" i="20"/>
  <c r="D28" i="20"/>
  <c r="D39" i="20"/>
  <c r="D49" i="20"/>
  <c r="D66" i="20"/>
  <c r="D4" i="20"/>
  <c r="L54" i="18" l="1"/>
  <c r="K54" i="18"/>
  <c r="D54" i="18"/>
  <c r="L53" i="18"/>
  <c r="K53" i="18"/>
  <c r="D53" i="18"/>
  <c r="L42" i="18"/>
  <c r="K42" i="18"/>
  <c r="M42" i="18" s="1"/>
  <c r="D42" i="18"/>
  <c r="L41" i="18"/>
  <c r="K41" i="18"/>
  <c r="N41" i="18" s="1"/>
  <c r="D41" i="18"/>
  <c r="L40" i="18"/>
  <c r="K40" i="18"/>
  <c r="N40" i="18" s="1"/>
  <c r="D40" i="18"/>
  <c r="L39" i="18"/>
  <c r="K39" i="18"/>
  <c r="D39" i="18"/>
  <c r="L38" i="18"/>
  <c r="K38" i="18"/>
  <c r="D38" i="18"/>
  <c r="L26" i="18"/>
  <c r="K26" i="18"/>
  <c r="M26" i="18" s="1"/>
  <c r="D26" i="18"/>
  <c r="L22" i="18"/>
  <c r="K22" i="18"/>
  <c r="M22" i="18" s="1"/>
  <c r="D22" i="18"/>
  <c r="L21" i="18"/>
  <c r="K21" i="18"/>
  <c r="M21" i="18" s="1"/>
  <c r="D21" i="18"/>
  <c r="L24" i="18"/>
  <c r="K24" i="18"/>
  <c r="N24" i="18" s="1"/>
  <c r="D24" i="18"/>
  <c r="L19" i="18"/>
  <c r="K19" i="18"/>
  <c r="N19" i="18" s="1"/>
  <c r="D19" i="18"/>
  <c r="L18" i="18"/>
  <c r="K18" i="18"/>
  <c r="D18" i="18"/>
  <c r="L17" i="18"/>
  <c r="K17" i="18"/>
  <c r="D17" i="18"/>
  <c r="K28" i="18"/>
  <c r="L28" i="18"/>
  <c r="K49" i="18"/>
  <c r="L49" i="18"/>
  <c r="K56" i="18"/>
  <c r="L56" i="18"/>
  <c r="K5" i="18"/>
  <c r="L5" i="18"/>
  <c r="K29" i="18"/>
  <c r="L29" i="18"/>
  <c r="K50" i="18"/>
  <c r="L50" i="18"/>
  <c r="K57" i="18"/>
  <c r="L57" i="18"/>
  <c r="K6" i="18"/>
  <c r="N6" i="18" s="1"/>
  <c r="L6" i="18"/>
  <c r="K30" i="18"/>
  <c r="N30" i="18" s="1"/>
  <c r="L30" i="18"/>
  <c r="K51" i="18"/>
  <c r="N51" i="18" s="1"/>
  <c r="L51" i="18"/>
  <c r="K58" i="18"/>
  <c r="N58" i="18" s="1"/>
  <c r="L58" i="18"/>
  <c r="K7" i="18"/>
  <c r="M7" i="18" s="1"/>
  <c r="L7" i="18"/>
  <c r="K20" i="18"/>
  <c r="M20" i="18" s="1"/>
  <c r="L20" i="18"/>
  <c r="K31" i="18"/>
  <c r="M31" i="18" s="1"/>
  <c r="L31" i="18"/>
  <c r="K43" i="18"/>
  <c r="M43" i="18" s="1"/>
  <c r="L43" i="18"/>
  <c r="K59" i="18"/>
  <c r="M59" i="18" s="1"/>
  <c r="L59" i="18"/>
  <c r="K8" i="18"/>
  <c r="M8" i="18" s="1"/>
  <c r="L8" i="18"/>
  <c r="K23" i="18"/>
  <c r="M23" i="18" s="1"/>
  <c r="L23" i="18"/>
  <c r="K32" i="18"/>
  <c r="M32" i="18" s="1"/>
  <c r="L32" i="18"/>
  <c r="K44" i="18"/>
  <c r="M44" i="18" s="1"/>
  <c r="L44" i="18"/>
  <c r="K60" i="18"/>
  <c r="M60" i="18" s="1"/>
  <c r="L60" i="18"/>
  <c r="K9" i="18"/>
  <c r="N9" i="18" s="1"/>
  <c r="L9" i="18"/>
  <c r="K25" i="18"/>
  <c r="N25" i="18" s="1"/>
  <c r="L25" i="18"/>
  <c r="K33" i="18"/>
  <c r="N33" i="18" s="1"/>
  <c r="L33" i="18"/>
  <c r="K52" i="18"/>
  <c r="N52" i="18" s="1"/>
  <c r="L52" i="18"/>
  <c r="K61" i="18"/>
  <c r="N61" i="18" s="1"/>
  <c r="L61" i="18"/>
  <c r="K10" i="18"/>
  <c r="M10" i="18" s="1"/>
  <c r="L10" i="18"/>
  <c r="K11" i="18"/>
  <c r="M11" i="18" s="1"/>
  <c r="L11" i="18"/>
  <c r="K34" i="18"/>
  <c r="M34" i="18" s="1"/>
  <c r="L34" i="18"/>
  <c r="K45" i="18"/>
  <c r="M45" i="18" s="1"/>
  <c r="L45" i="18"/>
  <c r="K62" i="18"/>
  <c r="M62" i="18" s="1"/>
  <c r="L62" i="18"/>
  <c r="K12" i="18"/>
  <c r="M12" i="18" s="1"/>
  <c r="L12" i="18"/>
  <c r="K13" i="18"/>
  <c r="M13" i="18" s="1"/>
  <c r="L13" i="18"/>
  <c r="K35" i="18"/>
  <c r="M35" i="18" s="1"/>
  <c r="L35" i="18"/>
  <c r="K46" i="18"/>
  <c r="M46" i="18" s="1"/>
  <c r="L46" i="18"/>
  <c r="K63" i="18"/>
  <c r="M63" i="18" s="1"/>
  <c r="L63" i="18"/>
  <c r="K14" i="18"/>
  <c r="M14" i="18" s="1"/>
  <c r="L14" i="18"/>
  <c r="K15" i="18"/>
  <c r="M15" i="18" s="1"/>
  <c r="L15" i="18"/>
  <c r="K36" i="18"/>
  <c r="M36" i="18" s="1"/>
  <c r="L36" i="18"/>
  <c r="K47" i="18"/>
  <c r="M47" i="18" s="1"/>
  <c r="L47" i="18"/>
  <c r="K64" i="18"/>
  <c r="M64" i="18" s="1"/>
  <c r="L64" i="18"/>
  <c r="L4" i="18"/>
  <c r="K4" i="18"/>
  <c r="D28" i="18"/>
  <c r="D49" i="18"/>
  <c r="D56" i="18"/>
  <c r="D5" i="18"/>
  <c r="D29" i="18"/>
  <c r="D50" i="18"/>
  <c r="D57" i="18"/>
  <c r="D6" i="18"/>
  <c r="D30" i="18"/>
  <c r="D51" i="18"/>
  <c r="D58" i="18"/>
  <c r="D7" i="18"/>
  <c r="D20" i="18"/>
  <c r="D31" i="18"/>
  <c r="D43" i="18"/>
  <c r="D59" i="18"/>
  <c r="D8" i="18"/>
  <c r="D23" i="18"/>
  <c r="D32" i="18"/>
  <c r="D44" i="18"/>
  <c r="D60" i="18"/>
  <c r="D9" i="18"/>
  <c r="D25" i="18"/>
  <c r="D33" i="18"/>
  <c r="D52" i="18"/>
  <c r="D61" i="18"/>
  <c r="D10" i="18"/>
  <c r="D11" i="18"/>
  <c r="D34" i="18"/>
  <c r="D45" i="18"/>
  <c r="D62" i="18"/>
  <c r="D12" i="18"/>
  <c r="D13" i="18"/>
  <c r="D35" i="18"/>
  <c r="D46" i="18"/>
  <c r="D63" i="18"/>
  <c r="D14" i="18"/>
  <c r="D15" i="18"/>
  <c r="D36" i="18"/>
  <c r="D47" i="18"/>
  <c r="D64" i="18"/>
  <c r="D4" i="18"/>
  <c r="L44" i="17" l="1"/>
  <c r="K44" i="17"/>
  <c r="N44" i="17" s="1"/>
  <c r="D44" i="17"/>
  <c r="L43" i="17"/>
  <c r="K43" i="17"/>
  <c r="N43" i="17" s="1"/>
  <c r="D43" i="17"/>
  <c r="L42" i="17"/>
  <c r="K42" i="17"/>
  <c r="D42" i="17"/>
  <c r="L41" i="17"/>
  <c r="K41" i="17"/>
  <c r="D41" i="17"/>
  <c r="L23" i="17"/>
  <c r="K23" i="17"/>
  <c r="M23" i="17" s="1"/>
  <c r="D23" i="17"/>
  <c r="L22" i="17"/>
  <c r="K22" i="17"/>
  <c r="M22" i="17" s="1"/>
  <c r="D22" i="17"/>
  <c r="L29" i="17"/>
  <c r="K29" i="17"/>
  <c r="M29" i="17" s="1"/>
  <c r="D29" i="17"/>
  <c r="L25" i="17"/>
  <c r="K25" i="17"/>
  <c r="N25" i="17" s="1"/>
  <c r="D25" i="17"/>
  <c r="L20" i="17"/>
  <c r="K20" i="17"/>
  <c r="N20" i="17" s="1"/>
  <c r="D20" i="17"/>
  <c r="L17" i="17"/>
  <c r="K17" i="17"/>
  <c r="D17" i="17"/>
  <c r="L16" i="17"/>
  <c r="K16" i="17"/>
  <c r="D16" i="17"/>
  <c r="K18" i="17"/>
  <c r="L18" i="17"/>
  <c r="K31" i="17"/>
  <c r="L31" i="17"/>
  <c r="K49" i="17"/>
  <c r="L49" i="17"/>
  <c r="K56" i="17"/>
  <c r="L56" i="17"/>
  <c r="K5" i="17"/>
  <c r="L5" i="17"/>
  <c r="K19" i="17"/>
  <c r="L19" i="17"/>
  <c r="K32" i="17"/>
  <c r="L32" i="17"/>
  <c r="K50" i="17"/>
  <c r="L50" i="17"/>
  <c r="K57" i="17"/>
  <c r="L57" i="17"/>
  <c r="K6" i="17"/>
  <c r="N6" i="17" s="1"/>
  <c r="L6" i="17"/>
  <c r="K7" i="17"/>
  <c r="N7" i="17" s="1"/>
  <c r="L7" i="17"/>
  <c r="K33" i="17"/>
  <c r="N33" i="17" s="1"/>
  <c r="L33" i="17"/>
  <c r="K51" i="17"/>
  <c r="N51" i="17" s="1"/>
  <c r="L51" i="17"/>
  <c r="K58" i="17"/>
  <c r="N58" i="17" s="1"/>
  <c r="L58" i="17"/>
  <c r="K8" i="17"/>
  <c r="M8" i="17" s="1"/>
  <c r="L8" i="17"/>
  <c r="K21" i="17"/>
  <c r="M21" i="17" s="1"/>
  <c r="L21" i="17"/>
  <c r="K34" i="17"/>
  <c r="M34" i="17" s="1"/>
  <c r="L34" i="17"/>
  <c r="K52" i="17"/>
  <c r="M52" i="17" s="1"/>
  <c r="L52" i="17"/>
  <c r="K59" i="17"/>
  <c r="M59" i="17" s="1"/>
  <c r="L59" i="17"/>
  <c r="K9" i="17"/>
  <c r="M9" i="17" s="1"/>
  <c r="L9" i="17"/>
  <c r="K24" i="17"/>
  <c r="M24" i="17" s="1"/>
  <c r="L24" i="17"/>
  <c r="K35" i="17"/>
  <c r="M35" i="17" s="1"/>
  <c r="L35" i="17"/>
  <c r="K53" i="17"/>
  <c r="M53" i="17" s="1"/>
  <c r="L53" i="17"/>
  <c r="K60" i="17"/>
  <c r="M60" i="17" s="1"/>
  <c r="L60" i="17"/>
  <c r="K10" i="17"/>
  <c r="N10" i="17" s="1"/>
  <c r="L10" i="17"/>
  <c r="K11" i="17"/>
  <c r="N11" i="17" s="1"/>
  <c r="L11" i="17"/>
  <c r="K36" i="17"/>
  <c r="N36" i="17" s="1"/>
  <c r="L36" i="17"/>
  <c r="K54" i="17"/>
  <c r="N54" i="17" s="1"/>
  <c r="L54" i="17"/>
  <c r="K61" i="17"/>
  <c r="N61" i="17" s="1"/>
  <c r="L61" i="17"/>
  <c r="K12" i="17"/>
  <c r="M12" i="17" s="1"/>
  <c r="L12" i="17"/>
  <c r="K26" i="17"/>
  <c r="M26" i="17" s="1"/>
  <c r="L26" i="17"/>
  <c r="K37" i="17"/>
  <c r="M37" i="17" s="1"/>
  <c r="L37" i="17"/>
  <c r="K45" i="17"/>
  <c r="M45" i="17" s="1"/>
  <c r="L45" i="17"/>
  <c r="K62" i="17"/>
  <c r="M62" i="17" s="1"/>
  <c r="L62" i="17"/>
  <c r="K13" i="17"/>
  <c r="M13" i="17" s="1"/>
  <c r="L13" i="17"/>
  <c r="K27" i="17"/>
  <c r="M27" i="17" s="1"/>
  <c r="L27" i="17"/>
  <c r="K38" i="17"/>
  <c r="M38" i="17" s="1"/>
  <c r="L38" i="17"/>
  <c r="K46" i="17"/>
  <c r="M46" i="17" s="1"/>
  <c r="L46" i="17"/>
  <c r="K63" i="17"/>
  <c r="M63" i="17" s="1"/>
  <c r="L63" i="17"/>
  <c r="K14" i="17"/>
  <c r="M14" i="17" s="1"/>
  <c r="L14" i="17"/>
  <c r="K28" i="17"/>
  <c r="M28" i="17" s="1"/>
  <c r="L28" i="17"/>
  <c r="K39" i="17"/>
  <c r="M39" i="17" s="1"/>
  <c r="L39" i="17"/>
  <c r="K47" i="17"/>
  <c r="M47" i="17" s="1"/>
  <c r="L47" i="17"/>
  <c r="K64" i="17"/>
  <c r="M64" i="17" s="1"/>
  <c r="L64" i="17"/>
  <c r="L4" i="17"/>
  <c r="K4" i="17"/>
  <c r="D18" i="17"/>
  <c r="D31" i="17"/>
  <c r="D49" i="17"/>
  <c r="D56" i="17"/>
  <c r="D5" i="17"/>
  <c r="D19" i="17"/>
  <c r="D32" i="17"/>
  <c r="D50" i="17"/>
  <c r="D57" i="17"/>
  <c r="D6" i="17"/>
  <c r="D7" i="17"/>
  <c r="D33" i="17"/>
  <c r="D51" i="17"/>
  <c r="D58" i="17"/>
  <c r="D8" i="17"/>
  <c r="D21" i="17"/>
  <c r="D34" i="17"/>
  <c r="D52" i="17"/>
  <c r="D59" i="17"/>
  <c r="D9" i="17"/>
  <c r="D24" i="17"/>
  <c r="D35" i="17"/>
  <c r="D53" i="17"/>
  <c r="D60" i="17"/>
  <c r="D10" i="17"/>
  <c r="D11" i="17"/>
  <c r="D36" i="17"/>
  <c r="D54" i="17"/>
  <c r="D61" i="17"/>
  <c r="D12" i="17"/>
  <c r="D26" i="17"/>
  <c r="D37" i="17"/>
  <c r="D45" i="17"/>
  <c r="D62" i="17"/>
  <c r="D13" i="17"/>
  <c r="D27" i="17"/>
  <c r="D38" i="17"/>
  <c r="D46" i="17"/>
  <c r="D63" i="17"/>
  <c r="D14" i="17"/>
  <c r="D28" i="17"/>
  <c r="D39" i="17"/>
  <c r="D47" i="17"/>
  <c r="D64" i="17"/>
  <c r="D4" i="17"/>
  <c r="K41" i="16"/>
  <c r="L41" i="16"/>
  <c r="L40" i="16"/>
  <c r="K40" i="16"/>
  <c r="D41" i="16"/>
  <c r="D40" i="16"/>
  <c r="L67" i="16" l="1"/>
  <c r="K67" i="16"/>
  <c r="M67" i="16" s="1"/>
  <c r="D67" i="16"/>
  <c r="L54" i="16"/>
  <c r="K54" i="16"/>
  <c r="M54" i="16" s="1"/>
  <c r="D54" i="16"/>
  <c r="L53" i="16"/>
  <c r="K53" i="16"/>
  <c r="M53" i="16" s="1"/>
  <c r="D53" i="16"/>
  <c r="L55" i="16"/>
  <c r="K55" i="16"/>
  <c r="M55" i="16" s="1"/>
  <c r="D55" i="16"/>
  <c r="L56" i="16"/>
  <c r="K56" i="16"/>
  <c r="M56" i="16" s="1"/>
  <c r="D56" i="16"/>
  <c r="L50" i="16"/>
  <c r="K50" i="16"/>
  <c r="M50" i="16" s="1"/>
  <c r="D50" i="16"/>
  <c r="L49" i="16"/>
  <c r="K49" i="16"/>
  <c r="M49" i="16" s="1"/>
  <c r="D49" i="16"/>
  <c r="L47" i="16"/>
  <c r="K47" i="16"/>
  <c r="M47" i="16" s="1"/>
  <c r="D47" i="16"/>
  <c r="L46" i="16"/>
  <c r="K46" i="16"/>
  <c r="M46" i="16" s="1"/>
  <c r="D46" i="16"/>
  <c r="L52" i="16"/>
  <c r="K52" i="16"/>
  <c r="D52" i="16"/>
  <c r="L51" i="16"/>
  <c r="K51" i="16"/>
  <c r="N51" i="16" s="1"/>
  <c r="D51" i="16"/>
  <c r="L48" i="16"/>
  <c r="K48" i="16"/>
  <c r="N48" i="16" s="1"/>
  <c r="D48" i="16"/>
  <c r="L45" i="16"/>
  <c r="K45" i="16"/>
  <c r="N45" i="16" s="1"/>
  <c r="D45" i="16"/>
  <c r="L44" i="16"/>
  <c r="K44" i="16"/>
  <c r="D44" i="16"/>
  <c r="L43" i="16"/>
  <c r="K43" i="16"/>
  <c r="N43" i="16" s="1"/>
  <c r="D43" i="16"/>
  <c r="L29" i="16"/>
  <c r="K29" i="16"/>
  <c r="M29" i="16" s="1"/>
  <c r="D29" i="16"/>
  <c r="L28" i="16"/>
  <c r="K28" i="16"/>
  <c r="M28" i="16" s="1"/>
  <c r="D28" i="16"/>
  <c r="L26" i="16"/>
  <c r="K26" i="16"/>
  <c r="M26" i="16" s="1"/>
  <c r="D26" i="16"/>
  <c r="L24" i="16"/>
  <c r="K24" i="16"/>
  <c r="M24" i="16" s="1"/>
  <c r="D24" i="16"/>
  <c r="L23" i="16"/>
  <c r="K23" i="16"/>
  <c r="M23" i="16" s="1"/>
  <c r="D23" i="16"/>
  <c r="L25" i="16"/>
  <c r="K25" i="16"/>
  <c r="N25" i="16" s="1"/>
  <c r="D25" i="16"/>
  <c r="L22" i="16"/>
  <c r="K22" i="16"/>
  <c r="N22" i="16" s="1"/>
  <c r="D22" i="16"/>
  <c r="L19" i="16"/>
  <c r="K19" i="16"/>
  <c r="D19" i="16"/>
  <c r="L18" i="16"/>
  <c r="K18" i="16"/>
  <c r="N18" i="16" s="1"/>
  <c r="D18" i="16"/>
  <c r="L77" i="16"/>
  <c r="K77" i="16"/>
  <c r="M77" i="16" s="1"/>
  <c r="D77" i="16"/>
  <c r="L76" i="16"/>
  <c r="K76" i="16"/>
  <c r="M76" i="16" s="1"/>
  <c r="D76" i="16"/>
  <c r="L75" i="16"/>
  <c r="K75" i="16"/>
  <c r="M75" i="16" s="1"/>
  <c r="D75" i="16"/>
  <c r="L74" i="16"/>
  <c r="K74" i="16"/>
  <c r="N74" i="16" s="1"/>
  <c r="D74" i="16"/>
  <c r="L73" i="16"/>
  <c r="K73" i="16"/>
  <c r="M73" i="16" s="1"/>
  <c r="D73" i="16"/>
  <c r="L72" i="16"/>
  <c r="K72" i="16"/>
  <c r="M72" i="16" s="1"/>
  <c r="D72" i="16"/>
  <c r="L71" i="16"/>
  <c r="K71" i="16"/>
  <c r="N71" i="16" s="1"/>
  <c r="D71" i="16"/>
  <c r="L70" i="16"/>
  <c r="K70" i="16"/>
  <c r="D70" i="16"/>
  <c r="L69" i="16"/>
  <c r="K69" i="16"/>
  <c r="D69" i="16"/>
  <c r="L66" i="16"/>
  <c r="K66" i="16"/>
  <c r="M66" i="16" s="1"/>
  <c r="D66" i="16"/>
  <c r="L65" i="16"/>
  <c r="K65" i="16"/>
  <c r="M65" i="16" s="1"/>
  <c r="D65" i="16"/>
  <c r="L64" i="16"/>
  <c r="K64" i="16"/>
  <c r="M64" i="16" s="1"/>
  <c r="D64" i="16"/>
  <c r="L63" i="16"/>
  <c r="K63" i="16"/>
  <c r="N63" i="16" s="1"/>
  <c r="D63" i="16"/>
  <c r="L62" i="16"/>
  <c r="K62" i="16"/>
  <c r="M62" i="16" s="1"/>
  <c r="D62" i="16"/>
  <c r="L61" i="16"/>
  <c r="K61" i="16"/>
  <c r="M61" i="16" s="1"/>
  <c r="D61" i="16"/>
  <c r="L60" i="16"/>
  <c r="K60" i="16"/>
  <c r="N60" i="16" s="1"/>
  <c r="D60" i="16"/>
  <c r="L59" i="16"/>
  <c r="K59" i="16"/>
  <c r="D59" i="16"/>
  <c r="L58" i="16"/>
  <c r="K58" i="16"/>
  <c r="N58" i="16" s="1"/>
  <c r="D58" i="16"/>
  <c r="L39" i="16"/>
  <c r="K39" i="16"/>
  <c r="M39" i="16" s="1"/>
  <c r="D39" i="16"/>
  <c r="L38" i="16"/>
  <c r="K38" i="16"/>
  <c r="M38" i="16" s="1"/>
  <c r="D38" i="16"/>
  <c r="L37" i="16"/>
  <c r="K37" i="16"/>
  <c r="M37" i="16" s="1"/>
  <c r="D37" i="16"/>
  <c r="L36" i="16"/>
  <c r="K36" i="16"/>
  <c r="N36" i="16" s="1"/>
  <c r="D36" i="16"/>
  <c r="L35" i="16"/>
  <c r="K35" i="16"/>
  <c r="M35" i="16" s="1"/>
  <c r="D35" i="16"/>
  <c r="L34" i="16"/>
  <c r="K34" i="16"/>
  <c r="M34" i="16" s="1"/>
  <c r="D34" i="16"/>
  <c r="L33" i="16"/>
  <c r="K33" i="16"/>
  <c r="N33" i="16" s="1"/>
  <c r="D33" i="16"/>
  <c r="L32" i="16"/>
  <c r="K32" i="16"/>
  <c r="D32" i="16"/>
  <c r="L31" i="16"/>
  <c r="K31" i="16"/>
  <c r="N31" i="16" s="1"/>
  <c r="D31" i="16"/>
  <c r="L16" i="16"/>
  <c r="K16" i="16"/>
  <c r="M16" i="16" s="1"/>
  <c r="D16" i="16"/>
  <c r="L15" i="16"/>
  <c r="K15" i="16"/>
  <c r="M15" i="16" s="1"/>
  <c r="D15" i="16"/>
  <c r="L14" i="16"/>
  <c r="K14" i="16"/>
  <c r="M14" i="16" s="1"/>
  <c r="D14" i="16"/>
  <c r="L13" i="16"/>
  <c r="K13" i="16"/>
  <c r="M13" i="16" s="1"/>
  <c r="D13" i="16"/>
  <c r="L27" i="16"/>
  <c r="K27" i="16"/>
  <c r="M27" i="16" s="1"/>
  <c r="D27" i="16"/>
  <c r="L12" i="16"/>
  <c r="K12" i="16"/>
  <c r="M12" i="16" s="1"/>
  <c r="D12" i="16"/>
  <c r="L11" i="16"/>
  <c r="K11" i="16"/>
  <c r="N11" i="16" s="1"/>
  <c r="D11" i="16"/>
  <c r="L10" i="16"/>
  <c r="K10" i="16"/>
  <c r="M10" i="16" s="1"/>
  <c r="D10" i="16"/>
  <c r="L9" i="16"/>
  <c r="K9" i="16"/>
  <c r="M9" i="16" s="1"/>
  <c r="D9" i="16"/>
  <c r="L8" i="16"/>
  <c r="K8" i="16"/>
  <c r="M8" i="16" s="1"/>
  <c r="D8" i="16"/>
  <c r="L7" i="16"/>
  <c r="K7" i="16"/>
  <c r="M7" i="16" s="1"/>
  <c r="D7" i="16"/>
  <c r="L6" i="16"/>
  <c r="K6" i="16"/>
  <c r="N6" i="16" s="1"/>
  <c r="D6" i="16"/>
  <c r="L21" i="16"/>
  <c r="K21" i="16"/>
  <c r="D21" i="16"/>
  <c r="L20" i="16"/>
  <c r="K20" i="16"/>
  <c r="D20" i="16"/>
  <c r="L5" i="16"/>
  <c r="K5" i="16"/>
  <c r="D5" i="16"/>
  <c r="L4" i="16"/>
  <c r="K4" i="16"/>
  <c r="N4" i="16" s="1"/>
  <c r="D4" i="16"/>
  <c r="K47" i="14"/>
  <c r="L47" i="14"/>
  <c r="K48" i="14"/>
  <c r="N48" i="14" s="1"/>
  <c r="L48" i="14"/>
  <c r="K49" i="14"/>
  <c r="M49" i="14" s="1"/>
  <c r="L49" i="14"/>
  <c r="K50" i="14"/>
  <c r="M50" i="14" s="1"/>
  <c r="L50" i="14"/>
  <c r="K51" i="14"/>
  <c r="N51" i="14" s="1"/>
  <c r="L51" i="14"/>
  <c r="K52" i="14"/>
  <c r="M52" i="14" s="1"/>
  <c r="L52" i="14"/>
  <c r="K53" i="14"/>
  <c r="M53" i="14" s="1"/>
  <c r="L53" i="14"/>
  <c r="K54" i="14"/>
  <c r="M54" i="14" s="1"/>
  <c r="L54" i="14"/>
  <c r="L46" i="14"/>
  <c r="K46" i="14"/>
  <c r="D47" i="14"/>
  <c r="D48" i="14"/>
  <c r="D49" i="14"/>
  <c r="D50" i="14"/>
  <c r="D51" i="14"/>
  <c r="D52" i="14"/>
  <c r="D53" i="14"/>
  <c r="D54" i="14"/>
  <c r="D46" i="14"/>
  <c r="L24" i="14" l="1"/>
  <c r="K24" i="14"/>
  <c r="M24" i="14" s="1"/>
  <c r="D24" i="14"/>
  <c r="L23" i="14"/>
  <c r="K23" i="14"/>
  <c r="M23" i="14" s="1"/>
  <c r="D23" i="14"/>
  <c r="L21" i="14"/>
  <c r="K21" i="14"/>
  <c r="M21" i="14" s="1"/>
  <c r="D21" i="14"/>
  <c r="L20" i="14"/>
  <c r="K20" i="14"/>
  <c r="M20" i="14" s="1"/>
  <c r="D20" i="14"/>
  <c r="L22" i="14"/>
  <c r="K22" i="14"/>
  <c r="N22" i="14" s="1"/>
  <c r="D22" i="14"/>
  <c r="L19" i="14"/>
  <c r="K19" i="14"/>
  <c r="N19" i="14" s="1"/>
  <c r="D19" i="14"/>
  <c r="L18" i="14"/>
  <c r="K18" i="14"/>
  <c r="D18" i="14"/>
  <c r="L17" i="14"/>
  <c r="K17" i="14"/>
  <c r="D17" i="14"/>
  <c r="K27" i="14"/>
  <c r="L27" i="14"/>
  <c r="K36" i="14"/>
  <c r="L36" i="14"/>
  <c r="K55" i="14"/>
  <c r="L55" i="14"/>
  <c r="K5" i="14"/>
  <c r="L5" i="14"/>
  <c r="K28" i="14"/>
  <c r="L28" i="14"/>
  <c r="K37" i="14"/>
  <c r="L37" i="14"/>
  <c r="K56" i="14"/>
  <c r="L56" i="14"/>
  <c r="K6" i="14"/>
  <c r="N6" i="14" s="1"/>
  <c r="L6" i="14"/>
  <c r="K29" i="14"/>
  <c r="N29" i="14" s="1"/>
  <c r="L29" i="14"/>
  <c r="K38" i="14"/>
  <c r="N38" i="14" s="1"/>
  <c r="L38" i="14"/>
  <c r="K57" i="14"/>
  <c r="N57" i="14" s="1"/>
  <c r="L57" i="14"/>
  <c r="K7" i="14"/>
  <c r="M7" i="14" s="1"/>
  <c r="L7" i="14"/>
  <c r="K8" i="14"/>
  <c r="M8" i="14" s="1"/>
  <c r="L8" i="14"/>
  <c r="K30" i="14"/>
  <c r="M30" i="14" s="1"/>
  <c r="L30" i="14"/>
  <c r="K39" i="14"/>
  <c r="M39" i="14" s="1"/>
  <c r="L39" i="14"/>
  <c r="K58" i="14"/>
  <c r="M58" i="14" s="1"/>
  <c r="L58" i="14"/>
  <c r="K9" i="14"/>
  <c r="M9" i="14" s="1"/>
  <c r="L9" i="14"/>
  <c r="K10" i="14"/>
  <c r="M10" i="14" s="1"/>
  <c r="L10" i="14"/>
  <c r="K31" i="14"/>
  <c r="M31" i="14" s="1"/>
  <c r="L31" i="14"/>
  <c r="K40" i="14"/>
  <c r="M40" i="14" s="1"/>
  <c r="L40" i="14"/>
  <c r="K59" i="14"/>
  <c r="M59" i="14" s="1"/>
  <c r="L59" i="14"/>
  <c r="K11" i="14"/>
  <c r="N11" i="14" s="1"/>
  <c r="L11" i="14"/>
  <c r="K32" i="14"/>
  <c r="N32" i="14" s="1"/>
  <c r="L32" i="14"/>
  <c r="K41" i="14"/>
  <c r="N41" i="14" s="1"/>
  <c r="L41" i="14"/>
  <c r="K60" i="14"/>
  <c r="N60" i="14" s="1"/>
  <c r="L60" i="14"/>
  <c r="K12" i="14"/>
  <c r="M12" i="14" s="1"/>
  <c r="L12" i="14"/>
  <c r="K33" i="14"/>
  <c r="M33" i="14" s="1"/>
  <c r="L33" i="14"/>
  <c r="K42" i="14"/>
  <c r="M42" i="14" s="1"/>
  <c r="L42" i="14"/>
  <c r="K61" i="14"/>
  <c r="M61" i="14" s="1"/>
  <c r="L61" i="14"/>
  <c r="K13" i="14"/>
  <c r="M13" i="14" s="1"/>
  <c r="L13" i="14"/>
  <c r="K14" i="14"/>
  <c r="M14" i="14" s="1"/>
  <c r="L14" i="14"/>
  <c r="K34" i="14"/>
  <c r="M34" i="14" s="1"/>
  <c r="L34" i="14"/>
  <c r="K43" i="14"/>
  <c r="M43" i="14" s="1"/>
  <c r="L43" i="14"/>
  <c r="K62" i="14"/>
  <c r="M62" i="14" s="1"/>
  <c r="L62" i="14"/>
  <c r="K15" i="14"/>
  <c r="M15" i="14" s="1"/>
  <c r="L15" i="14"/>
  <c r="K25" i="14"/>
  <c r="M25" i="14" s="1"/>
  <c r="L25" i="14"/>
  <c r="K44" i="14"/>
  <c r="M44" i="14" s="1"/>
  <c r="L44" i="14"/>
  <c r="K63" i="14"/>
  <c r="M63" i="14" s="1"/>
  <c r="L63" i="14"/>
  <c r="L4" i="14"/>
  <c r="K4" i="14"/>
  <c r="D27" i="14"/>
  <c r="D36" i="14"/>
  <c r="D55" i="14"/>
  <c r="D5" i="14"/>
  <c r="D28" i="14"/>
  <c r="D37" i="14"/>
  <c r="D56" i="14"/>
  <c r="D6" i="14"/>
  <c r="D29" i="14"/>
  <c r="D38" i="14"/>
  <c r="D57" i="14"/>
  <c r="D7" i="14"/>
  <c r="D8" i="14"/>
  <c r="D30" i="14"/>
  <c r="D39" i="14"/>
  <c r="D58" i="14"/>
  <c r="D9" i="14"/>
  <c r="D10" i="14"/>
  <c r="D31" i="14"/>
  <c r="D40" i="14"/>
  <c r="D59" i="14"/>
  <c r="D11" i="14"/>
  <c r="D32" i="14"/>
  <c r="D41" i="14"/>
  <c r="D60" i="14"/>
  <c r="D12" i="14"/>
  <c r="D33" i="14"/>
  <c r="D42" i="14"/>
  <c r="D61" i="14"/>
  <c r="D13" i="14"/>
  <c r="D14" i="14"/>
  <c r="D34" i="14"/>
  <c r="D43" i="14"/>
  <c r="D62" i="14"/>
  <c r="D15" i="14"/>
  <c r="D25" i="14"/>
  <c r="D44" i="14"/>
  <c r="D63" i="14"/>
  <c r="D4" i="14"/>
  <c r="D44" i="12" l="1"/>
  <c r="L46" i="12"/>
  <c r="K46" i="12"/>
  <c r="L43" i="13"/>
  <c r="K43" i="13"/>
  <c r="D43" i="13"/>
  <c r="L42" i="13"/>
  <c r="K42" i="13"/>
  <c r="D42" i="13"/>
  <c r="L41" i="13"/>
  <c r="K41" i="13"/>
  <c r="N41" i="13" s="1"/>
  <c r="D41" i="13"/>
  <c r="L40" i="13"/>
  <c r="K40" i="13"/>
  <c r="N40" i="13" s="1"/>
  <c r="D40" i="13"/>
  <c r="L26" i="13"/>
  <c r="K26" i="13"/>
  <c r="M26" i="13" s="1"/>
  <c r="D26" i="13"/>
  <c r="L27" i="13"/>
  <c r="K27" i="13"/>
  <c r="M27" i="13" s="1"/>
  <c r="D27" i="13"/>
  <c r="L22" i="13"/>
  <c r="K22" i="13"/>
  <c r="M22" i="13" s="1"/>
  <c r="D22" i="13"/>
  <c r="L19" i="13"/>
  <c r="K19" i="13"/>
  <c r="M19" i="13" s="1"/>
  <c r="D19" i="13"/>
  <c r="L23" i="13"/>
  <c r="K23" i="13"/>
  <c r="N23" i="13" s="1"/>
  <c r="D23" i="13"/>
  <c r="L18" i="13"/>
  <c r="K18" i="13"/>
  <c r="N18" i="13" s="1"/>
  <c r="D18" i="13"/>
  <c r="L17" i="13"/>
  <c r="K17" i="13"/>
  <c r="D17" i="13"/>
  <c r="L16" i="13"/>
  <c r="K16" i="13"/>
  <c r="D16" i="13"/>
  <c r="K30" i="13"/>
  <c r="L30" i="13"/>
  <c r="K48" i="13"/>
  <c r="L48" i="13"/>
  <c r="K55" i="13"/>
  <c r="L55" i="13"/>
  <c r="K5" i="13"/>
  <c r="L5" i="13"/>
  <c r="K31" i="13"/>
  <c r="L31" i="13"/>
  <c r="K49" i="13"/>
  <c r="L49" i="13"/>
  <c r="K56" i="13"/>
  <c r="L56" i="13"/>
  <c r="K6" i="13"/>
  <c r="N6" i="13" s="1"/>
  <c r="L6" i="13"/>
  <c r="K7" i="13"/>
  <c r="N7" i="13" s="1"/>
  <c r="L7" i="13"/>
  <c r="K32" i="13"/>
  <c r="N32" i="13" s="1"/>
  <c r="L32" i="13"/>
  <c r="K50" i="13"/>
  <c r="N50" i="13" s="1"/>
  <c r="L50" i="13"/>
  <c r="K57" i="13"/>
  <c r="N57" i="13" s="1"/>
  <c r="L57" i="13"/>
  <c r="K8" i="13"/>
  <c r="M8" i="13" s="1"/>
  <c r="L8" i="13"/>
  <c r="K20" i="13"/>
  <c r="M20" i="13" s="1"/>
  <c r="L20" i="13"/>
  <c r="K33" i="13"/>
  <c r="M33" i="13" s="1"/>
  <c r="L33" i="13"/>
  <c r="K51" i="13"/>
  <c r="M51" i="13" s="1"/>
  <c r="L51" i="13"/>
  <c r="K58" i="13"/>
  <c r="M58" i="13" s="1"/>
  <c r="L58" i="13"/>
  <c r="K9" i="13"/>
  <c r="M9" i="13" s="1"/>
  <c r="L9" i="13"/>
  <c r="K21" i="13"/>
  <c r="M21" i="13" s="1"/>
  <c r="L21" i="13"/>
  <c r="K34" i="13"/>
  <c r="M34" i="13" s="1"/>
  <c r="L34" i="13"/>
  <c r="K52" i="13"/>
  <c r="M52" i="13" s="1"/>
  <c r="L52" i="13"/>
  <c r="K59" i="13"/>
  <c r="M59" i="13" s="1"/>
  <c r="L59" i="13"/>
  <c r="K10" i="13"/>
  <c r="N10" i="13" s="1"/>
  <c r="L10" i="13"/>
  <c r="K11" i="13"/>
  <c r="N11" i="13" s="1"/>
  <c r="L11" i="13"/>
  <c r="K35" i="13"/>
  <c r="N35" i="13" s="1"/>
  <c r="L35" i="13"/>
  <c r="K53" i="13"/>
  <c r="N53" i="13" s="1"/>
  <c r="L53" i="13"/>
  <c r="K60" i="13"/>
  <c r="N60" i="13" s="1"/>
  <c r="L60" i="13"/>
  <c r="K12" i="13"/>
  <c r="M12" i="13" s="1"/>
  <c r="L12" i="13"/>
  <c r="K24" i="13"/>
  <c r="M24" i="13" s="1"/>
  <c r="L24" i="13"/>
  <c r="K36" i="13"/>
  <c r="M36" i="13" s="1"/>
  <c r="L36" i="13"/>
  <c r="K44" i="13"/>
  <c r="M44" i="13" s="1"/>
  <c r="L44" i="13"/>
  <c r="K61" i="13"/>
  <c r="M61" i="13" s="1"/>
  <c r="L61" i="13"/>
  <c r="K13" i="13"/>
  <c r="M13" i="13" s="1"/>
  <c r="L13" i="13"/>
  <c r="K25" i="13"/>
  <c r="M25" i="13" s="1"/>
  <c r="L25" i="13"/>
  <c r="K37" i="13"/>
  <c r="M37" i="13" s="1"/>
  <c r="L37" i="13"/>
  <c r="K45" i="13"/>
  <c r="M45" i="13" s="1"/>
  <c r="L45" i="13"/>
  <c r="K62" i="13"/>
  <c r="M62" i="13" s="1"/>
  <c r="L62" i="13"/>
  <c r="K14" i="13"/>
  <c r="M14" i="13" s="1"/>
  <c r="L14" i="13"/>
  <c r="K28" i="13"/>
  <c r="M28" i="13" s="1"/>
  <c r="L28" i="13"/>
  <c r="K38" i="13"/>
  <c r="M38" i="13" s="1"/>
  <c r="L38" i="13"/>
  <c r="K46" i="13"/>
  <c r="M46" i="13" s="1"/>
  <c r="L46" i="13"/>
  <c r="K63" i="13"/>
  <c r="M63" i="13" s="1"/>
  <c r="L63" i="13"/>
  <c r="L4" i="13"/>
  <c r="K4" i="13"/>
  <c r="D30" i="13"/>
  <c r="D48" i="13"/>
  <c r="D55" i="13"/>
  <c r="D5" i="13"/>
  <c r="D31" i="13"/>
  <c r="D49" i="13"/>
  <c r="D56" i="13"/>
  <c r="D6" i="13"/>
  <c r="D7" i="13"/>
  <c r="D32" i="13"/>
  <c r="D50" i="13"/>
  <c r="D57" i="13"/>
  <c r="D8" i="13"/>
  <c r="D20" i="13"/>
  <c r="D33" i="13"/>
  <c r="D51" i="13"/>
  <c r="D58" i="13"/>
  <c r="D9" i="13"/>
  <c r="D21" i="13"/>
  <c r="D34" i="13"/>
  <c r="D52" i="13"/>
  <c r="D59" i="13"/>
  <c r="D10" i="13"/>
  <c r="D11" i="13"/>
  <c r="D35" i="13"/>
  <c r="D53" i="13"/>
  <c r="D60" i="13"/>
  <c r="D12" i="13"/>
  <c r="D24" i="13"/>
  <c r="D36" i="13"/>
  <c r="D44" i="13"/>
  <c r="D61" i="13"/>
  <c r="D13" i="13"/>
  <c r="D25" i="13"/>
  <c r="D37" i="13"/>
  <c r="D45" i="13"/>
  <c r="D62" i="13"/>
  <c r="D14" i="13"/>
  <c r="D28" i="13"/>
  <c r="D38" i="13"/>
  <c r="D46" i="13"/>
  <c r="D63" i="13"/>
  <c r="D4" i="13"/>
  <c r="L41" i="12" l="1"/>
  <c r="K41" i="12"/>
  <c r="N41" i="12" s="1"/>
  <c r="D41" i="12"/>
  <c r="L40" i="12"/>
  <c r="K40" i="12"/>
  <c r="N40" i="12" s="1"/>
  <c r="D40" i="12"/>
  <c r="L39" i="12"/>
  <c r="K39" i="12"/>
  <c r="D39" i="12"/>
  <c r="L38" i="12"/>
  <c r="K38" i="12"/>
  <c r="D38" i="12"/>
  <c r="L26" i="12"/>
  <c r="K26" i="12"/>
  <c r="M26" i="12" s="1"/>
  <c r="D26" i="12"/>
  <c r="L25" i="12"/>
  <c r="K25" i="12"/>
  <c r="M25" i="12" s="1"/>
  <c r="D25" i="12"/>
  <c r="L23" i="12"/>
  <c r="K23" i="12"/>
  <c r="M23" i="12" s="1"/>
  <c r="D23" i="12"/>
  <c r="L22" i="12"/>
  <c r="K22" i="12"/>
  <c r="M22" i="12" s="1"/>
  <c r="D22" i="12"/>
  <c r="L24" i="12"/>
  <c r="K24" i="12"/>
  <c r="N24" i="12" s="1"/>
  <c r="D24" i="12"/>
  <c r="L21" i="12"/>
  <c r="K21" i="12"/>
  <c r="N21" i="12" s="1"/>
  <c r="D21" i="12"/>
  <c r="L20" i="12"/>
  <c r="K20" i="12"/>
  <c r="D20" i="12"/>
  <c r="L19" i="12"/>
  <c r="K19" i="12"/>
  <c r="D19" i="12"/>
  <c r="K28" i="12"/>
  <c r="L28" i="12"/>
  <c r="K47" i="12"/>
  <c r="L47" i="12"/>
  <c r="K54" i="12"/>
  <c r="L54" i="12"/>
  <c r="K5" i="12"/>
  <c r="L5" i="12"/>
  <c r="K29" i="12"/>
  <c r="L29" i="12"/>
  <c r="K48" i="12"/>
  <c r="L48" i="12"/>
  <c r="K55" i="12"/>
  <c r="L55" i="12"/>
  <c r="K6" i="12"/>
  <c r="N6" i="12" s="1"/>
  <c r="L6" i="12"/>
  <c r="K7" i="12"/>
  <c r="N7" i="12" s="1"/>
  <c r="L7" i="12"/>
  <c r="K30" i="12"/>
  <c r="N30" i="12" s="1"/>
  <c r="L30" i="12"/>
  <c r="K49" i="12"/>
  <c r="N49" i="12" s="1"/>
  <c r="L49" i="12"/>
  <c r="K56" i="12"/>
  <c r="N56" i="12" s="1"/>
  <c r="L56" i="12"/>
  <c r="K8" i="12"/>
  <c r="M8" i="12" s="1"/>
  <c r="L8" i="12"/>
  <c r="K9" i="12"/>
  <c r="M9" i="12" s="1"/>
  <c r="L9" i="12"/>
  <c r="K31" i="12"/>
  <c r="M31" i="12" s="1"/>
  <c r="L31" i="12"/>
  <c r="K50" i="12"/>
  <c r="M50" i="12" s="1"/>
  <c r="L50" i="12"/>
  <c r="K57" i="12"/>
  <c r="M57" i="12" s="1"/>
  <c r="L57" i="12"/>
  <c r="K10" i="12"/>
  <c r="M10" i="12" s="1"/>
  <c r="L10" i="12"/>
  <c r="K11" i="12"/>
  <c r="M11" i="12" s="1"/>
  <c r="L11" i="12"/>
  <c r="K32" i="12"/>
  <c r="M32" i="12" s="1"/>
  <c r="L32" i="12"/>
  <c r="K51" i="12"/>
  <c r="M51" i="12" s="1"/>
  <c r="L51" i="12"/>
  <c r="K58" i="12"/>
  <c r="M58" i="12" s="1"/>
  <c r="L58" i="12"/>
  <c r="K12" i="12"/>
  <c r="N12" i="12" s="1"/>
  <c r="L12" i="12"/>
  <c r="K33" i="12"/>
  <c r="N33" i="12" s="1"/>
  <c r="L33" i="12"/>
  <c r="K52" i="12"/>
  <c r="N52" i="12" s="1"/>
  <c r="L52" i="12"/>
  <c r="K59" i="12"/>
  <c r="N59" i="12" s="1"/>
  <c r="L59" i="12"/>
  <c r="K13" i="12"/>
  <c r="M13" i="12" s="1"/>
  <c r="L13" i="12"/>
  <c r="K14" i="12"/>
  <c r="M14" i="12" s="1"/>
  <c r="L14" i="12"/>
  <c r="K34" i="12"/>
  <c r="M34" i="12" s="1"/>
  <c r="L34" i="12"/>
  <c r="K42" i="12"/>
  <c r="M42" i="12" s="1"/>
  <c r="L42" i="12"/>
  <c r="K60" i="12"/>
  <c r="M60" i="12" s="1"/>
  <c r="L60" i="12"/>
  <c r="K15" i="12"/>
  <c r="M15" i="12" s="1"/>
  <c r="L15" i="12"/>
  <c r="K16" i="12"/>
  <c r="M16" i="12" s="1"/>
  <c r="L16" i="12"/>
  <c r="K35" i="12"/>
  <c r="M35" i="12" s="1"/>
  <c r="L35" i="12"/>
  <c r="K43" i="12"/>
  <c r="M43" i="12" s="1"/>
  <c r="L43" i="12"/>
  <c r="K61" i="12"/>
  <c r="M61" i="12" s="1"/>
  <c r="L61" i="12"/>
  <c r="K17" i="12"/>
  <c r="M17" i="12" s="1"/>
  <c r="L17" i="12"/>
  <c r="K36" i="12"/>
  <c r="M36" i="12" s="1"/>
  <c r="L36" i="12"/>
  <c r="K44" i="12"/>
  <c r="M44" i="12" s="1"/>
  <c r="L44" i="12"/>
  <c r="K62" i="12"/>
  <c r="M62" i="12" s="1"/>
  <c r="L62" i="12"/>
  <c r="L4" i="12"/>
  <c r="K4" i="12"/>
  <c r="D28" i="12"/>
  <c r="D47" i="12"/>
  <c r="D54" i="12"/>
  <c r="D5" i="12"/>
  <c r="D29" i="12"/>
  <c r="D48" i="12"/>
  <c r="D55" i="12"/>
  <c r="D6" i="12"/>
  <c r="D7" i="12"/>
  <c r="D30" i="12"/>
  <c r="D49" i="12"/>
  <c r="D56" i="12"/>
  <c r="D8" i="12"/>
  <c r="D9" i="12"/>
  <c r="D31" i="12"/>
  <c r="D50" i="12"/>
  <c r="D57" i="12"/>
  <c r="D10" i="12"/>
  <c r="D11" i="12"/>
  <c r="D32" i="12"/>
  <c r="D51" i="12"/>
  <c r="D58" i="12"/>
  <c r="D12" i="12"/>
  <c r="D33" i="12"/>
  <c r="D52" i="12"/>
  <c r="D59" i="12"/>
  <c r="D13" i="12"/>
  <c r="D14" i="12"/>
  <c r="D34" i="12"/>
  <c r="D42" i="12"/>
  <c r="D60" i="12"/>
  <c r="D15" i="12"/>
  <c r="D16" i="12"/>
  <c r="D35" i="12"/>
  <c r="D43" i="12"/>
  <c r="D61" i="12"/>
  <c r="D17" i="12"/>
  <c r="D36" i="12"/>
  <c r="D62" i="12"/>
  <c r="D4" i="12"/>
  <c r="L26" i="11" l="1"/>
  <c r="K26" i="11"/>
  <c r="M26" i="11" s="1"/>
  <c r="D26" i="11"/>
  <c r="L21" i="11"/>
  <c r="K21" i="11"/>
  <c r="M21" i="11" s="1"/>
  <c r="D21" i="11"/>
  <c r="L19" i="11"/>
  <c r="K19" i="11"/>
  <c r="M19" i="11" s="1"/>
  <c r="D19" i="11"/>
  <c r="L23" i="11"/>
  <c r="K23" i="11"/>
  <c r="N23" i="11" s="1"/>
  <c r="D23" i="11"/>
  <c r="L18" i="11"/>
  <c r="K18" i="11"/>
  <c r="N18" i="11" s="1"/>
  <c r="D18" i="11"/>
  <c r="L17" i="11"/>
  <c r="K17" i="11"/>
  <c r="D17" i="11"/>
  <c r="L16" i="11"/>
  <c r="K16" i="11"/>
  <c r="D16" i="11"/>
  <c r="K28" i="11"/>
  <c r="L28" i="11"/>
  <c r="K38" i="11"/>
  <c r="L38" i="11"/>
  <c r="K48" i="11"/>
  <c r="L48" i="11"/>
  <c r="K5" i="11"/>
  <c r="L5" i="11"/>
  <c r="K29" i="11"/>
  <c r="L29" i="11"/>
  <c r="K39" i="11"/>
  <c r="L39" i="11"/>
  <c r="K49" i="11"/>
  <c r="L49" i="11"/>
  <c r="K6" i="11"/>
  <c r="N6" i="11" s="1"/>
  <c r="L6" i="11"/>
  <c r="K30" i="11"/>
  <c r="N30" i="11" s="1"/>
  <c r="L30" i="11"/>
  <c r="K40" i="11"/>
  <c r="N40" i="11" s="1"/>
  <c r="L40" i="11"/>
  <c r="K50" i="11"/>
  <c r="N50" i="11" s="1"/>
  <c r="L50" i="11"/>
  <c r="K7" i="11"/>
  <c r="M7" i="11" s="1"/>
  <c r="L7" i="11"/>
  <c r="K20" i="11"/>
  <c r="M20" i="11" s="1"/>
  <c r="L20" i="11"/>
  <c r="K31" i="11"/>
  <c r="M31" i="11" s="1"/>
  <c r="L31" i="11"/>
  <c r="K41" i="11"/>
  <c r="M41" i="11" s="1"/>
  <c r="L41" i="11"/>
  <c r="K51" i="11"/>
  <c r="M51" i="11" s="1"/>
  <c r="L51" i="11"/>
  <c r="K8" i="11"/>
  <c r="M8" i="11" s="1"/>
  <c r="L8" i="11"/>
  <c r="K22" i="11"/>
  <c r="M22" i="11" s="1"/>
  <c r="L22" i="11"/>
  <c r="K32" i="11"/>
  <c r="M32" i="11" s="1"/>
  <c r="L32" i="11"/>
  <c r="K42" i="11"/>
  <c r="M42" i="11" s="1"/>
  <c r="L42" i="11"/>
  <c r="K52" i="11"/>
  <c r="M52" i="11" s="1"/>
  <c r="L52" i="11"/>
  <c r="K9" i="11"/>
  <c r="N9" i="11" s="1"/>
  <c r="L9" i="11"/>
  <c r="K10" i="11"/>
  <c r="N10" i="11" s="1"/>
  <c r="L10" i="11"/>
  <c r="K33" i="11"/>
  <c r="N33" i="11" s="1"/>
  <c r="L33" i="11"/>
  <c r="K43" i="11"/>
  <c r="N43" i="11" s="1"/>
  <c r="L43" i="11"/>
  <c r="K53" i="11"/>
  <c r="N53" i="11" s="1"/>
  <c r="L53" i="11"/>
  <c r="K11" i="11"/>
  <c r="M11" i="11" s="1"/>
  <c r="L11" i="11"/>
  <c r="K24" i="11"/>
  <c r="M24" i="11" s="1"/>
  <c r="L24" i="11"/>
  <c r="K34" i="11"/>
  <c r="M34" i="11" s="1"/>
  <c r="L34" i="11"/>
  <c r="K44" i="11"/>
  <c r="M44" i="11" s="1"/>
  <c r="L44" i="11"/>
  <c r="K54" i="11"/>
  <c r="M54" i="11" s="1"/>
  <c r="L54" i="11"/>
  <c r="K12" i="11"/>
  <c r="M12" i="11" s="1"/>
  <c r="L12" i="11"/>
  <c r="K25" i="11"/>
  <c r="M25" i="11" s="1"/>
  <c r="L25" i="11"/>
  <c r="K35" i="11"/>
  <c r="M35" i="11" s="1"/>
  <c r="L35" i="11"/>
  <c r="K45" i="11"/>
  <c r="M45" i="11" s="1"/>
  <c r="L45" i="11"/>
  <c r="K55" i="11"/>
  <c r="M55" i="11" s="1"/>
  <c r="L55" i="11"/>
  <c r="K13" i="11"/>
  <c r="M13" i="11" s="1"/>
  <c r="L13" i="11"/>
  <c r="K14" i="11"/>
  <c r="M14" i="11" s="1"/>
  <c r="L14" i="11"/>
  <c r="K36" i="11"/>
  <c r="M36" i="11" s="1"/>
  <c r="L36" i="11"/>
  <c r="K46" i="11"/>
  <c r="M46" i="11" s="1"/>
  <c r="L46" i="11"/>
  <c r="K56" i="11"/>
  <c r="M56" i="11" s="1"/>
  <c r="L56" i="11"/>
  <c r="L4" i="11"/>
  <c r="K4" i="11"/>
  <c r="D28" i="11"/>
  <c r="D38" i="11"/>
  <c r="D48" i="11"/>
  <c r="D5" i="11"/>
  <c r="D29" i="11"/>
  <c r="D39" i="11"/>
  <c r="D49" i="11"/>
  <c r="D6" i="11"/>
  <c r="D30" i="11"/>
  <c r="D40" i="11"/>
  <c r="D50" i="11"/>
  <c r="D7" i="11"/>
  <c r="D20" i="11"/>
  <c r="D31" i="11"/>
  <c r="D41" i="11"/>
  <c r="D51" i="11"/>
  <c r="D8" i="11"/>
  <c r="D22" i="11"/>
  <c r="D32" i="11"/>
  <c r="D42" i="11"/>
  <c r="D52" i="11"/>
  <c r="D9" i="11"/>
  <c r="D10" i="11"/>
  <c r="D33" i="11"/>
  <c r="D43" i="11"/>
  <c r="D53" i="11"/>
  <c r="D11" i="11"/>
  <c r="D24" i="11"/>
  <c r="D34" i="11"/>
  <c r="D44" i="11"/>
  <c r="D54" i="11"/>
  <c r="D12" i="11"/>
  <c r="D25" i="11"/>
  <c r="D35" i="11"/>
  <c r="D45" i="11"/>
  <c r="D55" i="11"/>
  <c r="D13" i="11"/>
  <c r="D14" i="11"/>
  <c r="D36" i="11"/>
  <c r="D46" i="11"/>
  <c r="D56" i="11"/>
  <c r="D4" i="11"/>
  <c r="L31" i="10" l="1"/>
  <c r="K31" i="10"/>
  <c r="D31" i="10"/>
  <c r="L30" i="10"/>
  <c r="K30" i="10"/>
  <c r="D30" i="10"/>
  <c r="L29" i="10"/>
  <c r="K29" i="10"/>
  <c r="M29" i="10" s="1"/>
  <c r="D29" i="10"/>
  <c r="L25" i="10"/>
  <c r="K25" i="10"/>
  <c r="M25" i="10" s="1"/>
  <c r="D25" i="10"/>
  <c r="L23" i="10"/>
  <c r="K23" i="10"/>
  <c r="M23" i="10" s="1"/>
  <c r="D23" i="10"/>
  <c r="L27" i="10"/>
  <c r="K27" i="10"/>
  <c r="N27" i="10" s="1"/>
  <c r="D27" i="10"/>
  <c r="L22" i="10"/>
  <c r="K22" i="10"/>
  <c r="N22" i="10" s="1"/>
  <c r="D22" i="10"/>
  <c r="L21" i="10"/>
  <c r="K21" i="10"/>
  <c r="D21" i="10"/>
  <c r="L20" i="10"/>
  <c r="K20" i="10"/>
  <c r="D20" i="10"/>
  <c r="K6" i="10"/>
  <c r="L6" i="10"/>
  <c r="K33" i="10"/>
  <c r="L33" i="10"/>
  <c r="K43" i="10"/>
  <c r="L43" i="10"/>
  <c r="K53" i="10"/>
  <c r="L53" i="10"/>
  <c r="K5" i="10"/>
  <c r="L5" i="10"/>
  <c r="K7" i="10"/>
  <c r="L7" i="10"/>
  <c r="K34" i="10"/>
  <c r="L34" i="10"/>
  <c r="K44" i="10"/>
  <c r="L44" i="10"/>
  <c r="K54" i="10"/>
  <c r="L54" i="10"/>
  <c r="K8" i="10"/>
  <c r="N8" i="10" s="1"/>
  <c r="L8" i="10"/>
  <c r="K9" i="10"/>
  <c r="N9" i="10" s="1"/>
  <c r="L9" i="10"/>
  <c r="K35" i="10"/>
  <c r="N35" i="10" s="1"/>
  <c r="L35" i="10"/>
  <c r="K45" i="10"/>
  <c r="N45" i="10" s="1"/>
  <c r="L45" i="10"/>
  <c r="K55" i="10"/>
  <c r="N55" i="10" s="1"/>
  <c r="L55" i="10"/>
  <c r="K10" i="10"/>
  <c r="M10" i="10" s="1"/>
  <c r="L10" i="10"/>
  <c r="K24" i="10"/>
  <c r="M24" i="10" s="1"/>
  <c r="L24" i="10"/>
  <c r="K36" i="10"/>
  <c r="M36" i="10" s="1"/>
  <c r="L36" i="10"/>
  <c r="K46" i="10"/>
  <c r="M46" i="10" s="1"/>
  <c r="L46" i="10"/>
  <c r="K56" i="10"/>
  <c r="M56" i="10" s="1"/>
  <c r="L56" i="10"/>
  <c r="K11" i="10"/>
  <c r="M11" i="10" s="1"/>
  <c r="L11" i="10"/>
  <c r="K26" i="10"/>
  <c r="M26" i="10" s="1"/>
  <c r="L26" i="10"/>
  <c r="K37" i="10"/>
  <c r="M37" i="10" s="1"/>
  <c r="L37" i="10"/>
  <c r="K47" i="10"/>
  <c r="M47" i="10" s="1"/>
  <c r="L47" i="10"/>
  <c r="K57" i="10"/>
  <c r="M57" i="10" s="1"/>
  <c r="L57" i="10"/>
  <c r="K12" i="10"/>
  <c r="N12" i="10" s="1"/>
  <c r="L12" i="10"/>
  <c r="K13" i="10"/>
  <c r="N13" i="10" s="1"/>
  <c r="L13" i="10"/>
  <c r="K38" i="10"/>
  <c r="N38" i="10" s="1"/>
  <c r="L38" i="10"/>
  <c r="K48" i="10"/>
  <c r="N48" i="10" s="1"/>
  <c r="L48" i="10"/>
  <c r="K58" i="10"/>
  <c r="N58" i="10" s="1"/>
  <c r="L58" i="10"/>
  <c r="K14" i="10"/>
  <c r="M14" i="10" s="1"/>
  <c r="L14" i="10"/>
  <c r="K15" i="10"/>
  <c r="M15" i="10" s="1"/>
  <c r="L15" i="10"/>
  <c r="K39" i="10"/>
  <c r="M39" i="10" s="1"/>
  <c r="L39" i="10"/>
  <c r="K49" i="10"/>
  <c r="M49" i="10" s="1"/>
  <c r="L49" i="10"/>
  <c r="K59" i="10"/>
  <c r="M59" i="10" s="1"/>
  <c r="L59" i="10"/>
  <c r="K16" i="10"/>
  <c r="M16" i="10" s="1"/>
  <c r="L16" i="10"/>
  <c r="K28" i="10"/>
  <c r="M28" i="10" s="1"/>
  <c r="L28" i="10"/>
  <c r="K40" i="10"/>
  <c r="M40" i="10" s="1"/>
  <c r="L40" i="10"/>
  <c r="K50" i="10"/>
  <c r="M50" i="10" s="1"/>
  <c r="L50" i="10"/>
  <c r="K60" i="10"/>
  <c r="M60" i="10" s="1"/>
  <c r="L60" i="10"/>
  <c r="K17" i="10"/>
  <c r="M17" i="10" s="1"/>
  <c r="L17" i="10"/>
  <c r="K18" i="10"/>
  <c r="M18" i="10" s="1"/>
  <c r="L18" i="10"/>
  <c r="K41" i="10"/>
  <c r="M41" i="10" s="1"/>
  <c r="L41" i="10"/>
  <c r="K51" i="10"/>
  <c r="M51" i="10" s="1"/>
  <c r="L51" i="10"/>
  <c r="K61" i="10"/>
  <c r="M61" i="10" s="1"/>
  <c r="L61" i="10"/>
  <c r="L4" i="10"/>
  <c r="K4" i="10"/>
  <c r="D6" i="10"/>
  <c r="D33" i="10"/>
  <c r="D43" i="10"/>
  <c r="D53" i="10"/>
  <c r="D5" i="10"/>
  <c r="D7" i="10"/>
  <c r="D34" i="10"/>
  <c r="D44" i="10"/>
  <c r="D54" i="10"/>
  <c r="D8" i="10"/>
  <c r="D9" i="10"/>
  <c r="D35" i="10"/>
  <c r="D45" i="10"/>
  <c r="D55" i="10"/>
  <c r="D10" i="10"/>
  <c r="D24" i="10"/>
  <c r="D36" i="10"/>
  <c r="D46" i="10"/>
  <c r="D56" i="10"/>
  <c r="D11" i="10"/>
  <c r="D26" i="10"/>
  <c r="D37" i="10"/>
  <c r="D47" i="10"/>
  <c r="D57" i="10"/>
  <c r="D12" i="10"/>
  <c r="D13" i="10"/>
  <c r="D38" i="10"/>
  <c r="D48" i="10"/>
  <c r="D58" i="10"/>
  <c r="D14" i="10"/>
  <c r="D15" i="10"/>
  <c r="D39" i="10"/>
  <c r="D49" i="10"/>
  <c r="D59" i="10"/>
  <c r="D16" i="10"/>
  <c r="D28" i="10"/>
  <c r="D40" i="10"/>
  <c r="D50" i="10"/>
  <c r="D60" i="10"/>
  <c r="D17" i="10"/>
  <c r="D18" i="10"/>
  <c r="D41" i="10"/>
  <c r="D51" i="10"/>
  <c r="D61" i="10"/>
  <c r="D4" i="10"/>
  <c r="L22" i="9" l="1"/>
  <c r="K22" i="9"/>
  <c r="N22" i="9" s="1"/>
  <c r="D22" i="9"/>
  <c r="L17" i="9"/>
  <c r="K17" i="9"/>
  <c r="D17" i="9"/>
  <c r="L16" i="9"/>
  <c r="K16" i="9"/>
  <c r="D16" i="9"/>
  <c r="K14" i="9"/>
  <c r="L14" i="9"/>
  <c r="K5" i="9"/>
  <c r="L5" i="9"/>
  <c r="K15" i="9"/>
  <c r="L15" i="9"/>
  <c r="K6" i="9"/>
  <c r="N6" i="9" s="1"/>
  <c r="L6" i="9"/>
  <c r="K18" i="9"/>
  <c r="N18" i="9" s="1"/>
  <c r="L18" i="9"/>
  <c r="K7" i="9"/>
  <c r="M7" i="9" s="1"/>
  <c r="L7" i="9"/>
  <c r="K19" i="9"/>
  <c r="M19" i="9" s="1"/>
  <c r="L19" i="9"/>
  <c r="K8" i="9"/>
  <c r="M8" i="9" s="1"/>
  <c r="L8" i="9"/>
  <c r="K20" i="9"/>
  <c r="M20" i="9" s="1"/>
  <c r="L20" i="9"/>
  <c r="K9" i="9"/>
  <c r="N9" i="9" s="1"/>
  <c r="L9" i="9"/>
  <c r="K21" i="9"/>
  <c r="N21" i="9" s="1"/>
  <c r="L21" i="9"/>
  <c r="K10" i="9"/>
  <c r="M10" i="9" s="1"/>
  <c r="L10" i="9"/>
  <c r="K23" i="9"/>
  <c r="M23" i="9" s="1"/>
  <c r="L23" i="9"/>
  <c r="K11" i="9"/>
  <c r="M11" i="9" s="1"/>
  <c r="L11" i="9"/>
  <c r="K24" i="9"/>
  <c r="M24" i="9" s="1"/>
  <c r="L24" i="9"/>
  <c r="K25" i="9"/>
  <c r="M25" i="9" s="1"/>
  <c r="L25" i="9"/>
  <c r="K12" i="9"/>
  <c r="M12" i="9" s="1"/>
  <c r="L12" i="9"/>
  <c r="K27" i="9"/>
  <c r="L27" i="9"/>
  <c r="K28" i="9"/>
  <c r="L28" i="9"/>
  <c r="K29" i="9"/>
  <c r="N29" i="9" s="1"/>
  <c r="L29" i="9"/>
  <c r="K30" i="9"/>
  <c r="M30" i="9" s="1"/>
  <c r="L30" i="9"/>
  <c r="K31" i="9"/>
  <c r="M31" i="9" s="1"/>
  <c r="L31" i="9"/>
  <c r="K32" i="9"/>
  <c r="N32" i="9" s="1"/>
  <c r="L32" i="9"/>
  <c r="K33" i="9"/>
  <c r="M33" i="9" s="1"/>
  <c r="L33" i="9"/>
  <c r="K34" i="9"/>
  <c r="M34" i="9" s="1"/>
  <c r="L34" i="9"/>
  <c r="K35" i="9"/>
  <c r="M35" i="9" s="1"/>
  <c r="L35" i="9"/>
  <c r="K37" i="9"/>
  <c r="L37" i="9"/>
  <c r="K38" i="9"/>
  <c r="L38" i="9"/>
  <c r="K39" i="9"/>
  <c r="N39" i="9" s="1"/>
  <c r="L39" i="9"/>
  <c r="K40" i="9"/>
  <c r="M40" i="9" s="1"/>
  <c r="L40" i="9"/>
  <c r="K41" i="9"/>
  <c r="M41" i="9" s="1"/>
  <c r="L41" i="9"/>
  <c r="K42" i="9"/>
  <c r="N42" i="9" s="1"/>
  <c r="L42" i="9"/>
  <c r="K43" i="9"/>
  <c r="M43" i="9" s="1"/>
  <c r="L43" i="9"/>
  <c r="K44" i="9"/>
  <c r="M44" i="9" s="1"/>
  <c r="L44" i="9"/>
  <c r="K45" i="9"/>
  <c r="M45" i="9" s="1"/>
  <c r="L45" i="9"/>
  <c r="K47" i="9"/>
  <c r="L47" i="9"/>
  <c r="K48" i="9"/>
  <c r="L48" i="9"/>
  <c r="K49" i="9"/>
  <c r="N49" i="9" s="1"/>
  <c r="L49" i="9"/>
  <c r="K50" i="9"/>
  <c r="M50" i="9" s="1"/>
  <c r="L50" i="9"/>
  <c r="K51" i="9"/>
  <c r="M51" i="9" s="1"/>
  <c r="L51" i="9"/>
  <c r="K52" i="9"/>
  <c r="N52" i="9" s="1"/>
  <c r="L52" i="9"/>
  <c r="K53" i="9"/>
  <c r="M53" i="9" s="1"/>
  <c r="L53" i="9"/>
  <c r="K54" i="9"/>
  <c r="M54" i="9" s="1"/>
  <c r="L54" i="9"/>
  <c r="L4" i="9"/>
  <c r="K4" i="9"/>
  <c r="D14" i="9"/>
  <c r="D5" i="9"/>
  <c r="D15" i="9"/>
  <c r="D6" i="9"/>
  <c r="D18" i="9"/>
  <c r="D7" i="9"/>
  <c r="D19" i="9"/>
  <c r="D8" i="9"/>
  <c r="D20" i="9"/>
  <c r="D9" i="9"/>
  <c r="D21" i="9"/>
  <c r="D10" i="9"/>
  <c r="D23" i="9"/>
  <c r="D11" i="9"/>
  <c r="D24" i="9"/>
  <c r="D25" i="9"/>
  <c r="D12" i="9"/>
  <c r="D27" i="9"/>
  <c r="D28" i="9"/>
  <c r="D29" i="9"/>
  <c r="D30" i="9"/>
  <c r="D31" i="9"/>
  <c r="D32" i="9"/>
  <c r="D33" i="9"/>
  <c r="D34" i="9"/>
  <c r="D35" i="9"/>
  <c r="D37" i="9"/>
  <c r="D38" i="9"/>
  <c r="D39" i="9"/>
  <c r="D40" i="9"/>
  <c r="D41" i="9"/>
  <c r="D42" i="9"/>
  <c r="D43" i="9"/>
  <c r="D44" i="9"/>
  <c r="D45" i="9"/>
  <c r="D47" i="9"/>
  <c r="D48" i="9"/>
  <c r="D49" i="9"/>
  <c r="D50" i="9"/>
  <c r="D51" i="9"/>
  <c r="D52" i="9"/>
  <c r="D53" i="9"/>
  <c r="D54" i="9"/>
  <c r="D4" i="9"/>
  <c r="K41" i="8" l="1"/>
  <c r="L41" i="8"/>
  <c r="K42" i="8"/>
  <c r="L42" i="8"/>
  <c r="K43" i="8"/>
  <c r="L43" i="8"/>
  <c r="K44" i="8"/>
  <c r="L44" i="8"/>
  <c r="K45" i="8"/>
  <c r="L45" i="8"/>
  <c r="K46" i="8"/>
  <c r="L46" i="8"/>
  <c r="K47" i="8"/>
  <c r="L47" i="8"/>
  <c r="L40" i="8"/>
  <c r="K40" i="8"/>
  <c r="D41" i="8"/>
  <c r="D42" i="8"/>
  <c r="D43" i="8"/>
  <c r="D44" i="8"/>
  <c r="D45" i="8"/>
  <c r="D46" i="8"/>
  <c r="D47" i="8"/>
  <c r="D40" i="8"/>
  <c r="L19" i="8" l="1"/>
  <c r="L20" i="8"/>
  <c r="K19" i="8"/>
  <c r="K20" i="8"/>
  <c r="D20" i="8"/>
  <c r="D19" i="8"/>
  <c r="L12" i="8"/>
  <c r="K12" i="8"/>
  <c r="D12" i="8"/>
  <c r="K17" i="8"/>
  <c r="L17" i="8"/>
  <c r="K5" i="8"/>
  <c r="L5" i="8"/>
  <c r="K18" i="8"/>
  <c r="L18" i="8"/>
  <c r="K6" i="8"/>
  <c r="N6" i="8" s="1"/>
  <c r="L6" i="8"/>
  <c r="K21" i="8"/>
  <c r="N21" i="8" s="1"/>
  <c r="L21" i="8"/>
  <c r="K7" i="8"/>
  <c r="M7" i="8" s="1"/>
  <c r="L7" i="8"/>
  <c r="K8" i="8"/>
  <c r="M8" i="8" s="1"/>
  <c r="L8" i="8"/>
  <c r="K22" i="8"/>
  <c r="M22" i="8" s="1"/>
  <c r="L22" i="8"/>
  <c r="K9" i="8"/>
  <c r="M9" i="8" s="1"/>
  <c r="L9" i="8"/>
  <c r="K10" i="8"/>
  <c r="M10" i="8" s="1"/>
  <c r="L10" i="8"/>
  <c r="K23" i="8"/>
  <c r="M23" i="8" s="1"/>
  <c r="L23" i="8"/>
  <c r="K11" i="8"/>
  <c r="L11" i="8"/>
  <c r="K24" i="8"/>
  <c r="L24" i="8"/>
  <c r="K25" i="8"/>
  <c r="M25" i="8" s="1"/>
  <c r="L25" i="8"/>
  <c r="K13" i="8"/>
  <c r="M13" i="8" s="1"/>
  <c r="L13" i="8"/>
  <c r="K26" i="8"/>
  <c r="M26" i="8" s="1"/>
  <c r="L26" i="8"/>
  <c r="K27" i="8"/>
  <c r="M27" i="8" s="1"/>
  <c r="L27" i="8"/>
  <c r="K14" i="8"/>
  <c r="M14" i="8" s="1"/>
  <c r="L14" i="8"/>
  <c r="K28" i="8"/>
  <c r="M28" i="8" s="1"/>
  <c r="L28" i="8"/>
  <c r="K15" i="8"/>
  <c r="M15" i="8" s="1"/>
  <c r="L15" i="8"/>
  <c r="K30" i="8"/>
  <c r="L30" i="8"/>
  <c r="K31" i="8"/>
  <c r="L31" i="8"/>
  <c r="K32" i="8"/>
  <c r="N32" i="8" s="1"/>
  <c r="L32" i="8"/>
  <c r="K33" i="8"/>
  <c r="M33" i="8" s="1"/>
  <c r="L33" i="8"/>
  <c r="K34" i="8"/>
  <c r="M34" i="8" s="1"/>
  <c r="L34" i="8"/>
  <c r="K35" i="8"/>
  <c r="N35" i="8" s="1"/>
  <c r="L35" i="8"/>
  <c r="K36" i="8"/>
  <c r="M36" i="8" s="1"/>
  <c r="L36" i="8"/>
  <c r="K37" i="8"/>
  <c r="M37" i="8" s="1"/>
  <c r="L37" i="8"/>
  <c r="K38" i="8"/>
  <c r="M38" i="8" s="1"/>
  <c r="L38" i="8"/>
  <c r="K49" i="8"/>
  <c r="L49" i="8"/>
  <c r="K50" i="8"/>
  <c r="L50" i="8"/>
  <c r="K51" i="8"/>
  <c r="N51" i="8" s="1"/>
  <c r="L51" i="8"/>
  <c r="K52" i="8"/>
  <c r="M52" i="8" s="1"/>
  <c r="L52" i="8"/>
  <c r="K53" i="8"/>
  <c r="M53" i="8" s="1"/>
  <c r="L53" i="8"/>
  <c r="K54" i="8"/>
  <c r="N54" i="8" s="1"/>
  <c r="L54" i="8"/>
  <c r="K55" i="8"/>
  <c r="M55" i="8" s="1"/>
  <c r="L55" i="8"/>
  <c r="K56" i="8"/>
  <c r="M56" i="8" s="1"/>
  <c r="L56" i="8"/>
  <c r="K57" i="8"/>
  <c r="M57" i="8" s="1"/>
  <c r="L57" i="8"/>
  <c r="K59" i="8"/>
  <c r="L59" i="8"/>
  <c r="K60" i="8"/>
  <c r="L60" i="8"/>
  <c r="K61" i="8"/>
  <c r="N61" i="8" s="1"/>
  <c r="L61" i="8"/>
  <c r="K62" i="8"/>
  <c r="M62" i="8" s="1"/>
  <c r="L62" i="8"/>
  <c r="K63" i="8"/>
  <c r="M63" i="8" s="1"/>
  <c r="L63" i="8"/>
  <c r="K64" i="8"/>
  <c r="N64" i="8" s="1"/>
  <c r="L64" i="8"/>
  <c r="K65" i="8"/>
  <c r="M65" i="8" s="1"/>
  <c r="L65" i="8"/>
  <c r="K66" i="8"/>
  <c r="M66" i="8" s="1"/>
  <c r="L66" i="8"/>
  <c r="K67" i="8"/>
  <c r="M67" i="8" s="1"/>
  <c r="L67" i="8"/>
  <c r="L4" i="8"/>
  <c r="K4" i="8"/>
  <c r="D17" i="8"/>
  <c r="D30" i="8"/>
  <c r="D49" i="8"/>
  <c r="D59" i="8"/>
  <c r="D5" i="8"/>
  <c r="D18" i="8"/>
  <c r="D31" i="8"/>
  <c r="D50" i="8"/>
  <c r="D60" i="8"/>
  <c r="D6" i="8"/>
  <c r="D21" i="8"/>
  <c r="D32" i="8"/>
  <c r="D51" i="8"/>
  <c r="D61" i="8"/>
  <c r="D7" i="8"/>
  <c r="D8" i="8"/>
  <c r="D22" i="8"/>
  <c r="D33" i="8"/>
  <c r="D52" i="8"/>
  <c r="D62" i="8"/>
  <c r="D9" i="8"/>
  <c r="D10" i="8"/>
  <c r="D23" i="8"/>
  <c r="D34" i="8"/>
  <c r="D53" i="8"/>
  <c r="D63" i="8"/>
  <c r="D11" i="8"/>
  <c r="D24" i="8"/>
  <c r="D35" i="8"/>
  <c r="D54" i="8"/>
  <c r="D64" i="8"/>
  <c r="D25" i="8"/>
  <c r="D13" i="8"/>
  <c r="D36" i="8"/>
  <c r="D55" i="8"/>
  <c r="D65" i="8"/>
  <c r="D26" i="8"/>
  <c r="D27" i="8"/>
  <c r="D14" i="8"/>
  <c r="D37" i="8"/>
  <c r="D56" i="8"/>
  <c r="D66" i="8"/>
  <c r="D28" i="8"/>
  <c r="D15" i="8"/>
  <c r="D38" i="8"/>
  <c r="D57" i="8"/>
  <c r="D67" i="8"/>
  <c r="D4" i="8"/>
  <c r="K14" i="7" l="1"/>
  <c r="L14" i="7"/>
  <c r="K24" i="7"/>
  <c r="L24" i="7"/>
  <c r="K32" i="7"/>
  <c r="L32" i="7"/>
  <c r="K42" i="7"/>
  <c r="L42" i="7"/>
  <c r="K51" i="7"/>
  <c r="L51" i="7"/>
  <c r="K5" i="7"/>
  <c r="L5" i="7"/>
  <c r="K15" i="7"/>
  <c r="L15" i="7"/>
  <c r="K25" i="7"/>
  <c r="L25" i="7"/>
  <c r="K33" i="7"/>
  <c r="L33" i="7"/>
  <c r="K43" i="7"/>
  <c r="L43" i="7"/>
  <c r="K52" i="7"/>
  <c r="L52" i="7"/>
  <c r="K6" i="7"/>
  <c r="L6" i="7"/>
  <c r="K16" i="7"/>
  <c r="L16" i="7"/>
  <c r="K26" i="7"/>
  <c r="L26" i="7"/>
  <c r="K34" i="7"/>
  <c r="L34" i="7"/>
  <c r="K44" i="7"/>
  <c r="L44" i="7"/>
  <c r="K7" i="7"/>
  <c r="M7" i="7" s="1"/>
  <c r="L7" i="7"/>
  <c r="K17" i="7"/>
  <c r="M17" i="7" s="1"/>
  <c r="L17" i="7"/>
  <c r="K27" i="7"/>
  <c r="M27" i="7" s="1"/>
  <c r="L27" i="7"/>
  <c r="K35" i="7"/>
  <c r="M35" i="7" s="1"/>
  <c r="L35" i="7"/>
  <c r="K45" i="7"/>
  <c r="M45" i="7" s="1"/>
  <c r="L45" i="7"/>
  <c r="K53" i="7"/>
  <c r="M53" i="7" s="1"/>
  <c r="L53" i="7"/>
  <c r="K8" i="7"/>
  <c r="M8" i="7" s="1"/>
  <c r="L8" i="7"/>
  <c r="K18" i="7"/>
  <c r="M18" i="7" s="1"/>
  <c r="L18" i="7"/>
  <c r="K28" i="7"/>
  <c r="M28" i="7" s="1"/>
  <c r="L28" i="7"/>
  <c r="K36" i="7"/>
  <c r="M36" i="7" s="1"/>
  <c r="L36" i="7"/>
  <c r="K46" i="7"/>
  <c r="M46" i="7" s="1"/>
  <c r="L46" i="7"/>
  <c r="K54" i="7"/>
  <c r="M54" i="7" s="1"/>
  <c r="L54" i="7"/>
  <c r="K9" i="7"/>
  <c r="L9" i="7"/>
  <c r="K19" i="7"/>
  <c r="L19" i="7"/>
  <c r="K37" i="7"/>
  <c r="L37" i="7"/>
  <c r="K47" i="7"/>
  <c r="L47" i="7"/>
  <c r="K10" i="7"/>
  <c r="M10" i="7" s="1"/>
  <c r="L10" i="7"/>
  <c r="K20" i="7"/>
  <c r="M20" i="7" s="1"/>
  <c r="L20" i="7"/>
  <c r="K29" i="7"/>
  <c r="M29" i="7" s="1"/>
  <c r="L29" i="7"/>
  <c r="K38" i="7"/>
  <c r="M38" i="7" s="1"/>
  <c r="L38" i="7"/>
  <c r="K48" i="7"/>
  <c r="M48" i="7" s="1"/>
  <c r="L48" i="7"/>
  <c r="K55" i="7"/>
  <c r="M55" i="7" s="1"/>
  <c r="L55" i="7"/>
  <c r="K11" i="7"/>
  <c r="M11" i="7" s="1"/>
  <c r="L11" i="7"/>
  <c r="K21" i="7"/>
  <c r="M21" i="7" s="1"/>
  <c r="L21" i="7"/>
  <c r="K30" i="7"/>
  <c r="M30" i="7" s="1"/>
  <c r="L30" i="7"/>
  <c r="K39" i="7"/>
  <c r="M39" i="7" s="1"/>
  <c r="L39" i="7"/>
  <c r="K49" i="7"/>
  <c r="M49" i="7" s="1"/>
  <c r="L49" i="7"/>
  <c r="K56" i="7"/>
  <c r="M56" i="7" s="1"/>
  <c r="L56" i="7"/>
  <c r="K12" i="7"/>
  <c r="M12" i="7" s="1"/>
  <c r="L12" i="7"/>
  <c r="K22" i="7"/>
  <c r="M22" i="7" s="1"/>
  <c r="L22" i="7"/>
  <c r="K31" i="7"/>
  <c r="M31" i="7" s="1"/>
  <c r="L31" i="7"/>
  <c r="K40" i="7"/>
  <c r="M40" i="7" s="1"/>
  <c r="L40" i="7"/>
  <c r="K50" i="7"/>
  <c r="M50" i="7" s="1"/>
  <c r="L50" i="7"/>
  <c r="K57" i="7"/>
  <c r="M57" i="7" s="1"/>
  <c r="L57" i="7"/>
  <c r="L4" i="7"/>
  <c r="K4" i="7"/>
  <c r="D14" i="7"/>
  <c r="D24" i="7"/>
  <c r="D32" i="7"/>
  <c r="D42" i="7"/>
  <c r="D51" i="7"/>
  <c r="D5" i="7"/>
  <c r="D15" i="7"/>
  <c r="D25" i="7"/>
  <c r="D33" i="7"/>
  <c r="D43" i="7"/>
  <c r="D52" i="7"/>
  <c r="D6" i="7"/>
  <c r="D16" i="7"/>
  <c r="D26" i="7"/>
  <c r="D34" i="7"/>
  <c r="D44" i="7"/>
  <c r="D7" i="7"/>
  <c r="D17" i="7"/>
  <c r="D27" i="7"/>
  <c r="D35" i="7"/>
  <c r="D45" i="7"/>
  <c r="D53" i="7"/>
  <c r="D8" i="7"/>
  <c r="D18" i="7"/>
  <c r="D28" i="7"/>
  <c r="D36" i="7"/>
  <c r="D46" i="7"/>
  <c r="D54" i="7"/>
  <c r="D9" i="7"/>
  <c r="D19" i="7"/>
  <c r="D37" i="7"/>
  <c r="D47" i="7"/>
  <c r="D10" i="7"/>
  <c r="D20" i="7"/>
  <c r="D29" i="7"/>
  <c r="D38" i="7"/>
  <c r="D48" i="7"/>
  <c r="D55" i="7"/>
  <c r="D11" i="7"/>
  <c r="D21" i="7"/>
  <c r="D30" i="7"/>
  <c r="D39" i="7"/>
  <c r="D49" i="7"/>
  <c r="D56" i="7"/>
  <c r="D12" i="7"/>
  <c r="D22" i="7"/>
  <c r="D31" i="7"/>
  <c r="D40" i="7"/>
  <c r="D50" i="7"/>
  <c r="D57" i="7"/>
  <c r="D4" i="7"/>
  <c r="L21" i="3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2" i="6"/>
  <c r="K37" i="3"/>
  <c r="N9" i="7" l="1"/>
  <c r="N19" i="7"/>
  <c r="N26" i="7"/>
  <c r="N34" i="7"/>
  <c r="N16" i="7"/>
  <c r="N37" i="7"/>
  <c r="N44" i="7"/>
  <c r="N6" i="7"/>
  <c r="N47" i="7"/>
  <c r="L22" i="3" l="1"/>
  <c r="K22" i="3"/>
  <c r="K21" i="3"/>
  <c r="D22" i="3"/>
  <c r="D21" i="3"/>
  <c r="L19" i="3" l="1"/>
  <c r="K19" i="3"/>
  <c r="N19" i="3" s="1"/>
  <c r="D19" i="3"/>
  <c r="L20" i="3"/>
  <c r="K20" i="3"/>
  <c r="N20" i="3" s="1"/>
  <c r="D20" i="3"/>
  <c r="K24" i="3"/>
  <c r="L24" i="3"/>
  <c r="K34" i="3"/>
  <c r="L34" i="3"/>
  <c r="K43" i="3"/>
  <c r="L43" i="3"/>
  <c r="K5" i="3"/>
  <c r="L5" i="3"/>
  <c r="K25" i="3"/>
  <c r="L25" i="3"/>
  <c r="K35" i="3"/>
  <c r="L35" i="3"/>
  <c r="K44" i="3"/>
  <c r="L44" i="3"/>
  <c r="K6" i="3"/>
  <c r="N6" i="3" s="1"/>
  <c r="L6" i="3"/>
  <c r="K26" i="3"/>
  <c r="N26" i="3" s="1"/>
  <c r="L26" i="3"/>
  <c r="K36" i="3"/>
  <c r="N36" i="3" s="1"/>
  <c r="L36" i="3"/>
  <c r="K45" i="3"/>
  <c r="N45" i="3" s="1"/>
  <c r="L45" i="3"/>
  <c r="K7" i="3"/>
  <c r="M7" i="3" s="1"/>
  <c r="L7" i="3"/>
  <c r="K8" i="3"/>
  <c r="M8" i="3" s="1"/>
  <c r="L8" i="3"/>
  <c r="K27" i="3"/>
  <c r="M27" i="3" s="1"/>
  <c r="L27" i="3"/>
  <c r="M37" i="3"/>
  <c r="L37" i="3"/>
  <c r="K46" i="3"/>
  <c r="M46" i="3" s="1"/>
  <c r="L46" i="3"/>
  <c r="K9" i="3"/>
  <c r="M9" i="3" s="1"/>
  <c r="L9" i="3"/>
  <c r="K10" i="3"/>
  <c r="M10" i="3" s="1"/>
  <c r="L10" i="3"/>
  <c r="K28" i="3"/>
  <c r="M28" i="3" s="1"/>
  <c r="L28" i="3"/>
  <c r="K38" i="3"/>
  <c r="M38" i="3" s="1"/>
  <c r="L38" i="3"/>
  <c r="K47" i="3"/>
  <c r="M47" i="3" s="1"/>
  <c r="L47" i="3"/>
  <c r="K11" i="3"/>
  <c r="N11" i="3" s="1"/>
  <c r="L11" i="3"/>
  <c r="K29" i="3"/>
  <c r="N29" i="3" s="1"/>
  <c r="L29" i="3"/>
  <c r="K39" i="3"/>
  <c r="N39" i="3" s="1"/>
  <c r="L39" i="3"/>
  <c r="K48" i="3"/>
  <c r="N48" i="3" s="1"/>
  <c r="L48" i="3"/>
  <c r="K12" i="3"/>
  <c r="M12" i="3" s="1"/>
  <c r="L12" i="3"/>
  <c r="K13" i="3"/>
  <c r="M13" i="3" s="1"/>
  <c r="L13" i="3"/>
  <c r="K30" i="3"/>
  <c r="M30" i="3" s="1"/>
  <c r="L30" i="3"/>
  <c r="K40" i="3"/>
  <c r="M40" i="3" s="1"/>
  <c r="L40" i="3"/>
  <c r="K49" i="3"/>
  <c r="M49" i="3" s="1"/>
  <c r="L49" i="3"/>
  <c r="K14" i="3"/>
  <c r="M14" i="3" s="1"/>
  <c r="L14" i="3"/>
  <c r="K15" i="3"/>
  <c r="M15" i="3" s="1"/>
  <c r="L15" i="3"/>
  <c r="K31" i="3"/>
  <c r="M31" i="3" s="1"/>
  <c r="L31" i="3"/>
  <c r="K41" i="3"/>
  <c r="M41" i="3" s="1"/>
  <c r="L41" i="3"/>
  <c r="K16" i="3"/>
  <c r="M16" i="3" s="1"/>
  <c r="L16" i="3"/>
  <c r="K17" i="3"/>
  <c r="M17" i="3" s="1"/>
  <c r="L17" i="3"/>
  <c r="K32" i="3"/>
  <c r="M32" i="3" s="1"/>
  <c r="L32" i="3"/>
  <c r="K42" i="3"/>
  <c r="M42" i="3" s="1"/>
  <c r="L42" i="3"/>
  <c r="K50" i="3"/>
  <c r="M50" i="3" s="1"/>
  <c r="L50" i="3"/>
  <c r="L4" i="3"/>
  <c r="K4" i="3"/>
  <c r="D24" i="3"/>
  <c r="D34" i="3"/>
  <c r="D43" i="3"/>
  <c r="D5" i="3"/>
  <c r="D25" i="3"/>
  <c r="D35" i="3"/>
  <c r="D44" i="3"/>
  <c r="D6" i="3"/>
  <c r="D26" i="3"/>
  <c r="D36" i="3"/>
  <c r="D45" i="3"/>
  <c r="D7" i="3"/>
  <c r="D8" i="3"/>
  <c r="D27" i="3"/>
  <c r="D37" i="3"/>
  <c r="D46" i="3"/>
  <c r="D9" i="3"/>
  <c r="D10" i="3"/>
  <c r="D28" i="3"/>
  <c r="D38" i="3"/>
  <c r="D47" i="3"/>
  <c r="D11" i="3"/>
  <c r="D29" i="3"/>
  <c r="D39" i="3"/>
  <c r="D48" i="3"/>
  <c r="D12" i="3"/>
  <c r="D13" i="3"/>
  <c r="D30" i="3"/>
  <c r="D40" i="3"/>
  <c r="D49" i="3"/>
  <c r="D14" i="3"/>
  <c r="D15" i="3"/>
  <c r="D31" i="3"/>
  <c r="D41" i="3"/>
  <c r="D16" i="3"/>
  <c r="D17" i="3"/>
  <c r="D32" i="3"/>
  <c r="D42" i="3"/>
  <c r="D50" i="3"/>
  <c r="D4" i="3"/>
  <c r="L6" i="2" l="1"/>
  <c r="L27" i="2"/>
  <c r="L37" i="2"/>
  <c r="L45" i="2"/>
  <c r="L5" i="2"/>
  <c r="L7" i="2"/>
  <c r="L28" i="2"/>
  <c r="L38" i="2"/>
  <c r="L46" i="2"/>
  <c r="L8" i="2"/>
  <c r="L29" i="2"/>
  <c r="L39" i="2"/>
  <c r="L9" i="2"/>
  <c r="L10" i="2"/>
  <c r="L11" i="2"/>
  <c r="L30" i="2"/>
  <c r="L40" i="2"/>
  <c r="L47" i="2"/>
  <c r="L12" i="2"/>
  <c r="L13" i="2"/>
  <c r="L14" i="2"/>
  <c r="L31" i="2"/>
  <c r="L41" i="2"/>
  <c r="L48" i="2"/>
  <c r="L15" i="2"/>
  <c r="L16" i="2"/>
  <c r="L32" i="2"/>
  <c r="L49" i="2"/>
  <c r="L17" i="2"/>
  <c r="L18" i="2"/>
  <c r="L19" i="2"/>
  <c r="L33" i="2"/>
  <c r="L42" i="2"/>
  <c r="L50" i="2"/>
  <c r="L20" i="2"/>
  <c r="L21" i="2"/>
  <c r="L22" i="2"/>
  <c r="L34" i="2"/>
  <c r="L43" i="2"/>
  <c r="L51" i="2"/>
  <c r="L23" i="2"/>
  <c r="L24" i="2"/>
  <c r="L25" i="2"/>
  <c r="L35" i="2"/>
  <c r="L44" i="2"/>
  <c r="L52" i="2"/>
  <c r="L4" i="2"/>
  <c r="K6" i="2"/>
  <c r="K27" i="2"/>
  <c r="K37" i="2"/>
  <c r="K45" i="2"/>
  <c r="K5" i="2"/>
  <c r="K7" i="2"/>
  <c r="K28" i="2"/>
  <c r="K38" i="2"/>
  <c r="K46" i="2"/>
  <c r="K8" i="2"/>
  <c r="N8" i="2" s="1"/>
  <c r="K29" i="2"/>
  <c r="N29" i="2" s="1"/>
  <c r="K39" i="2"/>
  <c r="N39" i="2" s="1"/>
  <c r="K9" i="2"/>
  <c r="M9" i="2" s="1"/>
  <c r="K10" i="2"/>
  <c r="M10" i="2" s="1"/>
  <c r="K11" i="2"/>
  <c r="M11" i="2" s="1"/>
  <c r="K30" i="2"/>
  <c r="M30" i="2" s="1"/>
  <c r="K40" i="2"/>
  <c r="M40" i="2" s="1"/>
  <c r="K47" i="2"/>
  <c r="M47" i="2" s="1"/>
  <c r="K12" i="2"/>
  <c r="M12" i="2" s="1"/>
  <c r="K13" i="2"/>
  <c r="M13" i="2" s="1"/>
  <c r="K14" i="2"/>
  <c r="M14" i="2" s="1"/>
  <c r="K31" i="2"/>
  <c r="M31" i="2" s="1"/>
  <c r="K41" i="2"/>
  <c r="M41" i="2" s="1"/>
  <c r="K48" i="2"/>
  <c r="M48" i="2" s="1"/>
  <c r="K15" i="2"/>
  <c r="N15" i="2" s="1"/>
  <c r="K16" i="2"/>
  <c r="N16" i="2" s="1"/>
  <c r="K32" i="2"/>
  <c r="N32" i="2" s="1"/>
  <c r="K49" i="2"/>
  <c r="N49" i="2" s="1"/>
  <c r="K17" i="2"/>
  <c r="M17" i="2" s="1"/>
  <c r="K18" i="2"/>
  <c r="M18" i="2" s="1"/>
  <c r="K19" i="2"/>
  <c r="M19" i="2" s="1"/>
  <c r="K33" i="2"/>
  <c r="M33" i="2" s="1"/>
  <c r="K42" i="2"/>
  <c r="M42" i="2" s="1"/>
  <c r="K50" i="2"/>
  <c r="M50" i="2" s="1"/>
  <c r="K20" i="2"/>
  <c r="M20" i="2" s="1"/>
  <c r="K21" i="2"/>
  <c r="M21" i="2" s="1"/>
  <c r="K22" i="2"/>
  <c r="M22" i="2" s="1"/>
  <c r="K34" i="2"/>
  <c r="M34" i="2" s="1"/>
  <c r="K43" i="2"/>
  <c r="M43" i="2" s="1"/>
  <c r="K51" i="2"/>
  <c r="M51" i="2" s="1"/>
  <c r="K23" i="2"/>
  <c r="M23" i="2" s="1"/>
  <c r="K24" i="2"/>
  <c r="M24" i="2" s="1"/>
  <c r="K25" i="2"/>
  <c r="M25" i="2" s="1"/>
  <c r="K35" i="2"/>
  <c r="M35" i="2" s="1"/>
  <c r="K44" i="2"/>
  <c r="M44" i="2" s="1"/>
  <c r="K52" i="2"/>
  <c r="M52" i="2" s="1"/>
  <c r="K4" i="2"/>
  <c r="D6" i="2"/>
  <c r="D27" i="2"/>
  <c r="D37" i="2"/>
  <c r="D45" i="2"/>
  <c r="D5" i="2"/>
  <c r="D7" i="2"/>
  <c r="D28" i="2"/>
  <c r="D38" i="2"/>
  <c r="D46" i="2"/>
  <c r="D8" i="2"/>
  <c r="D29" i="2"/>
  <c r="D39" i="2"/>
  <c r="D9" i="2"/>
  <c r="D10" i="2"/>
  <c r="D11" i="2"/>
  <c r="D30" i="2"/>
  <c r="D40" i="2"/>
  <c r="D47" i="2"/>
  <c r="D12" i="2"/>
  <c r="D13" i="2"/>
  <c r="D14" i="2"/>
  <c r="D31" i="2"/>
  <c r="D41" i="2"/>
  <c r="D48" i="2"/>
  <c r="D15" i="2"/>
  <c r="D16" i="2"/>
  <c r="D32" i="2"/>
  <c r="D49" i="2"/>
  <c r="D17" i="2"/>
  <c r="D18" i="2"/>
  <c r="D19" i="2"/>
  <c r="D33" i="2"/>
  <c r="D42" i="2"/>
  <c r="D50" i="2"/>
  <c r="D20" i="2"/>
  <c r="D21" i="2"/>
  <c r="D22" i="2"/>
  <c r="D34" i="2"/>
  <c r="D43" i="2"/>
  <c r="D51" i="2"/>
  <c r="D23" i="2"/>
  <c r="D24" i="2"/>
  <c r="D25" i="2"/>
  <c r="D35" i="2"/>
  <c r="D44" i="2"/>
  <c r="D52" i="2"/>
  <c r="D4" i="2"/>
</calcChain>
</file>

<file path=xl/sharedStrings.xml><?xml version="1.0" encoding="utf-8"?>
<sst xmlns="http://schemas.openxmlformats.org/spreadsheetml/2006/main" count="12920" uniqueCount="2062">
  <si>
    <t>PART NUMBER</t>
  </si>
  <si>
    <t>Mat Code</t>
  </si>
  <si>
    <t>PART NAME</t>
  </si>
  <si>
    <t>Packing Standard</t>
  </si>
  <si>
    <t>Packed In</t>
  </si>
  <si>
    <t>55101M58U10</t>
  </si>
  <si>
    <t>141110-14600</t>
  </si>
  <si>
    <t>CALIPER RR</t>
  </si>
  <si>
    <t>Trolley (H)</t>
  </si>
  <si>
    <t>55102M58U10</t>
  </si>
  <si>
    <t>141120-14600</t>
  </si>
  <si>
    <t>CALIPER LH</t>
  </si>
  <si>
    <t>55311M58U00</t>
  </si>
  <si>
    <t>141185-74670</t>
  </si>
  <si>
    <t>DISC FR</t>
  </si>
  <si>
    <t>Trolley</t>
  </si>
  <si>
    <t>55401M58U00</t>
  </si>
  <si>
    <t>141140-91211</t>
  </si>
  <si>
    <t>MOC RH</t>
  </si>
  <si>
    <t>Bin</t>
  </si>
  <si>
    <t>55402M58U00</t>
  </si>
  <si>
    <t>141150-91211</t>
  </si>
  <si>
    <t>MOC LH</t>
  </si>
  <si>
    <t>55611M58U00</t>
  </si>
  <si>
    <t>141186-74360</t>
  </si>
  <si>
    <t>DISC RR</t>
  </si>
  <si>
    <t>56110M58UA1</t>
  </si>
  <si>
    <t>116040-92240</t>
  </si>
  <si>
    <t>ESC</t>
  </si>
  <si>
    <t>5A120M58U50</t>
  </si>
  <si>
    <t>114010-50830</t>
  </si>
  <si>
    <t>AHB LH</t>
  </si>
  <si>
    <t>5A120M58U01</t>
  </si>
  <si>
    <t>114010-50820</t>
  </si>
  <si>
    <t>AHB RH</t>
  </si>
  <si>
    <t xml:space="preserve">24AACCN5739J1ZA </t>
  </si>
  <si>
    <t>Supply Month</t>
  </si>
  <si>
    <t>Vehicle No</t>
  </si>
  <si>
    <t>INVOICE NO</t>
  </si>
  <si>
    <t>KANBAN NO</t>
  </si>
  <si>
    <t>Material  Code</t>
  </si>
  <si>
    <t>SUPPLY DATE</t>
  </si>
  <si>
    <t>SUPPLY TIME</t>
  </si>
  <si>
    <t>UNLOADING LOC</t>
  </si>
  <si>
    <t>Line</t>
  </si>
  <si>
    <t>Qty Req</t>
  </si>
  <si>
    <t>Packing Standerd</t>
  </si>
  <si>
    <t>Packed in</t>
  </si>
  <si>
    <t xml:space="preserve">TTL Bin </t>
  </si>
  <si>
    <t xml:space="preserve"> TORLLY</t>
  </si>
  <si>
    <t>INV NO</t>
  </si>
  <si>
    <t>05N616094239AC5</t>
  </si>
  <si>
    <t>CALIPER ASSY,FRONT BRAKE,R</t>
  </si>
  <si>
    <t>CA-07</t>
  </si>
  <si>
    <t>AC5</t>
  </si>
  <si>
    <t>05N616241630AC5</t>
  </si>
  <si>
    <t>05N616094220AC5</t>
  </si>
  <si>
    <t>05N616094247AC5</t>
  </si>
  <si>
    <t>05N616094212AC5</t>
  </si>
  <si>
    <t>05N616094271AC5</t>
  </si>
  <si>
    <t>CALIPER ASSY,FRONT BRAKE,L</t>
  </si>
  <si>
    <t>05N616240650AC5</t>
  </si>
  <si>
    <t>05N616094263AC5</t>
  </si>
  <si>
    <t>05N616094280AC5</t>
  </si>
  <si>
    <t>05N616094255AC5</t>
  </si>
  <si>
    <t>05N616094298AC5</t>
  </si>
  <si>
    <t>DISC,FRONT BRAKE</t>
  </si>
  <si>
    <t>05N616094301AC5</t>
  </si>
  <si>
    <t>05N616094310AC5</t>
  </si>
  <si>
    <t>05N616094336AC5</t>
  </si>
  <si>
    <t>CALIPER ASSY,REAR BRAKE,R</t>
  </si>
  <si>
    <t>CA-21</t>
  </si>
  <si>
    <t>05N616212525AC5</t>
  </si>
  <si>
    <t>05N616246195AC5</t>
  </si>
  <si>
    <t>05N616094344AC5</t>
  </si>
  <si>
    <t>05N616094352AC5</t>
  </si>
  <si>
    <t>05N616094328AC5</t>
  </si>
  <si>
    <t>05N616094379AC5</t>
  </si>
  <si>
    <t>CALIPER ASSY,REAR BRAKE,L</t>
  </si>
  <si>
    <t>05N616212274AC5</t>
  </si>
  <si>
    <t>05N616242297AC5</t>
  </si>
  <si>
    <t>05N616094387AC5</t>
  </si>
  <si>
    <t>05N616094395AC5</t>
  </si>
  <si>
    <t>05N616094360AC5</t>
  </si>
  <si>
    <t>05N616094417AC5</t>
  </si>
  <si>
    <t>DISC,REAR BRAKE</t>
  </si>
  <si>
    <t>05N616218345AC5</t>
  </si>
  <si>
    <t>05N616094425AC5</t>
  </si>
  <si>
    <t>05N616094409AC5</t>
  </si>
  <si>
    <t>05N616094441AC5</t>
  </si>
  <si>
    <t>ACTUATOR ASSY,NO VARIANT ESP</t>
  </si>
  <si>
    <t>CA-01</t>
  </si>
  <si>
    <t>05N616220617AC5</t>
  </si>
  <si>
    <t>05N616241720AC5</t>
  </si>
  <si>
    <t>05N616094450AC5</t>
  </si>
  <si>
    <t>05N616094468AC5</t>
  </si>
  <si>
    <t>05N616094433AC5</t>
  </si>
  <si>
    <t>05N616094484AC5</t>
  </si>
  <si>
    <t>CYLINDER ASSY,BK MASTER W/ECU</t>
  </si>
  <si>
    <t>05N616215184AC5</t>
  </si>
  <si>
    <t>05N616247094AC5</t>
  </si>
  <si>
    <t>05N616094492AC5</t>
  </si>
  <si>
    <t>05N616094506AC5</t>
  </si>
  <si>
    <t>05N616094476AC5</t>
  </si>
  <si>
    <t>05N616094530AC5</t>
  </si>
  <si>
    <t>05N616229231AC5</t>
  </si>
  <si>
    <t>05N616246390AC5</t>
  </si>
  <si>
    <t>05N616094522AC5</t>
  </si>
  <si>
    <t>05N616094514AC5</t>
  </si>
  <si>
    <t>05N616094549AC5</t>
  </si>
  <si>
    <t>Download : X539_eNagare_202613.txt</t>
  </si>
  <si>
    <t>G/I/25-26/01524</t>
  </si>
  <si>
    <t>G/I/25-26/01525</t>
  </si>
  <si>
    <t>G/I/25-26/01526</t>
  </si>
  <si>
    <t>G/I/25-26/01527</t>
  </si>
  <si>
    <t>G/I/25-26/01528</t>
  </si>
  <si>
    <t>G/I/25-26/01529</t>
  </si>
  <si>
    <t>G/I/25-26/01530</t>
  </si>
  <si>
    <t>G/I/25-26/01531</t>
  </si>
  <si>
    <t>HR47G9416</t>
  </si>
  <si>
    <t xml:space="preserve">  </t>
  </si>
  <si>
    <t>HR47E8635</t>
  </si>
  <si>
    <t>HR47H5465</t>
  </si>
  <si>
    <t>06N617269768AC5</t>
  </si>
  <si>
    <t>X539</t>
  </si>
  <si>
    <t>06N617269776AC5</t>
  </si>
  <si>
    <t>06N617269784AC5</t>
  </si>
  <si>
    <t>06N617269792AC5</t>
  </si>
  <si>
    <t>06N617269806AC5</t>
  </si>
  <si>
    <t>06N617269814AC5</t>
  </si>
  <si>
    <t>06N617269822AC5</t>
  </si>
  <si>
    <t>06N617269830AC5</t>
  </si>
  <si>
    <t>06N617269849AC5</t>
  </si>
  <si>
    <t>06N617269857AC5</t>
  </si>
  <si>
    <t>06N617269865AC5</t>
  </si>
  <si>
    <t>06N617269873AC5</t>
  </si>
  <si>
    <t>06N617269881AC5</t>
  </si>
  <si>
    <t>06N617397030AC5</t>
  </si>
  <si>
    <t>06N617269890AC5</t>
  </si>
  <si>
    <t>06N617269903AC5</t>
  </si>
  <si>
    <t>06N617269911AC5</t>
  </si>
  <si>
    <t>06N617269920AC5</t>
  </si>
  <si>
    <t>06N617400333AC5</t>
  </si>
  <si>
    <t>06N617269938AC5</t>
  </si>
  <si>
    <t>06N617269946AC5</t>
  </si>
  <si>
    <t>06N617269954AC5</t>
  </si>
  <si>
    <t>06N617269962AC5</t>
  </si>
  <si>
    <t>06N617269970AC5</t>
  </si>
  <si>
    <t>06N617269989AC5</t>
  </si>
  <si>
    <t>06N617269997AC5</t>
  </si>
  <si>
    <t>06N617270006AC5</t>
  </si>
  <si>
    <t>06N617401143AC5</t>
  </si>
  <si>
    <t>06N617270014AC5</t>
  </si>
  <si>
    <t>06N617270022AC5</t>
  </si>
  <si>
    <t>06N617270030AC5</t>
  </si>
  <si>
    <t>06N617270049AC5</t>
  </si>
  <si>
    <t>06N617398320AC5</t>
  </si>
  <si>
    <t>06N617270057AC5</t>
  </si>
  <si>
    <t>06N617270065AC5</t>
  </si>
  <si>
    <t>06N617270073AC5</t>
  </si>
  <si>
    <t>06N617401496AC5</t>
  </si>
  <si>
    <t>06N617270081AC5</t>
  </si>
  <si>
    <t>06N617270090AC5</t>
  </si>
  <si>
    <t>06N617270103AC5</t>
  </si>
  <si>
    <t>Download : X539_eNagare_202615.txt</t>
  </si>
  <si>
    <t>Supply For</t>
  </si>
  <si>
    <t>Original DI Date</t>
  </si>
  <si>
    <t>Revised DI Date</t>
  </si>
  <si>
    <t>Vendor Code</t>
  </si>
  <si>
    <t>Part Number</t>
  </si>
  <si>
    <t>Scheduled Quantity</t>
  </si>
  <si>
    <t>Rejected Quantity</t>
  </si>
  <si>
    <t>Location</t>
  </si>
  <si>
    <t>DI Number</t>
  </si>
  <si>
    <t>Attention</t>
  </si>
  <si>
    <t>Price Change Flag</t>
  </si>
  <si>
    <t>Latest Batch Code</t>
  </si>
  <si>
    <t>Price</t>
  </si>
  <si>
    <t>Sales Id</t>
  </si>
  <si>
    <t>Sales No</t>
  </si>
  <si>
    <t>Price Revision List</t>
  </si>
  <si>
    <t>SPARES</t>
  </si>
  <si>
    <t>WAD</t>
  </si>
  <si>
    <t>*</t>
  </si>
  <si>
    <t>N</t>
  </si>
  <si>
    <t>AA</t>
  </si>
  <si>
    <t>Item Price Revision List</t>
  </si>
  <si>
    <t>55830M58U10</t>
  </si>
  <si>
    <t>55840M58U10</t>
  </si>
  <si>
    <t>55850M58U10</t>
  </si>
  <si>
    <t>A26449857483</t>
  </si>
  <si>
    <t>55910M58U10</t>
  </si>
  <si>
    <t>A26449858003</t>
  </si>
  <si>
    <t>55920M58U00</t>
  </si>
  <si>
    <t>A26449858113</t>
  </si>
  <si>
    <t>55930M58U00</t>
  </si>
  <si>
    <t>A26449858143</t>
  </si>
  <si>
    <t>55950M58U00</t>
  </si>
  <si>
    <t>A26449858173</t>
  </si>
  <si>
    <t>55960M58U00</t>
  </si>
  <si>
    <t>A26449858193</t>
  </si>
  <si>
    <t>A26449858153</t>
  </si>
  <si>
    <t>A26449858013</t>
  </si>
  <si>
    <t>Download : X539202615Spares.txt</t>
  </si>
  <si>
    <t>G/I/25-26/01532</t>
  </si>
  <si>
    <t>G/I/25-26/01533</t>
  </si>
  <si>
    <t>G/I/25-26/01534</t>
  </si>
  <si>
    <t>G/I/25-26/01535</t>
  </si>
  <si>
    <t>G/I/25-26/01536</t>
  </si>
  <si>
    <t>G/I/25-26/01537</t>
  </si>
  <si>
    <t>G/I/25-26/01538</t>
  </si>
  <si>
    <t>G/I/25-26/01539</t>
  </si>
  <si>
    <t>G/I/25-26/01540</t>
  </si>
  <si>
    <t>A26451717739</t>
  </si>
  <si>
    <t>A26451717779</t>
  </si>
  <si>
    <t>A26451715719</t>
  </si>
  <si>
    <t>A26451717759</t>
  </si>
  <si>
    <t>A26451717789</t>
  </si>
  <si>
    <t>A26451716469</t>
  </si>
  <si>
    <t>A26451717109</t>
  </si>
  <si>
    <t>A26451717259</t>
  </si>
  <si>
    <t>HR47E7907</t>
  </si>
  <si>
    <t>AR451719207AC5</t>
  </si>
  <si>
    <t>AR451719346AC5</t>
  </si>
  <si>
    <t>DI</t>
  </si>
  <si>
    <t>SMG DI</t>
  </si>
  <si>
    <t>G/I/25-26/01543</t>
  </si>
  <si>
    <t>07N618082246AC5</t>
  </si>
  <si>
    <t>07N618015492AC5</t>
  </si>
  <si>
    <t>07N618088716AC5</t>
  </si>
  <si>
    <t>07N618015506AC5</t>
  </si>
  <si>
    <t>07N618015514AC5</t>
  </si>
  <si>
    <t>07N618015522AC5</t>
  </si>
  <si>
    <t>07N618087094AC5</t>
  </si>
  <si>
    <t>07N618015530AC5</t>
  </si>
  <si>
    <t>07N618091768AC5</t>
  </si>
  <si>
    <t>07N618015549AC5</t>
  </si>
  <si>
    <t>07N618015557AC5</t>
  </si>
  <si>
    <t>07N618015565AC5</t>
  </si>
  <si>
    <t>07N618080952AC5</t>
  </si>
  <si>
    <t>07N618015573AC5</t>
  </si>
  <si>
    <t>07N618092624AC5</t>
  </si>
  <si>
    <t>07N618015581AC5</t>
  </si>
  <si>
    <t>07N618015590AC5</t>
  </si>
  <si>
    <t>07N618078702AC5</t>
  </si>
  <si>
    <t>07N618015603AC5</t>
  </si>
  <si>
    <t>07N618092195AC5</t>
  </si>
  <si>
    <t>07N618015611AC5</t>
  </si>
  <si>
    <t>07N618015620AC5</t>
  </si>
  <si>
    <t>07N618015638AC5</t>
  </si>
  <si>
    <t>07N618083307AC5</t>
  </si>
  <si>
    <t>07N618015646AC5</t>
  </si>
  <si>
    <t>07N618093183AC5</t>
  </si>
  <si>
    <t>07N618015654AC5</t>
  </si>
  <si>
    <t>07N618015662AC5</t>
  </si>
  <si>
    <t>07N618015670AC5</t>
  </si>
  <si>
    <t>07N618078370AC5</t>
  </si>
  <si>
    <t>07N618015689AC5</t>
  </si>
  <si>
    <t>07N618015697AC5</t>
  </si>
  <si>
    <t>07N618015700AC5</t>
  </si>
  <si>
    <t>07N618079393AC5</t>
  </si>
  <si>
    <t>07N618015719AC5</t>
  </si>
  <si>
    <t>07N618089976AC5</t>
  </si>
  <si>
    <t>07N618015727AC5</t>
  </si>
  <si>
    <t>07N618015735AC5</t>
  </si>
  <si>
    <t>07N618015743AC5</t>
  </si>
  <si>
    <t>07N618081630AC5</t>
  </si>
  <si>
    <t>07N618015751AC5</t>
  </si>
  <si>
    <t>07N618090281AC5</t>
  </si>
  <si>
    <t>07N618015760AC5</t>
  </si>
  <si>
    <t>07N618015778AC5</t>
  </si>
  <si>
    <t>07N618015786AC5</t>
  </si>
  <si>
    <t>07N618077617AC5</t>
  </si>
  <si>
    <t>07N618015794AC5</t>
  </si>
  <si>
    <t>07N618089500AC5</t>
  </si>
  <si>
    <t>07N618015808AC5</t>
  </si>
  <si>
    <t>07N618015816AC5</t>
  </si>
  <si>
    <t>07N618015824AC5</t>
  </si>
  <si>
    <t>Download : X539_eNagare_202616.txt</t>
  </si>
  <si>
    <t>G/I/25-26/01545</t>
  </si>
  <si>
    <t>G/I/25-26/01546</t>
  </si>
  <si>
    <t>G/I/25-26/01547</t>
  </si>
  <si>
    <t>G/I/25-26/01548</t>
  </si>
  <si>
    <t>G/I/25-26/01549</t>
  </si>
  <si>
    <t>G/I/25-26/01550</t>
  </si>
  <si>
    <t>G/I/25-26/01551</t>
  </si>
  <si>
    <t>G/I/25-26/01552</t>
  </si>
  <si>
    <t>G/I/25-26/01553</t>
  </si>
  <si>
    <t>G/I/25-26/01554</t>
  </si>
  <si>
    <t>G/I/25-26/01555</t>
  </si>
  <si>
    <t>G/I/25-26/01556</t>
  </si>
  <si>
    <t>08N618723683AC5</t>
  </si>
  <si>
    <t>08N618808662AC5</t>
  </si>
  <si>
    <t>08N618723691AC5</t>
  </si>
  <si>
    <t>08N618723705AC5</t>
  </si>
  <si>
    <t>08N618723713AC5</t>
  </si>
  <si>
    <t>08N618723721AC5</t>
  </si>
  <si>
    <t>08N618802850AC5</t>
  </si>
  <si>
    <t>08N618723730AC5</t>
  </si>
  <si>
    <t>08N618723748AC5</t>
  </si>
  <si>
    <t>08N618723756AC5</t>
  </si>
  <si>
    <t>08N618723764AC5</t>
  </si>
  <si>
    <t>08N618812414AC5</t>
  </si>
  <si>
    <t>08N618723772AC5</t>
  </si>
  <si>
    <t>08N618723780AC5</t>
  </si>
  <si>
    <t>08N618723799AC5</t>
  </si>
  <si>
    <t>07N618102816AC5</t>
  </si>
  <si>
    <t>08N618723802AC5</t>
  </si>
  <si>
    <t>08N618809570AC5</t>
  </si>
  <si>
    <t>08N618723810AC5</t>
  </si>
  <si>
    <t>08N618723829AC5</t>
  </si>
  <si>
    <t>08N618723837AC5</t>
  </si>
  <si>
    <t>07N618101747AC5</t>
  </si>
  <si>
    <t>08N618723845AC5</t>
  </si>
  <si>
    <t>08N618808506AC5</t>
  </si>
  <si>
    <t>08N618723853AC5</t>
  </si>
  <si>
    <t>08N618723861AC5</t>
  </si>
  <si>
    <t>08N618723870AC5</t>
  </si>
  <si>
    <t>07N618103022AC5</t>
  </si>
  <si>
    <t>08N618723888AC5</t>
  </si>
  <si>
    <t>08N618809847AC5</t>
  </si>
  <si>
    <t>08N618723896AC5</t>
  </si>
  <si>
    <t>08N618723900AC5</t>
  </si>
  <si>
    <t>08N618723918AC5</t>
  </si>
  <si>
    <t>08N618723926AC5</t>
  </si>
  <si>
    <t>08N618809065AC5</t>
  </si>
  <si>
    <t>08N618723934AC5</t>
  </si>
  <si>
    <t>08N618723942AC5</t>
  </si>
  <si>
    <t>08N618723950AC5</t>
  </si>
  <si>
    <t>07N618102328AC5</t>
  </si>
  <si>
    <t>08N618723969AC5</t>
  </si>
  <si>
    <t>08N618810128AC5</t>
  </si>
  <si>
    <t>08N618723977AC5</t>
  </si>
  <si>
    <t>08N618723993AC5</t>
  </si>
  <si>
    <t>08N618723985AC5</t>
  </si>
  <si>
    <t>08N618724000AC5</t>
  </si>
  <si>
    <t>08N618811132AC5</t>
  </si>
  <si>
    <t>08N618724019AC5</t>
  </si>
  <si>
    <t>08N618724027AC5</t>
  </si>
  <si>
    <t>08N618724035AC5</t>
  </si>
  <si>
    <t>G/I/25-26/01557</t>
  </si>
  <si>
    <t>G/I/25-26/01558</t>
  </si>
  <si>
    <t>G/I/25-26/01559</t>
  </si>
  <si>
    <t>G/I/25-26/01560</t>
  </si>
  <si>
    <t>G/I/25-26/01561</t>
  </si>
  <si>
    <t>G/I/25-26/01562</t>
  </si>
  <si>
    <t>G/I/25-26/01563</t>
  </si>
  <si>
    <t>G/I/25-26/01564</t>
  </si>
  <si>
    <t>G/I/25-26/01565</t>
  </si>
  <si>
    <t>G/I/25-26/01566</t>
  </si>
  <si>
    <t>DA-01</t>
  </si>
  <si>
    <t>AR446644558AD2</t>
  </si>
  <si>
    <t>AR446644568AD2</t>
  </si>
  <si>
    <t>AR446646206AD2</t>
  </si>
  <si>
    <t>AR446644578AD2</t>
  </si>
  <si>
    <t>AR446644588AD2</t>
  </si>
  <si>
    <t>AR446646216AD2</t>
  </si>
  <si>
    <t>AR446644598AD2</t>
  </si>
  <si>
    <t>AR446644607AD2</t>
  </si>
  <si>
    <t>HR47E2937</t>
  </si>
  <si>
    <t>G/I/25-26/01567</t>
  </si>
  <si>
    <t>G/I/25-26/01568</t>
  </si>
  <si>
    <t>09N619382731AC5</t>
  </si>
  <si>
    <t>09N619515294AC5</t>
  </si>
  <si>
    <t>09N619382740AC5</t>
  </si>
  <si>
    <t>09N619382758AC5</t>
  </si>
  <si>
    <t>09N619382766AC5</t>
  </si>
  <si>
    <t>09N619382774AC5</t>
  </si>
  <si>
    <t>09N619517211AC5</t>
  </si>
  <si>
    <t>09N619382782AC5</t>
  </si>
  <si>
    <t>09N619382790AC5</t>
  </si>
  <si>
    <t>09N619382804AC5</t>
  </si>
  <si>
    <t>09N619382812AC5</t>
  </si>
  <si>
    <t>09N619514476AC5</t>
  </si>
  <si>
    <t>09N619382820AC5</t>
  </si>
  <si>
    <t>09N619382839AC5</t>
  </si>
  <si>
    <t>09N619382847AC5</t>
  </si>
  <si>
    <t>09N619382855AC5</t>
  </si>
  <si>
    <t>09N619519435AC5</t>
  </si>
  <si>
    <t>09N619382863AC5</t>
  </si>
  <si>
    <t>09N619382871AC5</t>
  </si>
  <si>
    <t>09N619382880AC5</t>
  </si>
  <si>
    <t>09N619382898AC5</t>
  </si>
  <si>
    <t>09N619523220AC5</t>
  </si>
  <si>
    <t>09N619382901AC5</t>
  </si>
  <si>
    <t>09N619382910AC5</t>
  </si>
  <si>
    <t>09N619382928AC5</t>
  </si>
  <si>
    <t>09N619382936AC5</t>
  </si>
  <si>
    <t>09N619514182AC5</t>
  </si>
  <si>
    <t>09N619382944AC5</t>
  </si>
  <si>
    <t>09N619382952AC5</t>
  </si>
  <si>
    <t>09N619382960AC5</t>
  </si>
  <si>
    <t>09N619382979AC5</t>
  </si>
  <si>
    <t>09N619513763AC5</t>
  </si>
  <si>
    <t>09N619382987AC5</t>
  </si>
  <si>
    <t>09N619382995AC5</t>
  </si>
  <si>
    <t>09N619383002AC5</t>
  </si>
  <si>
    <t>09N619383010AC5</t>
  </si>
  <si>
    <t>09N619519028AC5</t>
  </si>
  <si>
    <t>09N619383029AC5</t>
  </si>
  <si>
    <t>09N619383037AC5</t>
  </si>
  <si>
    <t>09N619383045AC5</t>
  </si>
  <si>
    <t>09N619524455AC5</t>
  </si>
  <si>
    <t>09N619394462AC5</t>
  </si>
  <si>
    <t>09N619394470AC5</t>
  </si>
  <si>
    <t>09N619394489AC5</t>
  </si>
  <si>
    <t>G/I/25-26/01570</t>
  </si>
  <si>
    <t>G/I/25-26/01571</t>
  </si>
  <si>
    <t>G/I/25-26/01572</t>
  </si>
  <si>
    <t>G/I/25-26/01573</t>
  </si>
  <si>
    <t>G/I/25-26/01574</t>
  </si>
  <si>
    <t>G/I/25-26/01575</t>
  </si>
  <si>
    <t>G/I/25-26/01576</t>
  </si>
  <si>
    <t>G/I/25-26/01577</t>
  </si>
  <si>
    <t>G/I/25-26/01578</t>
  </si>
  <si>
    <t>G/I/25-26/01579</t>
  </si>
  <si>
    <t>AN0250010835</t>
  </si>
  <si>
    <t>12505Q100043</t>
  </si>
  <si>
    <t>12505Q100051</t>
  </si>
  <si>
    <t>12505Q100064</t>
  </si>
  <si>
    <t>12505Q100152</t>
  </si>
  <si>
    <t>AN0250010383</t>
  </si>
  <si>
    <t>910104269-39 Qty / 910104658-41 Qty.</t>
  </si>
  <si>
    <t>12506Q100012</t>
  </si>
  <si>
    <t>AN0250010835-30 Qty. / AN0250010911 -6 Qty.</t>
  </si>
  <si>
    <t>AN0250010835-31 Qty. / AN0250010911 -5 Qty.</t>
  </si>
  <si>
    <t>AT/RGP/25-26/WA-168-62 Qty/910104658-18 Qty.</t>
  </si>
  <si>
    <t>AN0250010911</t>
  </si>
  <si>
    <t>12505Q100086</t>
  </si>
  <si>
    <t>12505Q100031</t>
  </si>
  <si>
    <t>910104658-110 Qty. / 910104269-10 Qty.</t>
  </si>
  <si>
    <t>12505Q100064-20 Qt. / 12505Q100086 -24 Qty.</t>
  </si>
  <si>
    <t>10N620176910AC5</t>
  </si>
  <si>
    <t>10N620217242AC5</t>
  </si>
  <si>
    <t>10N620176929AC5</t>
  </si>
  <si>
    <t>10N620176937AC5</t>
  </si>
  <si>
    <t>10N620176945AC5</t>
  </si>
  <si>
    <t>10N620176953AC5</t>
  </si>
  <si>
    <t>10N620215975AC5</t>
  </si>
  <si>
    <t>10N620176961AC5</t>
  </si>
  <si>
    <t>10N620176970AC5</t>
  </si>
  <si>
    <t>10N620176988AC5</t>
  </si>
  <si>
    <t>10N620176996AC5</t>
  </si>
  <si>
    <t>10N620219288AC5</t>
  </si>
  <si>
    <t>10N620177003AC5</t>
  </si>
  <si>
    <t>10N620177011AC5</t>
  </si>
  <si>
    <t>10N620177020AC5</t>
  </si>
  <si>
    <t>10N620177038AC5</t>
  </si>
  <si>
    <t>10N620218214AC5</t>
  </si>
  <si>
    <t>10N620177046AC5</t>
  </si>
  <si>
    <t>10N620177054AC5</t>
  </si>
  <si>
    <t>10N620177062AC5</t>
  </si>
  <si>
    <t>10N620177070AC5</t>
  </si>
  <si>
    <t>10N620220022AC5</t>
  </si>
  <si>
    <t>10N620177089AC5</t>
  </si>
  <si>
    <t>10N620177097AC5</t>
  </si>
  <si>
    <t>10N620177100AC5</t>
  </si>
  <si>
    <t>10N620177119AC5</t>
  </si>
  <si>
    <t>10N620220421AC5</t>
  </si>
  <si>
    <t>10N620177127AC5</t>
  </si>
  <si>
    <t>10N620177135AC5</t>
  </si>
  <si>
    <t>10N620177143AC5</t>
  </si>
  <si>
    <t>10N620177151AC5</t>
  </si>
  <si>
    <t>10N620213786AC5</t>
  </si>
  <si>
    <t>10N620177160AC5</t>
  </si>
  <si>
    <t>10N620177178AC5</t>
  </si>
  <si>
    <t>10N620177186AC5</t>
  </si>
  <si>
    <t>10N620177194AC5</t>
  </si>
  <si>
    <t>10N620219997AC5</t>
  </si>
  <si>
    <t>10N620177208AC5</t>
  </si>
  <si>
    <t>10N620177216AC5</t>
  </si>
  <si>
    <t>10N620177224AC5</t>
  </si>
  <si>
    <t>10N620177232AC5</t>
  </si>
  <si>
    <t>10N620214227AC5</t>
  </si>
  <si>
    <t>10N620177240AC5</t>
  </si>
  <si>
    <t>10N620177259AC5</t>
  </si>
  <si>
    <t>10N620177267AC5</t>
  </si>
  <si>
    <t>Download : X539_eNagare_202619.txt</t>
  </si>
  <si>
    <t>910104269-53 Qty. / 910104658-27 Qty.</t>
  </si>
  <si>
    <t>AN0250010996</t>
  </si>
  <si>
    <t>910104658-38 Qty. /910103227-16 Qty.</t>
  </si>
  <si>
    <t>G/I/25-26/01580</t>
  </si>
  <si>
    <t>G/I/25-26/01581</t>
  </si>
  <si>
    <t>G/I/25-26/01582</t>
  </si>
  <si>
    <t>G/I/25-26/01583</t>
  </si>
  <si>
    <t>G/I/25-26/01584</t>
  </si>
  <si>
    <t>G/I/25-26/01585</t>
  </si>
  <si>
    <t>G/I/25-26/01586</t>
  </si>
  <si>
    <t>G/I/25-26/01587</t>
  </si>
  <si>
    <t>G/I/25-26/01588</t>
  </si>
  <si>
    <t>G/I/25-26/01589</t>
  </si>
  <si>
    <t>G/I/25-26/01590</t>
  </si>
  <si>
    <t>910104658-40 Qty. / 910104269-40 Qty.</t>
  </si>
  <si>
    <t>AN0250010911-42 Qty. /  AN0250010996 -12 Qty.</t>
  </si>
  <si>
    <t>AN0250010911-43 Qty. /  AN0250010996 -11 Qty.</t>
  </si>
  <si>
    <t>910104658-46 Qty. / 910104677-74 Qty.</t>
  </si>
  <si>
    <t>910104658-40 Qty. / 910104677-40 Qty.</t>
  </si>
  <si>
    <t>12505Q100064-2 Qty. / 12505Q100031-11 Qty.</t>
  </si>
  <si>
    <t>910104677-40 Qty. /910104658-40 Qty.</t>
  </si>
  <si>
    <t>11N620588364AC5</t>
  </si>
  <si>
    <t>11N620588372AC5</t>
  </si>
  <si>
    <t>11N620588380AC5</t>
  </si>
  <si>
    <t>11N620588399AC5</t>
  </si>
  <si>
    <t>11N620588402AC5</t>
  </si>
  <si>
    <t>11N620588410AC5</t>
  </si>
  <si>
    <t>11N620588429AC5</t>
  </si>
  <si>
    <t>11N620588437AC5</t>
  </si>
  <si>
    <t>11N620588445AC5</t>
  </si>
  <si>
    <t>11N620588453AC5</t>
  </si>
  <si>
    <t>11N620588461AC5</t>
  </si>
  <si>
    <t>11N620588470AC5</t>
  </si>
  <si>
    <t>11N620588488AC5</t>
  </si>
  <si>
    <t>11N620926324AC5</t>
  </si>
  <si>
    <t>11N620588496AC5</t>
  </si>
  <si>
    <t>11N620588500AC5</t>
  </si>
  <si>
    <t>11N620588518AC5</t>
  </si>
  <si>
    <t>11N620588526AC5</t>
  </si>
  <si>
    <t>11N620926227AC5</t>
  </si>
  <si>
    <t>11N620588534AC5</t>
  </si>
  <si>
    <t>11N620588542AC5</t>
  </si>
  <si>
    <t>11N620588550AC5</t>
  </si>
  <si>
    <t>11N620588569AC5</t>
  </si>
  <si>
    <t>11N620921187AC5</t>
  </si>
  <si>
    <t>11N620588577AC5</t>
  </si>
  <si>
    <t>11N620588585AC5</t>
  </si>
  <si>
    <t>11N620588593AC5</t>
  </si>
  <si>
    <t>11N620588607AC5</t>
  </si>
  <si>
    <t>11N620925042AC5</t>
  </si>
  <si>
    <t>11N620588615AC5</t>
  </si>
  <si>
    <t>11N620588623AC5</t>
  </si>
  <si>
    <t>11N620588631AC5</t>
  </si>
  <si>
    <t>11N620588640AC5</t>
  </si>
  <si>
    <t>11N620921047AC5</t>
  </si>
  <si>
    <t>11N620588658AC5</t>
  </si>
  <si>
    <t>11N620588666AC5</t>
  </si>
  <si>
    <t>11N620588674AC5</t>
  </si>
  <si>
    <t>11N620588682AC5</t>
  </si>
  <si>
    <t>11N620921829AC5</t>
  </si>
  <si>
    <t>11N620588690AC5</t>
  </si>
  <si>
    <t>11N620588704AC5</t>
  </si>
  <si>
    <t>11N620588712AC5</t>
  </si>
  <si>
    <t>Download : X539_eNagare_2026110.txt</t>
  </si>
  <si>
    <t>G/I/25-26/01591</t>
  </si>
  <si>
    <t>G/I/25-26/01592</t>
  </si>
  <si>
    <t>G/I/25-26/01593</t>
  </si>
  <si>
    <t>G/I/25-26/01594</t>
  </si>
  <si>
    <t>G/I/25-26/01595</t>
  </si>
  <si>
    <t>G/I/25-26/01596</t>
  </si>
  <si>
    <t>G/I/25-26/01597</t>
  </si>
  <si>
    <t>G/I/25-26/01598</t>
  </si>
  <si>
    <t>G/I/25-26/01599</t>
  </si>
  <si>
    <t>G/I/25-26/01600</t>
  </si>
  <si>
    <t>12N621026424AC5</t>
  </si>
  <si>
    <t>12N621026432AC5</t>
  </si>
  <si>
    <t>12N621026440AC5</t>
  </si>
  <si>
    <t>12N621026459AC5</t>
  </si>
  <si>
    <t>12N621026467AC5</t>
  </si>
  <si>
    <t>12N621026475AC5</t>
  </si>
  <si>
    <t>12N621026483AC5</t>
  </si>
  <si>
    <t>12N621026491AC5</t>
  </si>
  <si>
    <t>12N621026505AC5</t>
  </si>
  <si>
    <t>12N621197881AC5</t>
  </si>
  <si>
    <t>12N621026513AC5</t>
  </si>
  <si>
    <t>12N621026521AC5</t>
  </si>
  <si>
    <t>12N621026530AC5</t>
  </si>
  <si>
    <t>12N621026548AC5</t>
  </si>
  <si>
    <t>12N621198217AC5</t>
  </si>
  <si>
    <t>12N621026556AC5</t>
  </si>
  <si>
    <t>12N621026564AC5</t>
  </si>
  <si>
    <t>12N621026572AC5</t>
  </si>
  <si>
    <t>12N621026580AC5</t>
  </si>
  <si>
    <t>12N621196273AC5</t>
  </si>
  <si>
    <t>12N621026599AC5</t>
  </si>
  <si>
    <t>12N621026602AC5</t>
  </si>
  <si>
    <t>12N621026610AC5</t>
  </si>
  <si>
    <t>12N621030510AC5</t>
  </si>
  <si>
    <t>12N621030529AC5</t>
  </si>
  <si>
    <t>12N621030537AC5</t>
  </si>
  <si>
    <t>12N621030545AC5</t>
  </si>
  <si>
    <t>12N621030553AC5</t>
  </si>
  <si>
    <t>12N621196338AC5</t>
  </si>
  <si>
    <t>12N621030561AC5</t>
  </si>
  <si>
    <t>12N621030570AC5</t>
  </si>
  <si>
    <t>12N621030588AC5</t>
  </si>
  <si>
    <t>12N621030596AC5</t>
  </si>
  <si>
    <t>12N621198888AC5</t>
  </si>
  <si>
    <t>12N621030600AC5</t>
  </si>
  <si>
    <t>12N621030618AC5</t>
  </si>
  <si>
    <t>12N621030626AC5</t>
  </si>
  <si>
    <t>12N621030634AC5</t>
  </si>
  <si>
    <t>12N621030642AC5</t>
  </si>
  <si>
    <t>12N621030650AC5</t>
  </si>
  <si>
    <t>12N621030669AC5</t>
  </si>
  <si>
    <t>Download : X539_eNagare_2026111.txt</t>
  </si>
  <si>
    <t>G/I/25-26/01601</t>
  </si>
  <si>
    <t>G/I/25-26/01602</t>
  </si>
  <si>
    <t>G/I/25-26/01603</t>
  </si>
  <si>
    <t>G/I/25-26/01604</t>
  </si>
  <si>
    <t>G/I/25-26/01605</t>
  </si>
  <si>
    <t>G/I/25-26/01606</t>
  </si>
  <si>
    <t>G/I/25-26/01607</t>
  </si>
  <si>
    <t>G/I/25-26/01608</t>
  </si>
  <si>
    <t>G/I/25-26/01609</t>
  </si>
  <si>
    <t>G/I/25-26/01610</t>
  </si>
  <si>
    <t>G/I/25-26/01611</t>
  </si>
  <si>
    <t>13N621826897AC5</t>
  </si>
  <si>
    <t>13N621826900AC5</t>
  </si>
  <si>
    <t>13N621826919AC5</t>
  </si>
  <si>
    <t>13N621826927AC5</t>
  </si>
  <si>
    <t>13N621826935AC5</t>
  </si>
  <si>
    <t>13N621826943AC5</t>
  </si>
  <si>
    <t>13N621826951AC5</t>
  </si>
  <si>
    <t>13N621826960AC5</t>
  </si>
  <si>
    <t>13N621826978AC5</t>
  </si>
  <si>
    <t>13N621879117AC5</t>
  </si>
  <si>
    <t>13N621826986AC5</t>
  </si>
  <si>
    <t>13N621826994AC5</t>
  </si>
  <si>
    <t>13N621827001AC5</t>
  </si>
  <si>
    <t>13N621827010AC5</t>
  </si>
  <si>
    <t>13N621881006AC5</t>
  </si>
  <si>
    <t>13N621827028AC5</t>
  </si>
  <si>
    <t>13N621827036AC5</t>
  </si>
  <si>
    <t>13N621827044AC5</t>
  </si>
  <si>
    <t>13N621827052AC5</t>
  </si>
  <si>
    <t>13N621882720AC5</t>
  </si>
  <si>
    <t>13N621830223AC5</t>
  </si>
  <si>
    <t>13N621830231AC5</t>
  </si>
  <si>
    <t>13N621830240AC5</t>
  </si>
  <si>
    <t>13N621830258AC5</t>
  </si>
  <si>
    <t>13N621878404AC5</t>
  </si>
  <si>
    <t>13N621830266AC5</t>
  </si>
  <si>
    <t>13N621830274AC5</t>
  </si>
  <si>
    <t>13N621830282AC5</t>
  </si>
  <si>
    <t>13N621830290AC5</t>
  </si>
  <si>
    <t>13N621879842AC5</t>
  </si>
  <si>
    <t>13N621830304AC5</t>
  </si>
  <si>
    <t>13N621830312AC5</t>
  </si>
  <si>
    <t>13N621830320AC5</t>
  </si>
  <si>
    <t>13N621830363AC5</t>
  </si>
  <si>
    <t>13N621880301AC5</t>
  </si>
  <si>
    <t>13N621830339AC5</t>
  </si>
  <si>
    <t>13N621830355AC5</t>
  </si>
  <si>
    <t>13N621830347AC5</t>
  </si>
  <si>
    <t>13N621830371AC5</t>
  </si>
  <si>
    <t>13N621877068AC5</t>
  </si>
  <si>
    <t>13N621830380AC5</t>
  </si>
  <si>
    <t>13N621830398AC5</t>
  </si>
  <si>
    <t>13N621830401AC5</t>
  </si>
  <si>
    <t>Download : X539_eNagare_2026112.txt</t>
  </si>
  <si>
    <t>116040-92910</t>
  </si>
  <si>
    <t>AR452702415AD2</t>
  </si>
  <si>
    <t>YMC</t>
  </si>
  <si>
    <t>DI YMC</t>
  </si>
  <si>
    <t>G/I/25-26/01616</t>
  </si>
  <si>
    <t>G/I/25-26/01617</t>
  </si>
  <si>
    <t>G/I/25-26/01618</t>
  </si>
  <si>
    <t>G/I/25-26/01619</t>
  </si>
  <si>
    <t>G/I/25-26/01620</t>
  </si>
  <si>
    <t>G/I/25-26/01622</t>
  </si>
  <si>
    <t>G/I/25-26/01623</t>
  </si>
  <si>
    <t>G/I/25-26/01624</t>
  </si>
  <si>
    <t>G/I/25-26/01625</t>
  </si>
  <si>
    <t>G/I/25-26/01626</t>
  </si>
  <si>
    <t>G/I/25-26/01627</t>
  </si>
  <si>
    <t>G/I/25-26/01615</t>
  </si>
  <si>
    <t>G/I/25-26/01628</t>
  </si>
  <si>
    <t>16N622374132AC5</t>
  </si>
  <si>
    <t>16N622374140AC5</t>
  </si>
  <si>
    <t>16N622374159AC5</t>
  </si>
  <si>
    <t>16N622374167AC5</t>
  </si>
  <si>
    <t>16N622374175AC5</t>
  </si>
  <si>
    <t>16N622374183AC5</t>
  </si>
  <si>
    <t>16N622374191AC5</t>
  </si>
  <si>
    <t>16N622374205AC5</t>
  </si>
  <si>
    <t>16N622374213AC5</t>
  </si>
  <si>
    <t>16N622374221AC5</t>
  </si>
  <si>
    <t>16N622374230AC5</t>
  </si>
  <si>
    <t>16N622374248AC5</t>
  </si>
  <si>
    <t>16N622374256AC5</t>
  </si>
  <si>
    <t>16N622592202AC5</t>
  </si>
  <si>
    <t>16N622374264AC5</t>
  </si>
  <si>
    <t>16N622374272AC5</t>
  </si>
  <si>
    <t>16N622374280AC5</t>
  </si>
  <si>
    <t>16N622374299AC5</t>
  </si>
  <si>
    <t>16N622592997AC5</t>
  </si>
  <si>
    <t>16N622374302AC5</t>
  </si>
  <si>
    <t>16N622374310AC5</t>
  </si>
  <si>
    <t>16N622374329AC5</t>
  </si>
  <si>
    <t>16N622374337AC5</t>
  </si>
  <si>
    <t>16N622374345AC5</t>
  </si>
  <si>
    <t>16N622374353AC5</t>
  </si>
  <si>
    <t>16N622374361AC5</t>
  </si>
  <si>
    <t>16N622374370AC5</t>
  </si>
  <si>
    <t>16N622374388AC5</t>
  </si>
  <si>
    <t>16N622374396AC5</t>
  </si>
  <si>
    <t>16N622374400AC5</t>
  </si>
  <si>
    <t>16N622374418AC5</t>
  </si>
  <si>
    <t>16N622590668AC5</t>
  </si>
  <si>
    <t>16N622374434AC5</t>
  </si>
  <si>
    <t>16N622398317AC5</t>
  </si>
  <si>
    <t>16N622374426AC5</t>
  </si>
  <si>
    <t>16N622398325AC5</t>
  </si>
  <si>
    <t>16N622398333AC5</t>
  </si>
  <si>
    <t>16N622398341AC5</t>
  </si>
  <si>
    <t>16N622398350AC5</t>
  </si>
  <si>
    <t>G/I/25-26/01629</t>
  </si>
  <si>
    <t>G/I/25-26/01630</t>
  </si>
  <si>
    <t>G/I/25-26/01631</t>
  </si>
  <si>
    <t>G/I/25-26/01632</t>
  </si>
  <si>
    <t>G/I/25-26/01633</t>
  </si>
  <si>
    <t>G/I/25-26/01634</t>
  </si>
  <si>
    <t>G/I/25-26/01635</t>
  </si>
  <si>
    <t>G/I/25-26/01636</t>
  </si>
  <si>
    <t>G/I/25-26/01637</t>
  </si>
  <si>
    <t>G/I/25-26/01638</t>
  </si>
  <si>
    <t>G/I/25-26/01639</t>
  </si>
  <si>
    <t>910104677-40 Qty /  910103227-08 Qty.</t>
  </si>
  <si>
    <t>AN0250011367</t>
  </si>
  <si>
    <t>AN0250010996-09 Qty. / AN0250011367 -45 Qty</t>
  </si>
  <si>
    <t>AN0250010996-12 Qty. / AN0250011367 -42 Qty</t>
  </si>
  <si>
    <t>12505Q100031 -14 Qty. / 12505Q100114 -46 Qty</t>
  </si>
  <si>
    <t>12505Q100031 -27 Qty. / 12505Q100114 -33 Q</t>
  </si>
  <si>
    <t>12506Q100012-36 Qty/  12505Q100114 -24 Q</t>
  </si>
  <si>
    <t xml:space="preserve">12505Q100114 </t>
  </si>
  <si>
    <t>12505Q100174</t>
  </si>
  <si>
    <t>12505Q100086-24 Qty / 12505Q100051-23 Q</t>
  </si>
  <si>
    <t>12505Q100114-3 Qty / 12505Q100051-32 Qty</t>
  </si>
  <si>
    <t>910104677-16 Qty / 910105502 - 64 Qty</t>
  </si>
  <si>
    <t>910104677-80 Qty / 910105502 -Qty</t>
  </si>
  <si>
    <t>AN0250011367-32 Qty / AN0250011438 -22 Qty.</t>
  </si>
  <si>
    <t>AN0250011438 -09 Qty / AN0250011367 -45 Qty</t>
  </si>
  <si>
    <t>AN0250011438</t>
  </si>
  <si>
    <t>12505Q100174 -18 Qty / 12506Q100055 -30 Qty</t>
  </si>
  <si>
    <t>12506Q100055</t>
  </si>
  <si>
    <t>AN0250011438-36 Qty / AN0250011348-18</t>
  </si>
  <si>
    <t>AN0250011438-18 Qty / AN0250011348-36</t>
  </si>
  <si>
    <t>12505Q100114 -52 Qty / 12505Q100125-7 Qty</t>
  </si>
  <si>
    <t>910105502-24 Qty / 910105503-56 Qty</t>
  </si>
  <si>
    <t>12505Q100031-7 Qty /12505Q100043-3 Qty</t>
  </si>
  <si>
    <t>12505Q100125</t>
  </si>
  <si>
    <t>12510Q100171</t>
  </si>
  <si>
    <t>17N624183695AC5</t>
  </si>
  <si>
    <t>17N624184365AC5</t>
  </si>
  <si>
    <t>17N624185744AC5</t>
  </si>
  <si>
    <t>17N624186163AC5</t>
  </si>
  <si>
    <t>17N624187038AC5</t>
  </si>
  <si>
    <t>17N624184152AC5</t>
  </si>
  <si>
    <t>17N624186341AC5</t>
  </si>
  <si>
    <t>17N624187011AC5</t>
  </si>
  <si>
    <t>17N624184403AC5</t>
  </si>
  <si>
    <t>G/I/25-26/01640</t>
  </si>
  <si>
    <t>G/I/25-26/01641</t>
  </si>
  <si>
    <t>17N624028541AC5</t>
  </si>
  <si>
    <t>17N624197807AC5</t>
  </si>
  <si>
    <t>17N624028550AC5</t>
  </si>
  <si>
    <t>17N624028568AC5</t>
  </si>
  <si>
    <t>17N624028576AC5</t>
  </si>
  <si>
    <t>17N624028584AC5</t>
  </si>
  <si>
    <t>17N624191558AC5</t>
  </si>
  <si>
    <t>17N624028592AC5</t>
  </si>
  <si>
    <t>17N624028606AC5</t>
  </si>
  <si>
    <t>17N624028614AC5</t>
  </si>
  <si>
    <t>17N624028622AC5</t>
  </si>
  <si>
    <t>17N624028630AC5</t>
  </si>
  <si>
    <t>17N624028649AC5</t>
  </si>
  <si>
    <t>17N624028657AC5</t>
  </si>
  <si>
    <t>17N624028665AC5</t>
  </si>
  <si>
    <t>17N624192171AC5</t>
  </si>
  <si>
    <t>17N624028673AC5</t>
  </si>
  <si>
    <t>17N624028681AC5</t>
  </si>
  <si>
    <t>17N624028690AC5</t>
  </si>
  <si>
    <t>17N624028703AC5</t>
  </si>
  <si>
    <t>17N624188816AC5</t>
  </si>
  <si>
    <t>17N624028711AC5</t>
  </si>
  <si>
    <t>17N624028720AC5</t>
  </si>
  <si>
    <t>17N624028738AC5</t>
  </si>
  <si>
    <t>17N624028746AC5</t>
  </si>
  <si>
    <t>17N624028754AC5</t>
  </si>
  <si>
    <t>17N624028762AC5</t>
  </si>
  <si>
    <t>17N624028770AC5</t>
  </si>
  <si>
    <t>17N624028789AC5</t>
  </si>
  <si>
    <t>17N624191884AC5</t>
  </si>
  <si>
    <t>17N624040266AC5</t>
  </si>
  <si>
    <t>17N624040274AC5</t>
  </si>
  <si>
    <t>17N624040282AC5</t>
  </si>
  <si>
    <t>17N624040290AC5</t>
  </si>
  <si>
    <t>17N624188778AC5</t>
  </si>
  <si>
    <t>17N624040304AC5</t>
  </si>
  <si>
    <t>17N624040312AC5</t>
  </si>
  <si>
    <t>17N624040320AC5</t>
  </si>
  <si>
    <t>17N624040339AC5</t>
  </si>
  <si>
    <t>17N624194450AC5</t>
  </si>
  <si>
    <t>17N624040347AC5</t>
  </si>
  <si>
    <t>17N624040355AC5</t>
  </si>
  <si>
    <t>17N624040363AC5</t>
  </si>
  <si>
    <t>Download : X539_eNagare_2026116.txt</t>
  </si>
  <si>
    <t>G/I/25-26/01642</t>
  </si>
  <si>
    <t>G/I/25-26/01643</t>
  </si>
  <si>
    <t>G/I/25-26/01644</t>
  </si>
  <si>
    <t>G/I/25-26/01645</t>
  </si>
  <si>
    <t>G/I/25-26/01646</t>
  </si>
  <si>
    <t>G/I/25-26/01647</t>
  </si>
  <si>
    <t>G/I/25-26/01648</t>
  </si>
  <si>
    <t>G/I/25-26/01649</t>
  </si>
  <si>
    <t>G/I/25-26/01650</t>
  </si>
  <si>
    <t>G/I/25-26/01651</t>
  </si>
  <si>
    <t>G/I/25-26/01652</t>
  </si>
  <si>
    <t>G/I/25-26/01653</t>
  </si>
  <si>
    <t>G/I/25-26/01654</t>
  </si>
  <si>
    <t>G/I/25-26/01655</t>
  </si>
  <si>
    <t>G/I/25-26/01656</t>
  </si>
  <si>
    <t>G/I/25-26/01657</t>
  </si>
  <si>
    <t>AR453294695AC3</t>
  </si>
  <si>
    <t>AR453294685AC3</t>
  </si>
  <si>
    <t>G/I/25-26/01658</t>
  </si>
  <si>
    <t>19N624863483AC5</t>
  </si>
  <si>
    <t>19N624909874AC5</t>
  </si>
  <si>
    <t>19N624863491AC5</t>
  </si>
  <si>
    <t>19N624863505AC5</t>
  </si>
  <si>
    <t>19N624863513AC5</t>
  </si>
  <si>
    <t>19N624863521AC5</t>
  </si>
  <si>
    <t>19N624909092AC5</t>
  </si>
  <si>
    <t>19N624863530AC5</t>
  </si>
  <si>
    <t>19N624863548AC5</t>
  </si>
  <si>
    <t>19N624863556AC5</t>
  </si>
  <si>
    <t>19N624863564AC5</t>
  </si>
  <si>
    <t>19N624906891AC5</t>
  </si>
  <si>
    <t>19N624863572AC5</t>
  </si>
  <si>
    <t>19N624863580AC5</t>
  </si>
  <si>
    <t>19N624863599AC5</t>
  </si>
  <si>
    <t>19N624863602AC5</t>
  </si>
  <si>
    <t>19N624906689AC5</t>
  </si>
  <si>
    <t>19N624863610AC5</t>
  </si>
  <si>
    <t>19N624863629AC5</t>
  </si>
  <si>
    <t>19N624863637AC5</t>
  </si>
  <si>
    <t>19N624863645AC5</t>
  </si>
  <si>
    <t>19N624901636AC5</t>
  </si>
  <si>
    <t>19N624863653AC5</t>
  </si>
  <si>
    <t>19N624863661AC5</t>
  </si>
  <si>
    <t>19N624863670AC5</t>
  </si>
  <si>
    <t>19N624863688AC5</t>
  </si>
  <si>
    <t>19N624904120AC5</t>
  </si>
  <si>
    <t>19N624863696AC5</t>
  </si>
  <si>
    <t>19N624863700AC5</t>
  </si>
  <si>
    <t>19N624863718AC5</t>
  </si>
  <si>
    <t>19N624863726AC5</t>
  </si>
  <si>
    <t>19N624901482AC5</t>
  </si>
  <si>
    <t>19N624863734AC5</t>
  </si>
  <si>
    <t>19N624863742AC5</t>
  </si>
  <si>
    <t>19N624863750AC5</t>
  </si>
  <si>
    <t>19N624863769AC5</t>
  </si>
  <si>
    <t>19N624906450AC5</t>
  </si>
  <si>
    <t>19N624863785AC5</t>
  </si>
  <si>
    <t>19N624863793AC5</t>
  </si>
  <si>
    <t>19N624863777AC5</t>
  </si>
  <si>
    <t>19N624863807AC5</t>
  </si>
  <si>
    <t>19N624901520AC5</t>
  </si>
  <si>
    <t>19N624863815AC5</t>
  </si>
  <si>
    <t>19N624863823AC5</t>
  </si>
  <si>
    <t>19N624863831AC5</t>
  </si>
  <si>
    <t>Download : X539_eNagare_2026117.txt</t>
  </si>
  <si>
    <t>G/I/25-26/01659</t>
  </si>
  <si>
    <t>G/I/25-26/01660</t>
  </si>
  <si>
    <t>G/I/25-26/01661</t>
  </si>
  <si>
    <t>G/I/25-26/01662</t>
  </si>
  <si>
    <t>G/I/25-26/01663</t>
  </si>
  <si>
    <t>G/I/25-26/01664</t>
  </si>
  <si>
    <t>G/I/25-26/01665</t>
  </si>
  <si>
    <t>G/I/25-26/01666</t>
  </si>
  <si>
    <t>G/I/25-26/01667</t>
  </si>
  <si>
    <t>G/I/25-26/01668</t>
  </si>
  <si>
    <t>G/I/25-26/01669</t>
  </si>
  <si>
    <t>20N625589903AC5</t>
  </si>
  <si>
    <t>20N625589911AC5</t>
  </si>
  <si>
    <t>20N625589920AC5</t>
  </si>
  <si>
    <t>20N625589938AC5</t>
  </si>
  <si>
    <t>20N625589946AC5</t>
  </si>
  <si>
    <t>20N625589954AC5</t>
  </si>
  <si>
    <t>20N625589962AC5</t>
  </si>
  <si>
    <t>20N625589970AC5</t>
  </si>
  <si>
    <t>20N625589989AC5</t>
  </si>
  <si>
    <t>20N625589997AC5</t>
  </si>
  <si>
    <t>20N625590006AC5</t>
  </si>
  <si>
    <t>20N625590014AC5</t>
  </si>
  <si>
    <t>20N625590022AC5</t>
  </si>
  <si>
    <t>20N625646478AC5</t>
  </si>
  <si>
    <t>20N625590030AC5</t>
  </si>
  <si>
    <t>20N625590049AC5</t>
  </si>
  <si>
    <t>20N625590057AC5</t>
  </si>
  <si>
    <t>20N625590065AC5</t>
  </si>
  <si>
    <t>20N625642367AC5</t>
  </si>
  <si>
    <t>20N625590073AC5</t>
  </si>
  <si>
    <t>20N625590081AC5</t>
  </si>
  <si>
    <t>20N625590090AC5</t>
  </si>
  <si>
    <t>20N625590103AC5</t>
  </si>
  <si>
    <t>20N625647415AC5</t>
  </si>
  <si>
    <t>20N625590111AC5</t>
  </si>
  <si>
    <t>20N625590120AC5</t>
  </si>
  <si>
    <t>20N625590138AC5</t>
  </si>
  <si>
    <t>20N625590146AC5</t>
  </si>
  <si>
    <t>20N625649442AC5</t>
  </si>
  <si>
    <t>20N625590154AC5</t>
  </si>
  <si>
    <t>20N625590162AC5</t>
  </si>
  <si>
    <t>20N625590170AC5</t>
  </si>
  <si>
    <t>20N625590189AC5</t>
  </si>
  <si>
    <t>20N625642430AC5</t>
  </si>
  <si>
    <t>20N625590219AC5</t>
  </si>
  <si>
    <t>20N625590200AC5</t>
  </si>
  <si>
    <t>20N625590197AC5</t>
  </si>
  <si>
    <t>20N625590227AC5</t>
  </si>
  <si>
    <t>20N625642081AC5</t>
  </si>
  <si>
    <t>20N625590235AC5</t>
  </si>
  <si>
    <t>20N625590243AC5</t>
  </si>
  <si>
    <t>20N625590251AC5</t>
  </si>
  <si>
    <t>Download : X539_eNagare_2026119.txt</t>
  </si>
  <si>
    <t>G/I/25-26/01670</t>
  </si>
  <si>
    <t>G/I/25-26/01671</t>
  </si>
  <si>
    <t>G/I/25-26/01672</t>
  </si>
  <si>
    <t>G/I/25-26/01673</t>
  </si>
  <si>
    <t>G/I/25-26/01674</t>
  </si>
  <si>
    <t>G/I/25-26/01675</t>
  </si>
  <si>
    <t>G/I/25-26/01676</t>
  </si>
  <si>
    <t>G/I/25-26/01677</t>
  </si>
  <si>
    <t>G/I/25-26/01678</t>
  </si>
  <si>
    <t>G/I/25-26/01679</t>
  </si>
  <si>
    <t>G/I/25-26/01680</t>
  </si>
  <si>
    <t>G/I/25-26/01681</t>
  </si>
  <si>
    <t>G/I/25-26/01682</t>
  </si>
  <si>
    <t>G/I/25-26/01683</t>
  </si>
  <si>
    <t>55401M58U00-999</t>
  </si>
  <si>
    <t>A26453823279</t>
  </si>
  <si>
    <t>55402M58U00-999</t>
  </si>
  <si>
    <t>A26453823289</t>
  </si>
  <si>
    <t>55810M58U10</t>
  </si>
  <si>
    <t>A26453823299</t>
  </si>
  <si>
    <t>55910M58U00</t>
  </si>
  <si>
    <t>A26453823309</t>
  </si>
  <si>
    <t>Download : X5392026119Spares.txt</t>
  </si>
  <si>
    <t>AN0250011438-42 Qty / AN0250011367 -12 Qty</t>
  </si>
  <si>
    <t>AN0250011438-36 Qty / AN0250011367 -18 Qty</t>
  </si>
  <si>
    <t>12506Q100055-15 Qty / 12505Q100174-81 Qty.</t>
  </si>
  <si>
    <t>AN0250011438-47 Qty /AN0250011439-7 Qty.</t>
  </si>
  <si>
    <t>AN0250011367-43 Qty /AN0250011439-11 Qty.</t>
  </si>
  <si>
    <t>910105502-8 Qty / 910105765-40 Qty / 910105503-48 Qty</t>
  </si>
  <si>
    <t>AN0250011439</t>
  </si>
  <si>
    <t>12505Q100114 -56 Qty / 12507Q100188-12 Qty.</t>
  </si>
  <si>
    <t>12505Q100125-11 Qty / 12505Q100152-46 Qty.</t>
  </si>
  <si>
    <t xml:space="preserve"> 12505Q100152</t>
  </si>
  <si>
    <t>12505Q100022</t>
  </si>
  <si>
    <t>12507Q100188</t>
  </si>
  <si>
    <t>12505Q100022-35 Qty /12507Q100188-9 Qty.</t>
  </si>
  <si>
    <t>12505Q100022-02 Qty /12505Q100125-39 Qty.</t>
  </si>
  <si>
    <t>910105765-40 Qty /910106059-80 Qty.</t>
  </si>
  <si>
    <t>12505Q100174 -9 Qty / 12506Q100031 -51 Qty.</t>
  </si>
  <si>
    <t>G/I/25-26/01684</t>
  </si>
  <si>
    <t>GJ02BT2390</t>
  </si>
  <si>
    <t>21N626341883AC5</t>
  </si>
  <si>
    <t>21N626392887AC5</t>
  </si>
  <si>
    <t>21N626341891AC5</t>
  </si>
  <si>
    <t>21N626341905AC5</t>
  </si>
  <si>
    <t>21N626341913AC5</t>
  </si>
  <si>
    <t>21N626341921AC5</t>
  </si>
  <si>
    <t>21N626395509AC5</t>
  </si>
  <si>
    <t>21N626341930AC5</t>
  </si>
  <si>
    <t>21N626341948AC5</t>
  </si>
  <si>
    <t>21N626341956AC5</t>
  </si>
  <si>
    <t>21N626341964AC5</t>
  </si>
  <si>
    <t>21N626391937AC5</t>
  </si>
  <si>
    <t>21N626341972AC5</t>
  </si>
  <si>
    <t>21N626341980AC5</t>
  </si>
  <si>
    <t>21N626341999AC5</t>
  </si>
  <si>
    <t>21N626342006AC5</t>
  </si>
  <si>
    <t>21N626394693AC5</t>
  </si>
  <si>
    <t>21N626342014AC5</t>
  </si>
  <si>
    <t>21N626342022AC5</t>
  </si>
  <si>
    <t>21N626342030AC5</t>
  </si>
  <si>
    <t>21N626342049AC5</t>
  </si>
  <si>
    <t>21N626385937AC5</t>
  </si>
  <si>
    <t>21N626342057AC5</t>
  </si>
  <si>
    <t>21N626342065AC5</t>
  </si>
  <si>
    <t>21N626342073AC5</t>
  </si>
  <si>
    <t>21N626342081AC5</t>
  </si>
  <si>
    <t>21N626394251AC5</t>
  </si>
  <si>
    <t>21N626342090AC5</t>
  </si>
  <si>
    <t>21N626342103AC5</t>
  </si>
  <si>
    <t>21N626342111AC5</t>
  </si>
  <si>
    <t>21N626342120AC5</t>
  </si>
  <si>
    <t>21N626385171AC5</t>
  </si>
  <si>
    <t>21N626342138AC5</t>
  </si>
  <si>
    <t>21N626342146AC5</t>
  </si>
  <si>
    <t>21N626342154AC5</t>
  </si>
  <si>
    <t>21N626342162AC5</t>
  </si>
  <si>
    <t>21N626389959AC5</t>
  </si>
  <si>
    <t>21N626344610AC5</t>
  </si>
  <si>
    <t>21N626342170AC5</t>
  </si>
  <si>
    <t>21N626344629AC5</t>
  </si>
  <si>
    <t>21N626344637AC5</t>
  </si>
  <si>
    <t>21N626396475AC5</t>
  </si>
  <si>
    <t>21N626344645AC5</t>
  </si>
  <si>
    <t>21N626344653AC5</t>
  </si>
  <si>
    <t>21N626344661AC5</t>
  </si>
  <si>
    <t>G/I/25-26/01686</t>
  </si>
  <si>
    <t>G/I/25-26/01687</t>
  </si>
  <si>
    <t>G/I/25-26/01688</t>
  </si>
  <si>
    <t>G/I/25-26/01689</t>
  </si>
  <si>
    <t>G/I/25-26/01690</t>
  </si>
  <si>
    <t>G/I/25-26/01691</t>
  </si>
  <si>
    <t>G/I/25-26/01692</t>
  </si>
  <si>
    <t>G/I/25-26/01693</t>
  </si>
  <si>
    <t>G/I/25-26/01694</t>
  </si>
  <si>
    <t>G/I/25-26/01695</t>
  </si>
  <si>
    <t>G/I/25-26/01696</t>
  </si>
  <si>
    <t>G/I/25-26/01697</t>
  </si>
  <si>
    <t>22N627067556AC5</t>
  </si>
  <si>
    <t>22N627136078AC5</t>
  </si>
  <si>
    <t>22N627067564AC5</t>
  </si>
  <si>
    <t>22N627067572AC5</t>
  </si>
  <si>
    <t>22N627067580AC5</t>
  </si>
  <si>
    <t>22N627067599AC5</t>
  </si>
  <si>
    <t>22N627133036AC5</t>
  </si>
  <si>
    <t>22N627067602AC5</t>
  </si>
  <si>
    <t>22N627067610AC5</t>
  </si>
  <si>
    <t>22N627067629AC5</t>
  </si>
  <si>
    <t>22N627067637AC5</t>
  </si>
  <si>
    <t>22N627129233AC5</t>
  </si>
  <si>
    <t>22N627067645AC5</t>
  </si>
  <si>
    <t>22N627067653AC5</t>
  </si>
  <si>
    <t>22N627067661AC5</t>
  </si>
  <si>
    <t>22N627067670AC5</t>
  </si>
  <si>
    <t>22N627131025AC5</t>
  </si>
  <si>
    <t>22N627067688AC5</t>
  </si>
  <si>
    <t>22N627067696AC5</t>
  </si>
  <si>
    <t>22N627071650AC5</t>
  </si>
  <si>
    <t>22N627071669AC5</t>
  </si>
  <si>
    <t>22N627136370AC5</t>
  </si>
  <si>
    <t>22N627071677AC5</t>
  </si>
  <si>
    <t>22N627071685AC5</t>
  </si>
  <si>
    <t>22N627071693AC5</t>
  </si>
  <si>
    <t>22N627071707AC5</t>
  </si>
  <si>
    <t>22N627139000AC5</t>
  </si>
  <si>
    <t>22N627071715AC5</t>
  </si>
  <si>
    <t>22N627071723AC5</t>
  </si>
  <si>
    <t>22N627071731AC5</t>
  </si>
  <si>
    <t>22N627071740AC5</t>
  </si>
  <si>
    <t>22N627136159AC5</t>
  </si>
  <si>
    <t>22N627071758AC5</t>
  </si>
  <si>
    <t>22N627071766AC5</t>
  </si>
  <si>
    <t>22N627071774AC5</t>
  </si>
  <si>
    <t>22N627071782AC5</t>
  </si>
  <si>
    <t>22N627133532AC5</t>
  </si>
  <si>
    <t>22N627071812AC5</t>
  </si>
  <si>
    <t>22N627071790AC5</t>
  </si>
  <si>
    <t>22N627071804AC5</t>
  </si>
  <si>
    <t>22N627071820AC5</t>
  </si>
  <si>
    <t>22N627139271AC5</t>
  </si>
  <si>
    <t>22N627071839AC5</t>
  </si>
  <si>
    <t>22N627071847AC5</t>
  </si>
  <si>
    <t>22N627071855AC5</t>
  </si>
  <si>
    <t>G/I/25-26/01698</t>
  </si>
  <si>
    <t>G/I/25-26/01699</t>
  </si>
  <si>
    <t>G/I/25-26/01700</t>
  </si>
  <si>
    <t>G/I/25-26/01701</t>
  </si>
  <si>
    <t>G/I/25-26/01702</t>
  </si>
  <si>
    <t>G/I/25-26/01703</t>
  </si>
  <si>
    <t>G/I/25-26/01704</t>
  </si>
  <si>
    <t>G/I/25-26/01705</t>
  </si>
  <si>
    <t>G/I/25-26/01706</t>
  </si>
  <si>
    <t>G/I/25-26/01707</t>
  </si>
  <si>
    <t>G/I/25-26/01708</t>
  </si>
  <si>
    <t>G/I/25-26/01709</t>
  </si>
  <si>
    <t>G/I/25-26/01710</t>
  </si>
  <si>
    <t>23N627819914AC5</t>
  </si>
  <si>
    <t>23N627837475AC5</t>
  </si>
  <si>
    <t>23N627819922AC5</t>
  </si>
  <si>
    <t>23N627819930AC5</t>
  </si>
  <si>
    <t>23N627819949AC5</t>
  </si>
  <si>
    <t>23N627819957AC5</t>
  </si>
  <si>
    <t>23N627838196AC5</t>
  </si>
  <si>
    <t>23N627819965AC5</t>
  </si>
  <si>
    <t>23N627819973AC5</t>
  </si>
  <si>
    <t>23N627819981AC5</t>
  </si>
  <si>
    <t>23N627819990AC5</t>
  </si>
  <si>
    <t>23N627834344AC5</t>
  </si>
  <si>
    <t>23N627820009AC5</t>
  </si>
  <si>
    <t>23N627820017AC5</t>
  </si>
  <si>
    <t>23N627820025AC5</t>
  </si>
  <si>
    <t>23N627820033AC5</t>
  </si>
  <si>
    <t>23N627845656AC5</t>
  </si>
  <si>
    <t>23N627820041AC5</t>
  </si>
  <si>
    <t>23N627823431AC5</t>
  </si>
  <si>
    <t>23N627823440AC5</t>
  </si>
  <si>
    <t>23N627823458AC5</t>
  </si>
  <si>
    <t>23N627848019AC5</t>
  </si>
  <si>
    <t>23N627823466AC5</t>
  </si>
  <si>
    <t>23N627823474AC5</t>
  </si>
  <si>
    <t>23N627823482AC5</t>
  </si>
  <si>
    <t>23N627823490AC5</t>
  </si>
  <si>
    <t>23N627839613AC5</t>
  </si>
  <si>
    <t>23N627823504AC5</t>
  </si>
  <si>
    <t>23N627823512AC5</t>
  </si>
  <si>
    <t>23N627823520AC5</t>
  </si>
  <si>
    <t>23N627823539AC5</t>
  </si>
  <si>
    <t>23N627837718AC5</t>
  </si>
  <si>
    <t>23N627823547AC5</t>
  </si>
  <si>
    <t>23N627823555AC5</t>
  </si>
  <si>
    <t>23N627823563AC5</t>
  </si>
  <si>
    <t>23N627823571AC5</t>
  </si>
  <si>
    <t>23N627832465AC5</t>
  </si>
  <si>
    <t>23N627823580AC5</t>
  </si>
  <si>
    <t>23N627823598AC5</t>
  </si>
  <si>
    <t>23N627823601AC5</t>
  </si>
  <si>
    <t>23N627823610AC5</t>
  </si>
  <si>
    <t>23N627846326AC5</t>
  </si>
  <si>
    <t>23N627823628AC5</t>
  </si>
  <si>
    <t>23N627823636AC5</t>
  </si>
  <si>
    <t>23N627823644AC5</t>
  </si>
  <si>
    <t>G/I/25-26/01711</t>
  </si>
  <si>
    <t>G/I/25-26/01712</t>
  </si>
  <si>
    <t>G/I/25-26/01713</t>
  </si>
  <si>
    <t>G/I/25-26/01714</t>
  </si>
  <si>
    <t>G/I/25-26/01715</t>
  </si>
  <si>
    <t>G/I/25-26/01716</t>
  </si>
  <si>
    <t>G/I/25-26/01717</t>
  </si>
  <si>
    <t>G/I/25-26/01718</t>
  </si>
  <si>
    <t>G/I/25-26/01719</t>
  </si>
  <si>
    <t>G/I/25-26/01720</t>
  </si>
  <si>
    <t>G/I/25-26/01721</t>
  </si>
  <si>
    <t>G/I/25-26/01722</t>
  </si>
  <si>
    <t>G/I/25-26/01723</t>
  </si>
  <si>
    <t>24N628534107AC5</t>
  </si>
  <si>
    <t>24N628569148AC5</t>
  </si>
  <si>
    <t>24N628534115AC5</t>
  </si>
  <si>
    <t>24N628534123AC5</t>
  </si>
  <si>
    <t>24N628534131AC5</t>
  </si>
  <si>
    <t>24N628556836AC5</t>
  </si>
  <si>
    <t>24N628534140AC5</t>
  </si>
  <si>
    <t>24N628534158AC5</t>
  </si>
  <si>
    <t>24N628534166AC5</t>
  </si>
  <si>
    <t>24N628558871AC5</t>
  </si>
  <si>
    <t>24N628534174AC5</t>
  </si>
  <si>
    <t>24N628534182AC5</t>
  </si>
  <si>
    <t>24N628534190AC5</t>
  </si>
  <si>
    <t>24N628534204AC5</t>
  </si>
  <si>
    <t>24N628566408AC5</t>
  </si>
  <si>
    <t>24N628534212AC5</t>
  </si>
  <si>
    <t>24N628534220AC5</t>
  </si>
  <si>
    <t>24N628534239AC5</t>
  </si>
  <si>
    <t>24N628534247AC5</t>
  </si>
  <si>
    <t>24N628560523AC5</t>
  </si>
  <si>
    <t>24N628534255AC5</t>
  </si>
  <si>
    <t>24N628534263AC5</t>
  </si>
  <si>
    <t>24N628534271AC5</t>
  </si>
  <si>
    <t>24N628534280AC5</t>
  </si>
  <si>
    <t>24N628573536AC5</t>
  </si>
  <si>
    <t>24N628534298AC5</t>
  </si>
  <si>
    <t>24N628534301AC5</t>
  </si>
  <si>
    <t>24N628534310AC5</t>
  </si>
  <si>
    <t>24N628538234AC5</t>
  </si>
  <si>
    <t>24N628564243AC5</t>
  </si>
  <si>
    <t>24N628538242AC5</t>
  </si>
  <si>
    <t>24N628538250AC5</t>
  </si>
  <si>
    <t>24N628538269AC5</t>
  </si>
  <si>
    <t>24N628538277AC5</t>
  </si>
  <si>
    <t>24N628566831AC5</t>
  </si>
  <si>
    <t>24N628538285AC5</t>
  </si>
  <si>
    <t>24N628538293AC5</t>
  </si>
  <si>
    <t>24N628538307AC5</t>
  </si>
  <si>
    <t>24N628538315AC5</t>
  </si>
  <si>
    <t>24N628562470AC5</t>
  </si>
  <si>
    <t>24N628538323AC5</t>
  </si>
  <si>
    <t>24N628538331AC5</t>
  </si>
  <si>
    <t>24N628538340AC5</t>
  </si>
  <si>
    <t>G/I/25-26/01724</t>
  </si>
  <si>
    <t>G/I/25-26/01725</t>
  </si>
  <si>
    <t>G/I/25-26/01726</t>
  </si>
  <si>
    <t>G/I/25-26/01727</t>
  </si>
  <si>
    <t>G/I/25-26/01728</t>
  </si>
  <si>
    <t>G/I/25-26/01729</t>
  </si>
  <si>
    <t>G/I/25-26/01730</t>
  </si>
  <si>
    <t>G/I/25-26/01731</t>
  </si>
  <si>
    <t>G/I/25-26/01732</t>
  </si>
  <si>
    <t>G/I/25-26/01733</t>
  </si>
  <si>
    <t>G/I/25-26/01734</t>
  </si>
  <si>
    <t>G/I/25-26/01735</t>
  </si>
  <si>
    <t>G/I/25-26/01736</t>
  </si>
  <si>
    <t>G/I/25-26/01737</t>
  </si>
  <si>
    <t>25N629248060AC5</t>
  </si>
  <si>
    <t>25N629281970AC5</t>
  </si>
  <si>
    <t>25N629248078AC5</t>
  </si>
  <si>
    <t>25N629248086AC5</t>
  </si>
  <si>
    <t>25N629248094AC5</t>
  </si>
  <si>
    <t>25N629248108AC5</t>
  </si>
  <si>
    <t>25N629248116AC5</t>
  </si>
  <si>
    <t>25N629248124AC5</t>
  </si>
  <si>
    <t>26N629248132AC5</t>
  </si>
  <si>
    <t>26N629248140AC5</t>
  </si>
  <si>
    <t>25N629248159AC5</t>
  </si>
  <si>
    <t>25N629283604AC5</t>
  </si>
  <si>
    <t>25N629248167AC5</t>
  </si>
  <si>
    <t>25N629248175AC5</t>
  </si>
  <si>
    <t>25N629248183AC5</t>
  </si>
  <si>
    <t>25N629248191AC5</t>
  </si>
  <si>
    <t>25N629248205AC5</t>
  </si>
  <si>
    <t>25N629248213AC5</t>
  </si>
  <si>
    <t>26N629248221AC5</t>
  </si>
  <si>
    <t>26N629248230AC5</t>
  </si>
  <si>
    <t>25N629248248AC5</t>
  </si>
  <si>
    <t>25N629285615AC5</t>
  </si>
  <si>
    <t>25N629248256AC5</t>
  </si>
  <si>
    <t>25N629248264AC5</t>
  </si>
  <si>
    <t>25N629248272AC5</t>
  </si>
  <si>
    <t>25N629248280AC5</t>
  </si>
  <si>
    <t>25N629248299AC5</t>
  </si>
  <si>
    <t>25N629248302AC5</t>
  </si>
  <si>
    <t>26N629248310AC5</t>
  </si>
  <si>
    <t>26N629248329AC5</t>
  </si>
  <si>
    <t>25N629248337AC5</t>
  </si>
  <si>
    <t>25N629282969AC5</t>
  </si>
  <si>
    <t>25N629248345AC5</t>
  </si>
  <si>
    <t>25N629248353AC5</t>
  </si>
  <si>
    <t>25N629248361AC5</t>
  </si>
  <si>
    <t>25N629248370AC5</t>
  </si>
  <si>
    <t>25N629248388AC5</t>
  </si>
  <si>
    <t>25N629248396AC5</t>
  </si>
  <si>
    <t>26N629248400AC5</t>
  </si>
  <si>
    <t>26N629248418AC5</t>
  </si>
  <si>
    <t>25N629248426AC5</t>
  </si>
  <si>
    <t>25N629282730AC5</t>
  </si>
  <si>
    <t>25N629253110AC5</t>
  </si>
  <si>
    <t>25N629253128AC5</t>
  </si>
  <si>
    <t>25N629253136AC5</t>
  </si>
  <si>
    <t>25N629253144AC5</t>
  </si>
  <si>
    <t>25N629253152AC5</t>
  </si>
  <si>
    <t>25N629253160AC5</t>
  </si>
  <si>
    <t>26N629253179AC5</t>
  </si>
  <si>
    <t>26N629253187AC5</t>
  </si>
  <si>
    <t>25N629253195AC5</t>
  </si>
  <si>
    <t>25N629292697AC5</t>
  </si>
  <si>
    <t>25N629253209AC5</t>
  </si>
  <si>
    <t>25N629253217AC5</t>
  </si>
  <si>
    <t>25N629253225AC5</t>
  </si>
  <si>
    <t>25N629253233AC5</t>
  </si>
  <si>
    <t>25N629253241AC5</t>
  </si>
  <si>
    <t>25N629253250AC5</t>
  </si>
  <si>
    <t>26N629253268AC5</t>
  </si>
  <si>
    <t>26N629253276AC5</t>
  </si>
  <si>
    <t>25N629253284AC5</t>
  </si>
  <si>
    <t>25N629291470AC5</t>
  </si>
  <si>
    <t>25N629253292AC5</t>
  </si>
  <si>
    <t>25N629253306AC5</t>
  </si>
  <si>
    <t>25N629253314AC5</t>
  </si>
  <si>
    <t>25N629253322AC5</t>
  </si>
  <si>
    <t>25N629253330AC5</t>
  </si>
  <si>
    <t>25N629253349AC5</t>
  </si>
  <si>
    <t>26N629253357AC5</t>
  </si>
  <si>
    <t>26N629253365AC5</t>
  </si>
  <si>
    <t>25N629253373AC5</t>
  </si>
  <si>
    <t>25N629286930AC5</t>
  </si>
  <si>
    <t>25N629253381AC5</t>
  </si>
  <si>
    <t>25N629253390AC5</t>
  </si>
  <si>
    <t>25N629253403AC5</t>
  </si>
  <si>
    <t>25N629253411AC5</t>
  </si>
  <si>
    <t>25N629253420AC5</t>
  </si>
  <si>
    <t>25N629253438AC5</t>
  </si>
  <si>
    <t>26N629253446AC5</t>
  </si>
  <si>
    <t>25N629253454AC5</t>
  </si>
  <si>
    <t>25N629284414AC5</t>
  </si>
  <si>
    <t>25N629253462AC5</t>
  </si>
  <si>
    <t>25N629253470AC5</t>
  </si>
  <si>
    <t>25N629253489AC5</t>
  </si>
  <si>
    <t>25N629253497AC5</t>
  </si>
  <si>
    <t>25N629253500AC5</t>
  </si>
  <si>
    <t>25N629253519AC5</t>
  </si>
  <si>
    <t>26N629253527AC5</t>
  </si>
  <si>
    <t>26N629253535AC5</t>
  </si>
  <si>
    <t>G/I/25-26/01738</t>
  </si>
  <si>
    <t>G/I/25-26/01739</t>
  </si>
  <si>
    <t>G/I/25-26/01740</t>
  </si>
  <si>
    <t>G/I/25-26/01741</t>
  </si>
  <si>
    <t>G/I/25-26/01742</t>
  </si>
  <si>
    <t>G/I/25-26/01743</t>
  </si>
  <si>
    <t>G/I/25-26/01744</t>
  </si>
  <si>
    <t>G/I/25-26/01745</t>
  </si>
  <si>
    <t>G/I/25-26/01746</t>
  </si>
  <si>
    <t>G/I/25-26/01747</t>
  </si>
  <si>
    <t>G/I/25-26/01750</t>
  </si>
  <si>
    <t>G/I/25-26/01751</t>
  </si>
  <si>
    <t>G/I/25-26/01752</t>
  </si>
  <si>
    <t>G/I/25-26/01753</t>
  </si>
  <si>
    <t>G/I/25-26/01754</t>
  </si>
  <si>
    <t>G/I/25-26/01755</t>
  </si>
  <si>
    <t>G/I/25-26/01756</t>
  </si>
  <si>
    <t>G/I/25-26/01757</t>
  </si>
  <si>
    <t>G/I/25-26/01758</t>
  </si>
  <si>
    <t>G/I/25-26/01759</t>
  </si>
  <si>
    <t>27N629963745AC5</t>
  </si>
  <si>
    <t>27N630035783AC5</t>
  </si>
  <si>
    <t>27N629963753AC5</t>
  </si>
  <si>
    <t>27N629963761AC5</t>
  </si>
  <si>
    <t>27N629963770AC5</t>
  </si>
  <si>
    <t>27N629963788AC5</t>
  </si>
  <si>
    <t>27N629963796AC5</t>
  </si>
  <si>
    <t>27N629963800AC5</t>
  </si>
  <si>
    <t>28N629963818AC5</t>
  </si>
  <si>
    <t>28N629963826AC5</t>
  </si>
  <si>
    <t>27N629963834AC5</t>
  </si>
  <si>
    <t>27N630038685AC5</t>
  </si>
  <si>
    <t>27N629963842AC5</t>
  </si>
  <si>
    <t>27N629963850AC5</t>
  </si>
  <si>
    <t>27N629963869AC5</t>
  </si>
  <si>
    <t>27N629963877AC5</t>
  </si>
  <si>
    <t>27N629963885AC5</t>
  </si>
  <si>
    <t>27N629963893AC5</t>
  </si>
  <si>
    <t>28N629963907AC5</t>
  </si>
  <si>
    <t>28N629963915AC5</t>
  </si>
  <si>
    <t>27N629963923AC5</t>
  </si>
  <si>
    <t>27N630038189AC5</t>
  </si>
  <si>
    <t>27N629963931AC5</t>
  </si>
  <si>
    <t>27N629963940AC5</t>
  </si>
  <si>
    <t>27N629963958AC5</t>
  </si>
  <si>
    <t>27N629963966AC5</t>
  </si>
  <si>
    <t>27N629963974AC5</t>
  </si>
  <si>
    <t>27N629963982AC5</t>
  </si>
  <si>
    <t>28N629963990AC5</t>
  </si>
  <si>
    <t>28N629964008AC5</t>
  </si>
  <si>
    <t>27N629964016AC5</t>
  </si>
  <si>
    <t>27N630037913AC5</t>
  </si>
  <si>
    <t>27N629964024AC5</t>
  </si>
  <si>
    <t>27N629964032AC5</t>
  </si>
  <si>
    <t>27N629964040AC5</t>
  </si>
  <si>
    <t>27N629964059AC5</t>
  </si>
  <si>
    <t>27N629964067AC5</t>
  </si>
  <si>
    <t>27N629964075AC5</t>
  </si>
  <si>
    <t>28N629964083AC5</t>
  </si>
  <si>
    <t>28N629964091AC5</t>
  </si>
  <si>
    <t>27N629964105AC5</t>
  </si>
  <si>
    <t>27N630036216AC5</t>
  </si>
  <si>
    <t>27N629964113AC5</t>
  </si>
  <si>
    <t>27N629964121AC5</t>
  </si>
  <si>
    <t>27N629964130AC5</t>
  </si>
  <si>
    <t>27N629964148AC5</t>
  </si>
  <si>
    <t>27N629964156AC5</t>
  </si>
  <si>
    <t>27N629974208AC5</t>
  </si>
  <si>
    <t>28N629974216AC5</t>
  </si>
  <si>
    <t>28N629974224AC5</t>
  </si>
  <si>
    <t>27N629974232AC5</t>
  </si>
  <si>
    <t>27N630036003AC5</t>
  </si>
  <si>
    <t>27N629974240AC5</t>
  </si>
  <si>
    <t>27N629974259AC5</t>
  </si>
  <si>
    <t>27N629974267AC5</t>
  </si>
  <si>
    <t>27N629974275AC5</t>
  </si>
  <si>
    <t>27N629974283AC5</t>
  </si>
  <si>
    <t>27N629974291AC5</t>
  </si>
  <si>
    <t>28N629974305AC5</t>
  </si>
  <si>
    <t>28N629974313AC5</t>
  </si>
  <si>
    <t>27N629974321AC5</t>
  </si>
  <si>
    <t>27N630036607AC5</t>
  </si>
  <si>
    <t>27N629974330AC5</t>
  </si>
  <si>
    <t>27N629974348AC5</t>
  </si>
  <si>
    <t>27N629974356AC5</t>
  </si>
  <si>
    <t>27N629974364AC5</t>
  </si>
  <si>
    <t>27N629974372AC5</t>
  </si>
  <si>
    <t>27N629974380AC5</t>
  </si>
  <si>
    <t>28N629974399AC5</t>
  </si>
  <si>
    <t>28N629974402AC5</t>
  </si>
  <si>
    <t>27N629974410AC5</t>
  </si>
  <si>
    <t>27N630039150AC5</t>
  </si>
  <si>
    <t>27N629974429AC5</t>
  </si>
  <si>
    <t>27N629974437AC5</t>
  </si>
  <si>
    <t>27N629974445AC5</t>
  </si>
  <si>
    <t>27N629974453AC5</t>
  </si>
  <si>
    <t>27N629974461AC5</t>
  </si>
  <si>
    <t>27N629974470AC5</t>
  </si>
  <si>
    <t>28N629974488AC5</t>
  </si>
  <si>
    <t>28N629974496AC5</t>
  </si>
  <si>
    <t>27N629974500AC5</t>
  </si>
  <si>
    <t>27N630038421AC5</t>
  </si>
  <si>
    <t>27N629974518AC5</t>
  </si>
  <si>
    <t>27N629974526AC5</t>
  </si>
  <si>
    <t>27N629974534AC5</t>
  </si>
  <si>
    <t>27N629974542AC5</t>
  </si>
  <si>
    <t>27N629974550AC5</t>
  </si>
  <si>
    <t>27N629974569AC5</t>
  </si>
  <si>
    <t>28N629974577AC5</t>
  </si>
  <si>
    <t>28N629974585AC5</t>
  </si>
  <si>
    <t>G/I/25-26/01748</t>
  </si>
  <si>
    <t>G/I/25-26/01749</t>
  </si>
  <si>
    <t>G/I/25-26/01760</t>
  </si>
  <si>
    <t>G/I/25-26/01761</t>
  </si>
  <si>
    <t>G/I/25-26/01762</t>
  </si>
  <si>
    <t>G/I/25-26/01763</t>
  </si>
  <si>
    <t>G/I/25-26/01764</t>
  </si>
  <si>
    <t>G/I/25-26/01765</t>
  </si>
  <si>
    <t>G/I/25-26/01766</t>
  </si>
  <si>
    <t>G/I/25-26/01767</t>
  </si>
  <si>
    <t>G/I/25-26/01768</t>
  </si>
  <si>
    <t>55101M58U10-999</t>
  </si>
  <si>
    <t>A26454294799</t>
  </si>
  <si>
    <t>55102M58U10-999</t>
  </si>
  <si>
    <t>A26454294809</t>
  </si>
  <si>
    <t>A26454294729</t>
  </si>
  <si>
    <t>A26454294759</t>
  </si>
  <si>
    <t>A26454294769</t>
  </si>
  <si>
    <t>A26454294739</t>
  </si>
  <si>
    <t>55810M58U20</t>
  </si>
  <si>
    <t>A26454294709</t>
  </si>
  <si>
    <t>A26454294819</t>
  </si>
  <si>
    <t>A26454294749</t>
  </si>
  <si>
    <t>A26454294779</t>
  </si>
  <si>
    <t>A26454294789</t>
  </si>
  <si>
    <t>Download : X5392026127Spares.txt</t>
  </si>
  <si>
    <t>AR454403059AC5</t>
  </si>
  <si>
    <t>AR454403069AC5</t>
  </si>
  <si>
    <t>AR454403079AC5</t>
  </si>
  <si>
    <t>AR454403089AC5</t>
  </si>
  <si>
    <t>BOX</t>
  </si>
  <si>
    <t>G/I/25-26/01778</t>
  </si>
  <si>
    <t>G/I/25-26/01769</t>
  </si>
  <si>
    <t>G/I/25-26/01770</t>
  </si>
  <si>
    <t>G/I/25-26/01771</t>
  </si>
  <si>
    <t>G/I/25-26/01772</t>
  </si>
  <si>
    <t>G/I/25-26/01773</t>
  </si>
  <si>
    <t>G/I/25-26/01774</t>
  </si>
  <si>
    <t>G/I/25-26/01775</t>
  </si>
  <si>
    <t>G/I/25-26/01776</t>
  </si>
  <si>
    <t>G/I/25-26/01777</t>
  </si>
  <si>
    <t>28N630664896AC5</t>
  </si>
  <si>
    <t>28N630758254AC5</t>
  </si>
  <si>
    <t>28N630664900AC5</t>
  </si>
  <si>
    <t>28N630664918AC5</t>
  </si>
  <si>
    <t>28N630664926AC5</t>
  </si>
  <si>
    <t>28N630664934AC5</t>
  </si>
  <si>
    <t>28N630664942AC5</t>
  </si>
  <si>
    <t>28N630664950AC5</t>
  </si>
  <si>
    <t>29N630664969AC5</t>
  </si>
  <si>
    <t>29N630664977AC5</t>
  </si>
  <si>
    <t>28N630664985AC5</t>
  </si>
  <si>
    <t>28N630769027AC5</t>
  </si>
  <si>
    <t>28N630664993AC5</t>
  </si>
  <si>
    <t>28N630665000AC5</t>
  </si>
  <si>
    <t>28N630665019AC5</t>
  </si>
  <si>
    <t>28N630665027AC5</t>
  </si>
  <si>
    <t>28N630665035AC5</t>
  </si>
  <si>
    <t>28N630665043AC5</t>
  </si>
  <si>
    <t>29N630665051AC5</t>
  </si>
  <si>
    <t>29N630665060AC5</t>
  </si>
  <si>
    <t>28N630665078AC5</t>
  </si>
  <si>
    <t>28N630763045AC5</t>
  </si>
  <si>
    <t>28N630665086AC5</t>
  </si>
  <si>
    <t>28N630665094AC5</t>
  </si>
  <si>
    <t>28N630665108AC5</t>
  </si>
  <si>
    <t>28N630665116AC5</t>
  </si>
  <si>
    <t>28N630665124AC5</t>
  </si>
  <si>
    <t>28N630665132AC5</t>
  </si>
  <si>
    <t>29N630665140AC5</t>
  </si>
  <si>
    <t>29N630665159AC5</t>
  </si>
  <si>
    <t>28N630765200AC5</t>
  </si>
  <si>
    <t>28N630665167AC5</t>
  </si>
  <si>
    <t>28N630665175AC5</t>
  </si>
  <si>
    <t>28N630665183AC5</t>
  </si>
  <si>
    <t>28N630665191AC5</t>
  </si>
  <si>
    <t>28N630665205AC5</t>
  </si>
  <si>
    <t>28N630665213AC5</t>
  </si>
  <si>
    <t>28N630665221AC5</t>
  </si>
  <si>
    <t>29N630665230AC5</t>
  </si>
  <si>
    <t>29N630665248AC5</t>
  </si>
  <si>
    <t>28N630765692AC5</t>
  </si>
  <si>
    <t>28N630665256AC5</t>
  </si>
  <si>
    <t>28N630665264AC5</t>
  </si>
  <si>
    <t>28N630665272AC5</t>
  </si>
  <si>
    <t>28N630665280AC5</t>
  </si>
  <si>
    <t>28N630665299AC5</t>
  </si>
  <si>
    <t>28N630665302AC5</t>
  </si>
  <si>
    <t>28N630671566AC5</t>
  </si>
  <si>
    <t>29N630671574AC5</t>
  </si>
  <si>
    <t>29N630671582AC5</t>
  </si>
  <si>
    <t>28N630765196AC5</t>
  </si>
  <si>
    <t>28N630671590AC5</t>
  </si>
  <si>
    <t>28N630671604AC5</t>
  </si>
  <si>
    <t>28N630671612AC5</t>
  </si>
  <si>
    <t>28N630671620AC5</t>
  </si>
  <si>
    <t>28N630671639AC5</t>
  </si>
  <si>
    <t>28N630671647AC5</t>
  </si>
  <si>
    <t>28N630671655AC5</t>
  </si>
  <si>
    <t>29N630671663AC5</t>
  </si>
  <si>
    <t>29N630671671AC5</t>
  </si>
  <si>
    <t>28N630764335AC5</t>
  </si>
  <si>
    <t>28N630671680AC5</t>
  </si>
  <si>
    <t>28N630671698AC5</t>
  </si>
  <si>
    <t>28N630671701AC5</t>
  </si>
  <si>
    <t>28N630671710AC5</t>
  </si>
  <si>
    <t>28N630671728AC5</t>
  </si>
  <si>
    <t>28N630671736AC5</t>
  </si>
  <si>
    <t>28N630671744AC5</t>
  </si>
  <si>
    <t>29N630671752AC5</t>
  </si>
  <si>
    <t>29N630671760AC5</t>
  </si>
  <si>
    <t>28N630761352AC5</t>
  </si>
  <si>
    <t>28N630671779AC5</t>
  </si>
  <si>
    <t>28N630671787AC5</t>
  </si>
  <si>
    <t>28N630671795AC5</t>
  </si>
  <si>
    <t>28N630671809AC5</t>
  </si>
  <si>
    <t>28N630671817AC5</t>
  </si>
  <si>
    <t>28N630671825AC5</t>
  </si>
  <si>
    <t>28N630671833AC5</t>
  </si>
  <si>
    <t>29N630671841AC5</t>
  </si>
  <si>
    <t>29N630671850AC5</t>
  </si>
  <si>
    <t>28N630762200AC5</t>
  </si>
  <si>
    <t>28N630671868AC5</t>
  </si>
  <si>
    <t>28N630671876AC5</t>
  </si>
  <si>
    <t>28N630671884AC5</t>
  </si>
  <si>
    <t>28N630671892AC5</t>
  </si>
  <si>
    <t>28N630671906AC5</t>
  </si>
  <si>
    <t>28N630671914AC5</t>
  </si>
  <si>
    <t>28N630671922AC5</t>
  </si>
  <si>
    <t>29N630671930AC5</t>
  </si>
  <si>
    <t>29N630671949AC5</t>
  </si>
  <si>
    <t>G/I/25-26/01779</t>
  </si>
  <si>
    <t>G/I/25-26/01780</t>
  </si>
  <si>
    <t>G/I/25-26/01781</t>
  </si>
  <si>
    <t>G/I/25-26/01782</t>
  </si>
  <si>
    <t>G/I/25-26/01783</t>
  </si>
  <si>
    <t>G/I/25-26/01784</t>
  </si>
  <si>
    <t>G/I/25-26/01785</t>
  </si>
  <si>
    <t>G/I/25-26/01786</t>
  </si>
  <si>
    <t>G/I/25-26/01787</t>
  </si>
  <si>
    <t>G/I/25-26/01788</t>
  </si>
  <si>
    <t>G/I/25-26/01789</t>
  </si>
  <si>
    <t>G/I/25-26/01790</t>
  </si>
  <si>
    <t>G/I/25-26/01791</t>
  </si>
  <si>
    <t>G/I/25-26/01792</t>
  </si>
  <si>
    <t>G/I/25-26/01793</t>
  </si>
  <si>
    <t>G/I/25-26/01794</t>
  </si>
  <si>
    <t>G/I/25-26/01795</t>
  </si>
  <si>
    <t>G/I/25-26/01796</t>
  </si>
  <si>
    <t>G/I/25-26/01797</t>
  </si>
  <si>
    <t>G/I/25-26/01798</t>
  </si>
  <si>
    <t>29N631467873AC5</t>
  </si>
  <si>
    <t>29N631467881AC5</t>
  </si>
  <si>
    <t>29N631467890AC5</t>
  </si>
  <si>
    <t>29N631467903AC5</t>
  </si>
  <si>
    <t>29N631467911AC5</t>
  </si>
  <si>
    <t>29N631467920AC5</t>
  </si>
  <si>
    <t>29N631467938AC5</t>
  </si>
  <si>
    <t>29N631467962AC5</t>
  </si>
  <si>
    <t>29N631467970AC5</t>
  </si>
  <si>
    <t>29N631467989AC5</t>
  </si>
  <si>
    <t>29N631467997AC5</t>
  </si>
  <si>
    <t>29N631468004AC5</t>
  </si>
  <si>
    <t>29N631468012AC5</t>
  </si>
  <si>
    <t>29N631468020AC5</t>
  </si>
  <si>
    <t>29N631468055AC5</t>
  </si>
  <si>
    <t>29N631468063AC5</t>
  </si>
  <si>
    <t>29N631468071AC5</t>
  </si>
  <si>
    <t>29N631468080AC5</t>
  </si>
  <si>
    <t>29N631468098AC5</t>
  </si>
  <si>
    <t>29N631468101AC5</t>
  </si>
  <si>
    <t>29N631468110AC5</t>
  </si>
  <si>
    <t>29N631468144AC5</t>
  </si>
  <si>
    <t>29N631468152AC5</t>
  </si>
  <si>
    <t>29N631468160AC5</t>
  </si>
  <si>
    <t>29N631468179AC5</t>
  </si>
  <si>
    <t>29N631468187AC5</t>
  </si>
  <si>
    <t>29N631468195AC5</t>
  </si>
  <si>
    <t>29N631468209AC5</t>
  </si>
  <si>
    <t>29N631468233AC5</t>
  </si>
  <si>
    <t>29N631468241AC5</t>
  </si>
  <si>
    <t>29N631468250AC5</t>
  </si>
  <si>
    <t>29N631468268AC5</t>
  </si>
  <si>
    <t>29N631468276AC5</t>
  </si>
  <si>
    <t>29N631468284AC5</t>
  </si>
  <si>
    <t>29N631468292AC5</t>
  </si>
  <si>
    <t>29N631468322AC5</t>
  </si>
  <si>
    <t>29N631468330AC5</t>
  </si>
  <si>
    <t>29N631468349AC5</t>
  </si>
  <si>
    <t>29N631468357AC5</t>
  </si>
  <si>
    <t>29N631468365AC5</t>
  </si>
  <si>
    <t>29N631468373AC5</t>
  </si>
  <si>
    <t>29N631468381AC5</t>
  </si>
  <si>
    <t>29N631468411AC5</t>
  </si>
  <si>
    <t>29N631468420AC5</t>
  </si>
  <si>
    <t>29N631468438AC5</t>
  </si>
  <si>
    <t>29N631468446AC5</t>
  </si>
  <si>
    <t>29N631468454AC5</t>
  </si>
  <si>
    <t>29N631468462AC5</t>
  </si>
  <si>
    <t>29N631468470AC5</t>
  </si>
  <si>
    <t>29N631468500AC5</t>
  </si>
  <si>
    <t>29N631468519AC5</t>
  </si>
  <si>
    <t>29N631468527AC5</t>
  </si>
  <si>
    <t>29N631468535AC5</t>
  </si>
  <si>
    <t>29N631468543AC5</t>
  </si>
  <si>
    <t>29N631468551AC5</t>
  </si>
  <si>
    <t>29N631468560AC5</t>
  </si>
  <si>
    <t>29N631468594AC5</t>
  </si>
  <si>
    <t>29N631468608AC5</t>
  </si>
  <si>
    <t>29N631468616AC5</t>
  </si>
  <si>
    <t>29N631468624AC5</t>
  </si>
  <si>
    <t>29N631468632AC5</t>
  </si>
  <si>
    <t>29N631468640AC5</t>
  </si>
  <si>
    <t>29N631468659AC5</t>
  </si>
  <si>
    <t>29N631492878AC5</t>
  </si>
  <si>
    <t>29N631499244AC5</t>
  </si>
  <si>
    <t>30N631467946AC5</t>
  </si>
  <si>
    <t>30N631467954AC5</t>
  </si>
  <si>
    <t>29N631484727AC5</t>
  </si>
  <si>
    <t>29N631496962AC5</t>
  </si>
  <si>
    <t>30N631468039AC5</t>
  </si>
  <si>
    <t>30N631468047AC5</t>
  </si>
  <si>
    <t>29N631488242AC5</t>
  </si>
  <si>
    <t>30N631468128AC5</t>
  </si>
  <si>
    <t>30N631468136AC5</t>
  </si>
  <si>
    <t>29N631493157AC5</t>
  </si>
  <si>
    <t>29N631497446AC5</t>
  </si>
  <si>
    <t>30N631468217AC5</t>
  </si>
  <si>
    <t>30N631468225AC5</t>
  </si>
  <si>
    <t>29N631490255AC5</t>
  </si>
  <si>
    <t>29N631500480AC5</t>
  </si>
  <si>
    <t>30N631468306AC5</t>
  </si>
  <si>
    <t>30N631468314AC5</t>
  </si>
  <si>
    <t>29N631485235AC5</t>
  </si>
  <si>
    <t>29N631498531AC5</t>
  </si>
  <si>
    <t>30N631468390AC5</t>
  </si>
  <si>
    <t>30N631468403AC5</t>
  </si>
  <si>
    <t>29N631481817AC5</t>
  </si>
  <si>
    <t>29N631497616AC5</t>
  </si>
  <si>
    <t>30N631468489AC5</t>
  </si>
  <si>
    <t>30N631468497AC5</t>
  </si>
  <si>
    <t>29N631487300AC5</t>
  </si>
  <si>
    <t>29N631499503AC5</t>
  </si>
  <si>
    <t>30N631468578AC5</t>
  </si>
  <si>
    <t>30N631468586AC5</t>
  </si>
  <si>
    <t>29N631482988AC5</t>
  </si>
  <si>
    <t>29N631498833AC5</t>
  </si>
  <si>
    <t>30N631468667AC5</t>
  </si>
  <si>
    <t>30N631468675AC5</t>
  </si>
  <si>
    <t>G/I/25-26/01800</t>
  </si>
  <si>
    <t>G/I/25-26/01804</t>
  </si>
  <si>
    <t>G/I/25-26/01801</t>
  </si>
  <si>
    <t>G/I/25-26/01802</t>
  </si>
  <si>
    <t>G/I/25-26/01803</t>
  </si>
  <si>
    <t>G/I/25-26/01805</t>
  </si>
  <si>
    <t>G/I/25-26/01806</t>
  </si>
  <si>
    <t>G/I/25-26/01807</t>
  </si>
  <si>
    <t>G/I/25-26/01808</t>
  </si>
  <si>
    <t>G/I/25-26/01809</t>
  </si>
  <si>
    <t>G/I/25-26/01810</t>
  </si>
  <si>
    <t>G/I/25-26/01811</t>
  </si>
  <si>
    <t>G/I/25-26/01812</t>
  </si>
  <si>
    <t>G/I/25-26/01813</t>
  </si>
  <si>
    <t>G/I/25-26/01814</t>
  </si>
  <si>
    <t>G/I/25-26/01815</t>
  </si>
  <si>
    <t>G/I/25-26/01816</t>
  </si>
  <si>
    <t>G/I/25-26/01817</t>
  </si>
  <si>
    <t>G/I/25-26/01818</t>
  </si>
  <si>
    <t>G/I/25-26/01819</t>
  </si>
  <si>
    <t>30N632184204AC5</t>
  </si>
  <si>
    <t>30N632204370AC5</t>
  </si>
  <si>
    <t>30N632184212AC5</t>
  </si>
  <si>
    <t>30N632184220AC5</t>
  </si>
  <si>
    <t>30N632184239AC5</t>
  </si>
  <si>
    <t>30N632184247AC5</t>
  </si>
  <si>
    <t>30N632184255AC5</t>
  </si>
  <si>
    <t>30N632184263AC5</t>
  </si>
  <si>
    <t>31N632184271AC5</t>
  </si>
  <si>
    <t>30N632184298AC5</t>
  </si>
  <si>
    <t>30N632204957AC5</t>
  </si>
  <si>
    <t>30N632184301AC5</t>
  </si>
  <si>
    <t>30N632184310AC5</t>
  </si>
  <si>
    <t>30N632184328AC5</t>
  </si>
  <si>
    <t>30N632184336AC5</t>
  </si>
  <si>
    <t>30N632184344AC5</t>
  </si>
  <si>
    <t>30N632184352AC5</t>
  </si>
  <si>
    <t>31N632184360AC5</t>
  </si>
  <si>
    <t>30N632184387AC5</t>
  </si>
  <si>
    <t>30N632208324AC5</t>
  </si>
  <si>
    <t>30N632184395AC5</t>
  </si>
  <si>
    <t>30N632184409AC5</t>
  </si>
  <si>
    <t>30N632184417AC5</t>
  </si>
  <si>
    <t>30N632184425AC5</t>
  </si>
  <si>
    <t>30N632184433AC5</t>
  </si>
  <si>
    <t>30N632184441AC5</t>
  </si>
  <si>
    <t>31N632184450AC5</t>
  </si>
  <si>
    <t>30N632184476AC5</t>
  </si>
  <si>
    <t>30N632206305AC5</t>
  </si>
  <si>
    <t>30N632184484AC5</t>
  </si>
  <si>
    <t>30N632184492AC5</t>
  </si>
  <si>
    <t>30N632184506AC5</t>
  </si>
  <si>
    <t>30N632184514AC5</t>
  </si>
  <si>
    <t>30N632184522AC5</t>
  </si>
  <si>
    <t>30N632184530AC5</t>
  </si>
  <si>
    <t>31N632184549AC5</t>
  </si>
  <si>
    <t>30N632184565AC5</t>
  </si>
  <si>
    <t>30N632213565AC5</t>
  </si>
  <si>
    <t>30N632184573AC5</t>
  </si>
  <si>
    <t>30N632184581AC5</t>
  </si>
  <si>
    <t>30N632184590AC5</t>
  </si>
  <si>
    <t>30N632184603AC5</t>
  </si>
  <si>
    <t>30N632184611AC5</t>
  </si>
  <si>
    <t>30N632184620AC5</t>
  </si>
  <si>
    <t>31N632184638AC5</t>
  </si>
  <si>
    <t>30N632184654AC5</t>
  </si>
  <si>
    <t>30N632213964AC5</t>
  </si>
  <si>
    <t>30N632184662AC5</t>
  </si>
  <si>
    <t>30N632184670AC5</t>
  </si>
  <si>
    <t>30N632184689AC5</t>
  </si>
  <si>
    <t>30N632184697AC5</t>
  </si>
  <si>
    <t>30N632184700AC5</t>
  </si>
  <si>
    <t>30N632184719AC5</t>
  </si>
  <si>
    <t>31N632184727AC5</t>
  </si>
  <si>
    <t>30N632184743AC5</t>
  </si>
  <si>
    <t>30N632205597AC5</t>
  </si>
  <si>
    <t>30N632184751AC5</t>
  </si>
  <si>
    <t>30N632184760AC5</t>
  </si>
  <si>
    <t>30N632184778AC5</t>
  </si>
  <si>
    <t>30N632184786AC5</t>
  </si>
  <si>
    <t>30N632184794AC5</t>
  </si>
  <si>
    <t>30N632184808AC5</t>
  </si>
  <si>
    <t>31N632184816AC5</t>
  </si>
  <si>
    <t>30N632184832AC5</t>
  </si>
  <si>
    <t>30N632216017AC5</t>
  </si>
  <si>
    <t>30N632184840AC5</t>
  </si>
  <si>
    <t>30N632184859AC5</t>
  </si>
  <si>
    <t>30N632184867AC5</t>
  </si>
  <si>
    <t>30N632184875AC5</t>
  </si>
  <si>
    <t>30N632184883AC5</t>
  </si>
  <si>
    <t>30N632184891AC5</t>
  </si>
  <si>
    <t>31N632184905AC5</t>
  </si>
  <si>
    <t>31N632184913AC5</t>
  </si>
  <si>
    <t>30N632184921AC5</t>
  </si>
  <si>
    <t>30N632217145AC5</t>
  </si>
  <si>
    <t>30N632184930AC5</t>
  </si>
  <si>
    <t>30N632184948AC5</t>
  </si>
  <si>
    <t>30N632184956AC5</t>
  </si>
  <si>
    <t>30N632184964AC5</t>
  </si>
  <si>
    <t>30N632184972AC5</t>
  </si>
  <si>
    <t>G/I/25-26/01820</t>
  </si>
  <si>
    <t>G/I/25-26/01821</t>
  </si>
  <si>
    <t>G/I/25-26/01822</t>
  </si>
  <si>
    <t>G/I/25-26/01823</t>
  </si>
  <si>
    <t>G/I/25-26/01824</t>
  </si>
  <si>
    <t>G/I/25-26/01825</t>
  </si>
  <si>
    <t>G/I/25-26/01826</t>
  </si>
  <si>
    <t>G/I/25-26/01827</t>
  </si>
  <si>
    <t>G/I/25-26/01828</t>
  </si>
  <si>
    <t>G/I/25-26/01829</t>
  </si>
  <si>
    <t>G/I/25-26/01830</t>
  </si>
  <si>
    <t>G/I/25-26/01831</t>
  </si>
  <si>
    <t>G/I/25-26/01832</t>
  </si>
  <si>
    <t>G/I/25-26/01833</t>
  </si>
  <si>
    <t>G/I/25-26/01835</t>
  </si>
  <si>
    <t>31N632849036AC5</t>
  </si>
  <si>
    <t>31N632955987AC5</t>
  </si>
  <si>
    <t>31N632849044AC5</t>
  </si>
  <si>
    <t>31N632849052AC5</t>
  </si>
  <si>
    <t>31N632849060AC5</t>
  </si>
  <si>
    <t>31N632849079AC5</t>
  </si>
  <si>
    <t>31N632849087AC5</t>
  </si>
  <si>
    <t>31N632849095AC5</t>
  </si>
  <si>
    <t>01P632849109AC5</t>
  </si>
  <si>
    <t>31N632849125AC5</t>
  </si>
  <si>
    <t>31N632949618AC5</t>
  </si>
  <si>
    <t>31N632849133AC5</t>
  </si>
  <si>
    <t>31N632849141AC5</t>
  </si>
  <si>
    <t>31N632849150AC5</t>
  </si>
  <si>
    <t>31N632849168AC5</t>
  </si>
  <si>
    <t>31N632849176AC5</t>
  </si>
  <si>
    <t>31N632849184AC5</t>
  </si>
  <si>
    <t>01P632849192AC5</t>
  </si>
  <si>
    <t>31N632849214AC5</t>
  </si>
  <si>
    <t>31N632959796AC5</t>
  </si>
  <si>
    <t>31N632849222AC5</t>
  </si>
  <si>
    <t>31N632849230AC5</t>
  </si>
  <si>
    <t>31N632849249AC5</t>
  </si>
  <si>
    <t>31N632849257AC5</t>
  </si>
  <si>
    <t>31N632849265AC5</t>
  </si>
  <si>
    <t>31N632849273AC5</t>
  </si>
  <si>
    <t>01P632849281AC5</t>
  </si>
  <si>
    <t>31N632849303AC5</t>
  </si>
  <si>
    <t>31N632952139AC5</t>
  </si>
  <si>
    <t>31N632849311AC5</t>
  </si>
  <si>
    <t>31N632849320AC5</t>
  </si>
  <si>
    <t>31N632852495AC5</t>
  </si>
  <si>
    <t>31N632852509AC5</t>
  </si>
  <si>
    <t>31N632852517AC5</t>
  </si>
  <si>
    <t>31N632852525AC5</t>
  </si>
  <si>
    <t>01P632852533AC5</t>
  </si>
  <si>
    <t>31N632852550AC5</t>
  </si>
  <si>
    <t>31N632953917AC5</t>
  </si>
  <si>
    <t>31N632852568AC5</t>
  </si>
  <si>
    <t>31N632852576AC5</t>
  </si>
  <si>
    <t>31N632852584AC5</t>
  </si>
  <si>
    <t>31N632852592AC5</t>
  </si>
  <si>
    <t>31N632852606AC5</t>
  </si>
  <si>
    <t>31N632852614AC5</t>
  </si>
  <si>
    <t>01P632852622AC5</t>
  </si>
  <si>
    <t>31N632852649AC5</t>
  </si>
  <si>
    <t>31N632941234AC5</t>
  </si>
  <si>
    <t>31N632852657AC5</t>
  </si>
  <si>
    <t>31N632852665AC5</t>
  </si>
  <si>
    <t>31N632852673AC5</t>
  </si>
  <si>
    <t>31N632852681AC5</t>
  </si>
  <si>
    <t>31N632852690AC5</t>
  </si>
  <si>
    <t>31N632852703AC5</t>
  </si>
  <si>
    <t>01P632852711AC5</t>
  </si>
  <si>
    <t>31N632852738AC5</t>
  </si>
  <si>
    <t>31N632952180AC5</t>
  </si>
  <si>
    <t>31N632852746AC5</t>
  </si>
  <si>
    <t>31N632852754AC5</t>
  </si>
  <si>
    <t>31N632852762AC5</t>
  </si>
  <si>
    <t>31N632852770AC5</t>
  </si>
  <si>
    <t>31N632852789AC5</t>
  </si>
  <si>
    <t>31N632852797AC5</t>
  </si>
  <si>
    <t>01P632852800AC5</t>
  </si>
  <si>
    <t>31N632852827AC5</t>
  </si>
  <si>
    <t>31N632950527AC5</t>
  </si>
  <si>
    <t>31N632852835AC5</t>
  </si>
  <si>
    <t>31N632852843AC5</t>
  </si>
  <si>
    <t>31N632852851AC5</t>
  </si>
  <si>
    <t>31N632852860AC5</t>
  </si>
  <si>
    <t>31N632852878AC5</t>
  </si>
  <si>
    <t>31N632852886AC5</t>
  </si>
  <si>
    <t>01P632852894AC5</t>
  </si>
  <si>
    <t>31N632852916AC5</t>
  </si>
  <si>
    <t>31N632953461AC5</t>
  </si>
  <si>
    <t>31N632852924AC5</t>
  </si>
  <si>
    <t>31N632852932AC5</t>
  </si>
  <si>
    <t>31N632852940AC5</t>
  </si>
  <si>
    <t>31N632852959AC5</t>
  </si>
  <si>
    <t>31N632852967AC5</t>
  </si>
  <si>
    <t>31N632852975AC5</t>
  </si>
  <si>
    <t>01P632852983AC5</t>
  </si>
  <si>
    <t>01P632849117AC5</t>
  </si>
  <si>
    <t>01P632849206AC5</t>
  </si>
  <si>
    <t>01P632849290AC5</t>
  </si>
  <si>
    <t>01P632852541AC5</t>
  </si>
  <si>
    <t>01P632852630AC5</t>
  </si>
  <si>
    <t>01P632852720AC5</t>
  </si>
  <si>
    <t>01P632852819AC5</t>
  </si>
  <si>
    <t>01P632852908AC5</t>
  </si>
  <si>
    <t>01P632852991AC5</t>
  </si>
  <si>
    <t>G/I/25-26/01834</t>
  </si>
  <si>
    <t>G/I/25-26/01836</t>
  </si>
  <si>
    <t>G/I/25-26/01837</t>
  </si>
  <si>
    <t>G/I/25-26/01838</t>
  </si>
  <si>
    <t>G/I/25-26/01839</t>
  </si>
  <si>
    <t>G/I/25-26/01840</t>
  </si>
  <si>
    <t>G/I/25-26/01843</t>
  </si>
  <si>
    <t>G/I/25-26/01841</t>
  </si>
  <si>
    <t>G/I/25-26/01842</t>
  </si>
  <si>
    <t>G/I/25-26/01844</t>
  </si>
  <si>
    <t>G/I/25-26/01846</t>
  </si>
  <si>
    <t>G/I/25-26/01845</t>
  </si>
  <si>
    <t>G/I/25-26/01847</t>
  </si>
  <si>
    <t>G/I/25-26/01848</t>
  </si>
  <si>
    <t>G/I/25-26/01849</t>
  </si>
  <si>
    <t>G/I/25-26/01850</t>
  </si>
  <si>
    <t>G/I/25-26/01851</t>
  </si>
  <si>
    <t>AN250012431</t>
  </si>
  <si>
    <t>12506Q10031</t>
  </si>
  <si>
    <t>12506Q100132</t>
  </si>
  <si>
    <t>12506Q100189</t>
  </si>
  <si>
    <t>AN250012483</t>
  </si>
  <si>
    <t>AN0250011439-04 PCS / AN250011627-18+18+14 PCS</t>
  </si>
  <si>
    <t>AN0250011439-18+18+09 PCS / AN250011627-09 PCS</t>
  </si>
  <si>
    <t>12504Q100256</t>
  </si>
  <si>
    <t>12506Q100031</t>
  </si>
  <si>
    <t>AN250011627</t>
  </si>
  <si>
    <t xml:space="preserve"> 12505Q100152 - 24 PCS / 12506Q100012 - 24+7</t>
  </si>
  <si>
    <t xml:space="preserve">12506Q100012 </t>
  </si>
  <si>
    <t>910106059 -80 PCS / 910105841 - 40 PCS</t>
  </si>
  <si>
    <t>910106059 -40 PCS / 910105841 - 40 PCS</t>
  </si>
  <si>
    <t>AN250011627-18+17 / AN250011760-01+18</t>
  </si>
  <si>
    <t>AN250011627-18+05 / AN250011760-13+18</t>
  </si>
  <si>
    <t>12505Q100064-06PCS / 12505Q100086-17 PCS</t>
  </si>
  <si>
    <t>AN250011760</t>
  </si>
  <si>
    <t>910105866 - 120 PCS / 910106060 - 40 PCS</t>
  </si>
  <si>
    <t>12505Q100125 - 25 PCS / 12505Q100086 35 PCS</t>
  </si>
  <si>
    <t>12505Q100174 - 11 PCS / 12506Q100012 -24 PCS</t>
  </si>
  <si>
    <t>910106060 -40 PCS / 910105866 - 40 PCS</t>
  </si>
  <si>
    <t>AN250011760 - 18+18+13PCS / AN250011915 - 5 PCS</t>
  </si>
  <si>
    <t>AN250011915</t>
  </si>
  <si>
    <t>12506Q100031 -42 PCS / 12506100106 -24 PCS</t>
  </si>
  <si>
    <t>AN250011915 -16+18+18 PCS / AN250011760 -02 PCS</t>
  </si>
  <si>
    <t>12506Q100012 - 17 PCS / 12506Q100031 - 11 PCS</t>
  </si>
  <si>
    <t xml:space="preserve">12506Q100031 </t>
  </si>
  <si>
    <t>12506Q100031 45PCS / 12506Q100055-51 PCS</t>
  </si>
  <si>
    <t>910106267 - 40PCS/ 910106060 -40 PCS</t>
  </si>
  <si>
    <t>12505Q100086 - 29PCS / 12505Q100152 - 41PCS</t>
  </si>
  <si>
    <t>12505Q100086 -3PCS / 12505Q100114 -15PCS</t>
  </si>
  <si>
    <t>AN250011915 -6+18 / AN250012034 - 12+18</t>
  </si>
  <si>
    <t>AN250011915 -18 / AN250012034 - 18+18</t>
  </si>
  <si>
    <t>12505Q100086 - 26PCS / 12505Q100152 - 40PCS</t>
  </si>
  <si>
    <t>AN250011915 -18+18 / AN250012034 - 18</t>
  </si>
  <si>
    <t>AN250011915 -18+15 / AN250012034 - 03+18</t>
  </si>
  <si>
    <t>12506Q100106</t>
  </si>
  <si>
    <t>12505Q100114</t>
  </si>
  <si>
    <t>AN250012034</t>
  </si>
  <si>
    <t>910106826-10PCS / 910106260 - 30PCS</t>
  </si>
  <si>
    <t>12506Q100055 -24+15 PCS</t>
  </si>
  <si>
    <t>12506Q100031 - 09PCS</t>
  </si>
  <si>
    <t xml:space="preserve">12506Q100055 </t>
  </si>
  <si>
    <t>12506Q100106- 48 PCS / 12506Q100055 -18 PCS</t>
  </si>
  <si>
    <t>AN250012034 - 18+18+06 / AN250012107 -12 PCS</t>
  </si>
  <si>
    <t xml:space="preserve">12505Q100152 -51PCS /12505Q100125 -09 PCS </t>
  </si>
  <si>
    <t>AN250012107</t>
  </si>
  <si>
    <t>12505Q100012</t>
  </si>
  <si>
    <t>12506Q100055 -18PCS / 12506Q100106-24 PCS</t>
  </si>
  <si>
    <t>AN250012107 - 18+18+10 / AN250012174 -08 PCS</t>
  </si>
  <si>
    <t>12505Q100012 - 41PCS / 12505Q100152 -17PCS</t>
  </si>
  <si>
    <t>AN250012107 - 03 / AN250012174 -15+18+18 PCS</t>
  </si>
  <si>
    <t>AN250012174</t>
  </si>
  <si>
    <t xml:space="preserve">12505Q100012 </t>
  </si>
  <si>
    <t>910106976 - 40PCS / 910106827 -40 PCS</t>
  </si>
  <si>
    <t>12506Q100081</t>
  </si>
  <si>
    <t>910107170 - 40 PCS / 910106975 -40 PCS</t>
  </si>
  <si>
    <t>AN250012174-15 PCS / AN250012229 - 03PCS</t>
  </si>
  <si>
    <t>AN250012229</t>
  </si>
  <si>
    <t>AN250012174 - 03 PCS / AN250012229 - 15 PCS</t>
  </si>
  <si>
    <t>910106976 - 24PCS / 910107171 -16PCS</t>
  </si>
  <si>
    <t>AN250012229 -18+8 / AN250012284 - 10 PCS</t>
  </si>
  <si>
    <t>AN250012229 - 18 / AN250012284 - 18 PCS</t>
  </si>
  <si>
    <t>AN250012229 - 18+18+12 / AN250012284 - 12 PCS</t>
  </si>
  <si>
    <t>AN250012229 -18 PCS / AN250012284 - 36 PCS</t>
  </si>
  <si>
    <t>AN250012284</t>
  </si>
  <si>
    <t>12505Q100012 - 23</t>
  </si>
  <si>
    <t>12505Q100174 - 31</t>
  </si>
  <si>
    <t>910107272- 20PCS / 910107170 -20 PCS</t>
  </si>
  <si>
    <t xml:space="preserve">12505Q100174 </t>
  </si>
  <si>
    <t>12505Q100012 - 03 PCS / 12505Q100174 - 25 PCS</t>
  </si>
  <si>
    <t>AN250012284 - 6+18 / AN250012340 -12PCS</t>
  </si>
  <si>
    <t>12506Q100081 -36 PCS / 12506Q100189 - 6 PCS</t>
  </si>
  <si>
    <t>AN250012284 - 03 PCS / AN250012340 -15+18 PCS</t>
  </si>
  <si>
    <t>AN250012340</t>
  </si>
  <si>
    <t>AN250012340 - 07+36 / AN250012346 -11 PCS</t>
  </si>
  <si>
    <t>AN250012340 - 01 / AN250012346 -17+18 PCS</t>
  </si>
  <si>
    <t>AN250012346</t>
  </si>
  <si>
    <t>12506Q100089</t>
  </si>
  <si>
    <t>AN250012380 - 07 / AN250012346 -11+18 PCS</t>
  </si>
  <si>
    <t>AN250012380 - 18 / AN250012346 -18+18 PCS</t>
  </si>
  <si>
    <t xml:space="preserve">AN250012346 </t>
  </si>
  <si>
    <t>AN250012380 - 01 / AN250012346 -17 PCS</t>
  </si>
  <si>
    <t xml:space="preserve">AN250012380 </t>
  </si>
  <si>
    <t>12505Q100174 -29 PCS / 12505Q100031 - 01 PCS</t>
  </si>
  <si>
    <t>910107273-40 PCS / 910107518 -25 PCS</t>
  </si>
  <si>
    <t>AN250012380 -13 / AN250012397 -05</t>
  </si>
  <si>
    <t>AN250012380 -01 / AN250012396 -17</t>
  </si>
  <si>
    <t>AN250012397</t>
  </si>
  <si>
    <t>AN250012396</t>
  </si>
  <si>
    <t>12506Q100132-11 / 12506Q100189 -31</t>
  </si>
  <si>
    <t>12506Q100132-36 / 12506Q100189 -06</t>
  </si>
  <si>
    <t>AN250012397 -05+18+18 / AN250012399 - 13</t>
  </si>
  <si>
    <t>AN250012396 -10+18 / AN250012398 - 18+8</t>
  </si>
  <si>
    <t xml:space="preserve">AN250012399 </t>
  </si>
  <si>
    <t>AN250012431 -12 / AN250012398 - 18+6</t>
  </si>
  <si>
    <t>AN250012399 -01 / AN250012431 -17+18</t>
  </si>
  <si>
    <t xml:space="preserve">AN250012431  </t>
  </si>
  <si>
    <t>12505Q100174 - 27 / 12505Q100031 -01</t>
  </si>
  <si>
    <t>G/I/25-26/01852</t>
  </si>
  <si>
    <t>G/I/25-26/01853</t>
  </si>
  <si>
    <t>G/I/25-26/01854</t>
  </si>
  <si>
    <t>G/I/25-26/01855</t>
  </si>
  <si>
    <t>G/I/25-26/01856</t>
  </si>
  <si>
    <t>G/I/25-26/01857</t>
  </si>
  <si>
    <t>G/I/25-26/01858</t>
  </si>
  <si>
    <t>G/I/25-26/01859</t>
  </si>
  <si>
    <t>02P633573204AC5</t>
  </si>
  <si>
    <t>02P633573212AC5</t>
  </si>
  <si>
    <t>02P633573220AC5</t>
  </si>
  <si>
    <t>02P633573239AC5</t>
  </si>
  <si>
    <t>02P633573247AC5</t>
  </si>
  <si>
    <t>02P633573255AC5</t>
  </si>
  <si>
    <t>02P633573263AC5</t>
  </si>
  <si>
    <t>03P633573271AC5</t>
  </si>
  <si>
    <t>03P633573280AC5</t>
  </si>
  <si>
    <t>02P633573298AC5</t>
  </si>
  <si>
    <t>02P633573301AC5</t>
  </si>
  <si>
    <t>02P633573310AC5</t>
  </si>
  <si>
    <t>02P633573328AC5</t>
  </si>
  <si>
    <t>02P633573336AC5</t>
  </si>
  <si>
    <t>02P633573344AC5</t>
  </si>
  <si>
    <t>02P633573352AC5</t>
  </si>
  <si>
    <t>03P633573360AC5</t>
  </si>
  <si>
    <t>03P633573379AC5</t>
  </si>
  <si>
    <t>02P633573387AC5</t>
  </si>
  <si>
    <t>02P633573395AC5</t>
  </si>
  <si>
    <t>02P633573409AC5</t>
  </si>
  <si>
    <t>02P633573417AC5</t>
  </si>
  <si>
    <t>02P633573425AC5</t>
  </si>
  <si>
    <t>02P633573433AC5</t>
  </si>
  <si>
    <t>02P633573441AC5</t>
  </si>
  <si>
    <t>03P633573450AC5</t>
  </si>
  <si>
    <t>03P633573468AC5</t>
  </si>
  <si>
    <t>02P633660786AC5</t>
  </si>
  <si>
    <t>02P633573476AC5</t>
  </si>
  <si>
    <t>02P633670846AC5</t>
  </si>
  <si>
    <t>02P633573484AC5</t>
  </si>
  <si>
    <t>02P633573492AC5</t>
  </si>
  <si>
    <t>02P633573506AC5</t>
  </si>
  <si>
    <t>02P633573514AC5</t>
  </si>
  <si>
    <t>02P633573522AC5</t>
  </si>
  <si>
    <t>02P633573530AC5</t>
  </si>
  <si>
    <t>03P633573549AC5</t>
  </si>
  <si>
    <t>03P633573557AC5</t>
  </si>
  <si>
    <t>02P633660514AC5</t>
  </si>
  <si>
    <t>02P633573565AC5</t>
  </si>
  <si>
    <t>02P633675023AC5</t>
  </si>
  <si>
    <t>02P633573573AC5</t>
  </si>
  <si>
    <t>02P633573581AC5</t>
  </si>
  <si>
    <t>02P633573590AC5</t>
  </si>
  <si>
    <t>02P633573603AC5</t>
  </si>
  <si>
    <t>02P633573611AC5</t>
  </si>
  <si>
    <t>02P633573620AC5</t>
  </si>
  <si>
    <t>03P633573638AC5</t>
  </si>
  <si>
    <t>03P633573646AC5</t>
  </si>
  <si>
    <t>02P633573654AC5</t>
  </si>
  <si>
    <t>02P633671206AC5</t>
  </si>
  <si>
    <t>02P633573662AC5</t>
  </si>
  <si>
    <t>02P633573670AC5</t>
  </si>
  <si>
    <t>02P633573689AC5</t>
  </si>
  <si>
    <t>02P633573697AC5</t>
  </si>
  <si>
    <t>02P633573700AC5</t>
  </si>
  <si>
    <t>02P633573719AC5</t>
  </si>
  <si>
    <t>03P633573727AC5</t>
  </si>
  <si>
    <t>03P633573735AC5</t>
  </si>
  <si>
    <t>02P633661758AC5</t>
  </si>
  <si>
    <t>02P633579997AC5</t>
  </si>
  <si>
    <t>02P633677069AC5</t>
  </si>
  <si>
    <t>02P633580006AC5</t>
  </si>
  <si>
    <t>02P633580014AC5</t>
  </si>
  <si>
    <t>02P633580022AC5</t>
  </si>
  <si>
    <t>02P633580030AC5</t>
  </si>
  <si>
    <t>02P633580049AC5</t>
  </si>
  <si>
    <t>02P633580057AC5</t>
  </si>
  <si>
    <t>03P633580065AC5</t>
  </si>
  <si>
    <t>03P633580073AC5</t>
  </si>
  <si>
    <t>02P633660662AC5</t>
  </si>
  <si>
    <t>02P633580081AC5</t>
  </si>
  <si>
    <t>02P633671575AC5</t>
  </si>
  <si>
    <t>02P633580090AC5</t>
  </si>
  <si>
    <t>02P633580103AC5</t>
  </si>
  <si>
    <t>02P633580111AC5</t>
  </si>
  <si>
    <t>02P633580120AC5</t>
  </si>
  <si>
    <t>02P633580138AC5</t>
  </si>
  <si>
    <t>02P633580146AC5</t>
  </si>
  <si>
    <t>03P633580154AC5</t>
  </si>
  <si>
    <t>03P633580162AC5</t>
  </si>
  <si>
    <t>02P633580170AC5</t>
  </si>
  <si>
    <t>02P633675643AC5</t>
  </si>
  <si>
    <t>02P633580189AC5</t>
  </si>
  <si>
    <t>02P633580197AC5</t>
  </si>
  <si>
    <t>02P633580200AC5</t>
  </si>
  <si>
    <t>02P633580219AC5</t>
  </si>
  <si>
    <t>02P633580227AC5</t>
  </si>
  <si>
    <t>02P633580235AC5</t>
  </si>
  <si>
    <t>03P633580243AC5</t>
  </si>
  <si>
    <t>03P633580251AC5</t>
  </si>
  <si>
    <t>AN250012438 -09 / AN250012483 - 09</t>
  </si>
  <si>
    <t>AN250012384 -18 / AN250012483 - 18</t>
  </si>
  <si>
    <t>12506Q100154</t>
  </si>
  <si>
    <t>910107517 - 40 / 910107890 - 40</t>
  </si>
  <si>
    <t>AN250012697</t>
  </si>
  <si>
    <t>AN250012497</t>
  </si>
  <si>
    <t>AN250012497-18+18+12 / AN250012498 -06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</si>
</sst>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Verdana"/>
      <family val="2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990033"/>
      </left>
      <right style="medium">
        <color rgb="FF990033"/>
      </right>
      <top style="medium">
        <color rgb="FF990033"/>
      </top>
      <bottom style="medium">
        <color rgb="FF990033"/>
      </bottom>
      <diagonal/>
    </border>
    <border>
      <left style="medium">
        <color rgb="FF990033"/>
      </left>
      <right/>
      <top/>
      <bottom/>
      <diagonal/>
    </border>
    <border>
      <left/>
      <right style="medium">
        <color rgb="FF990033"/>
      </right>
      <top/>
      <bottom/>
      <diagonal/>
    </border>
    <border>
      <left style="medium">
        <color rgb="FF990033"/>
      </left>
      <right/>
      <top/>
      <bottom style="medium">
        <color rgb="FF990033"/>
      </bottom>
      <diagonal/>
    </border>
    <border>
      <left/>
      <right/>
      <top/>
      <bottom style="medium">
        <color rgb="FF990033"/>
      </bottom>
      <diagonal/>
    </border>
    <border>
      <left/>
      <right style="medium">
        <color rgb="FF990033"/>
      </right>
      <top/>
      <bottom style="medium">
        <color rgb="FF990033"/>
      </bottom>
      <diagonal/>
    </border>
    <border>
      <left style="medium">
        <color rgb="FF990033"/>
      </left>
      <right/>
      <top style="medium">
        <color rgb="FF990033"/>
      </top>
      <bottom/>
      <diagonal/>
    </border>
    <border>
      <left/>
      <right/>
      <top style="medium">
        <color rgb="FF990033"/>
      </top>
      <bottom/>
      <diagonal/>
    </border>
    <border>
      <left/>
      <right style="medium">
        <color rgb="FF990033"/>
      </right>
      <top style="medium">
        <color rgb="FF9900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5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0" fontId="1" fillId="0" borderId="5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/>
    </xf>
    <xf numFmtId="14" fontId="5" fillId="0" borderId="8" xfId="0" applyNumberFormat="1" applyFont="1" applyBorder="1" applyAlignment="1">
      <alignment horizontal="justify" vertical="center"/>
    </xf>
    <xf numFmtId="0" fontId="5" fillId="0" borderId="8" xfId="0" applyFont="1" applyBorder="1" applyAlignment="1">
      <alignment horizontal="justify" vertical="center" wrapText="1"/>
    </xf>
    <xf numFmtId="20" fontId="1" fillId="0" borderId="6" xfId="0" applyNumberFormat="1" applyFont="1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20" fontId="1" fillId="3" borderId="17" xfId="0" applyNumberFormat="1" applyFont="1" applyFill="1" applyBorder="1" applyAlignment="1">
      <alignment horizontal="center" vertical="center"/>
    </xf>
    <xf numFmtId="20" fontId="1" fillId="0" borderId="17" xfId="0" applyNumberFormat="1" applyFont="1" applyBorder="1" applyAlignment="1">
      <alignment horizontal="center" vertical="center"/>
    </xf>
    <xf numFmtId="20" fontId="1" fillId="3" borderId="6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5" fillId="5" borderId="8" xfId="0" applyNumberFormat="1" applyFont="1" applyFill="1" applyBorder="1" applyAlignment="1">
      <alignment horizontal="justify" vertical="center"/>
    </xf>
    <xf numFmtId="0" fontId="5" fillId="3" borderId="8" xfId="0" applyFont="1" applyFill="1" applyBorder="1" applyAlignment="1">
      <alignment horizontal="justify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15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0" fontId="1" fillId="3" borderId="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0" fontId="0" fillId="0" borderId="0" xfId="0" applyNumberFormat="1"/>
    <xf numFmtId="0" fontId="1" fillId="2" borderId="5" xfId="0" applyFont="1" applyFill="1" applyBorder="1" applyAlignment="1">
      <alignment horizontal="center" vertical="center" wrapText="1"/>
    </xf>
    <xf numFmtId="20" fontId="1" fillId="0" borderId="19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5" fillId="3" borderId="8" xfId="0" applyNumberFormat="1" applyFont="1" applyFill="1" applyBorder="1" applyAlignment="1">
      <alignment horizontal="justify" vertical="center"/>
    </xf>
    <xf numFmtId="0" fontId="5" fillId="5" borderId="8" xfId="0" applyFont="1" applyFill="1" applyBorder="1" applyAlignment="1">
      <alignment horizontal="justify" vertical="center"/>
    </xf>
    <xf numFmtId="0" fontId="4" fillId="0" borderId="0" xfId="1"/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0" fillId="0" borderId="14" xfId="0" applyBorder="1" applyAlignment="1">
      <alignment horizontal="justify" vertical="center" wrapText="1"/>
    </xf>
    <xf numFmtId="0" fontId="0" fillId="0" borderId="15" xfId="0" applyBorder="1" applyAlignment="1">
      <alignment horizontal="justify" vertical="center" wrapText="1"/>
    </xf>
    <xf numFmtId="0" fontId="0" fillId="0" borderId="16" xfId="0" applyBorder="1" applyAlignment="1">
      <alignment horizontal="justify" vertical="center" wrapText="1"/>
    </xf>
    <xf numFmtId="0" fontId="4" fillId="0" borderId="9" xfId="1" applyBorder="1" applyAlignment="1">
      <alignment horizontal="left" vertical="center" wrapText="1"/>
    </xf>
    <xf numFmtId="0" fontId="4" fillId="0" borderId="0" xfId="1" applyBorder="1" applyAlignment="1">
      <alignment horizontal="left" vertical="center" wrapText="1"/>
    </xf>
    <xf numFmtId="0" fontId="4" fillId="0" borderId="10" xfId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0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92.168.1.249/downloads/temp/X539_eNagare_202613.lo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192.168.1.249/downloads/temp/X539202615Spares.log" TargetMode="External"/><Relationship Id="rId1" Type="http://schemas.openxmlformats.org/officeDocument/2006/relationships/hyperlink" Target="http://192.168.1.249/downloads/temp/X539_eNagare_202615.lo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192.168.1.249/downloads/temp/X539_eNagare_202616.lo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192.168.1.249/downloads/temp/X539_eNagare_202619.log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192.168.1.249/downloads/temp/X539_eNagare_2026110.log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192.168.1.249/downloads/temp/X539_eNagare_2026111.log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192.168.1.249/downloads/temp/X539_eNagare_2026112.lo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192.168.1.249/downloads/temp/X539_eNagare_2026116.log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192.168.1.249/downloads/temp/X539_eNagare_2026117.log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192.168.1.249/downloads/temp/X539_eNagare_2026119.log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249/downloads/temp/X5392026119Spares.lo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249/downloads/temp/X5392026127Spares.log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G25" sqref="G25"/>
    </sheetView>
  </sheetViews>
  <sheetFormatPr defaultColWidth="9.28515625" defaultRowHeight="15" x14ac:dyDescent="0.25"/>
  <cols>
    <col min="1" max="1" width="14.140625" bestFit="1" customWidth="1"/>
    <col min="2" max="2" width="12.7109375" bestFit="1" customWidth="1"/>
    <col min="3" max="3" width="11.5703125" bestFit="1" customWidth="1"/>
    <col min="4" max="4" width="16.140625" bestFit="1" customWidth="1"/>
    <col min="5" max="5" width="10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18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>
        <v>18</v>
      </c>
      <c r="E3" s="2" t="s">
        <v>8</v>
      </c>
    </row>
    <row r="4" spans="1:5" x14ac:dyDescent="0.25">
      <c r="A4" s="2" t="s">
        <v>12</v>
      </c>
      <c r="B4" s="2" t="s">
        <v>13</v>
      </c>
      <c r="C4" s="2" t="s">
        <v>14</v>
      </c>
      <c r="D4" s="2">
        <v>40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18</v>
      </c>
      <c r="D5" s="2">
        <v>2</v>
      </c>
      <c r="E5" s="2" t="s">
        <v>19</v>
      </c>
    </row>
    <row r="6" spans="1:5" x14ac:dyDescent="0.25">
      <c r="A6" s="2" t="s">
        <v>20</v>
      </c>
      <c r="B6" s="2" t="s">
        <v>21</v>
      </c>
      <c r="C6" s="2" t="s">
        <v>22</v>
      </c>
      <c r="D6" s="2">
        <v>2</v>
      </c>
      <c r="E6" s="2" t="s">
        <v>19</v>
      </c>
    </row>
    <row r="7" spans="1:5" x14ac:dyDescent="0.25">
      <c r="A7" s="2" t="s">
        <v>23</v>
      </c>
      <c r="B7" s="2" t="s">
        <v>24</v>
      </c>
      <c r="C7" s="2" t="s">
        <v>25</v>
      </c>
      <c r="D7" s="2">
        <v>40</v>
      </c>
      <c r="E7" s="2" t="s">
        <v>15</v>
      </c>
    </row>
    <row r="8" spans="1:5" x14ac:dyDescent="0.25">
      <c r="A8" s="2" t="s">
        <v>26</v>
      </c>
      <c r="B8" s="2" t="s">
        <v>27</v>
      </c>
      <c r="C8" s="2" t="s">
        <v>28</v>
      </c>
      <c r="D8" s="2">
        <v>6</v>
      </c>
      <c r="E8" s="2" t="s">
        <v>19</v>
      </c>
    </row>
    <row r="9" spans="1:5" x14ac:dyDescent="0.25">
      <c r="A9" s="2" t="s">
        <v>29</v>
      </c>
      <c r="B9" s="2" t="s">
        <v>30</v>
      </c>
      <c r="C9" s="2" t="s">
        <v>31</v>
      </c>
      <c r="D9" s="2">
        <v>1</v>
      </c>
      <c r="E9" s="2" t="s">
        <v>19</v>
      </c>
    </row>
    <row r="10" spans="1:5" x14ac:dyDescent="0.25">
      <c r="A10" s="2" t="s">
        <v>32</v>
      </c>
      <c r="B10" s="2" t="s">
        <v>33</v>
      </c>
      <c r="C10" s="2" t="s">
        <v>34</v>
      </c>
      <c r="D10" s="2">
        <v>1</v>
      </c>
      <c r="E10" s="2" t="s">
        <v>19</v>
      </c>
    </row>
  </sheetData>
  <conditionalFormatting sqref="A1:B1">
    <cfRule type="duplicateValues" dxfId="143" priority="7"/>
    <cfRule type="duplicateValues" dxfId="142" priority="8"/>
  </conditionalFormatting>
  <conditionalFormatting sqref="A1:B10">
    <cfRule type="containsText" dxfId="141" priority="3" operator="containsText" text="17521M68PA0">
      <formula>NOT(ISERROR(SEARCH("17521M68PA0",A1)))</formula>
    </cfRule>
    <cfRule type="containsText" dxfId="140" priority="4" operator="containsText" text="17521M74T00">
      <formula>NOT(ISERROR(SEARCH("17521M74T00",A1)))</formula>
    </cfRule>
  </conditionalFormatting>
  <conditionalFormatting sqref="A2:B10">
    <cfRule type="duplicateValues" dxfId="139" priority="5"/>
    <cfRule type="duplicateValues" dxfId="138" priority="6"/>
  </conditionalFormatting>
  <conditionalFormatting sqref="C1:E10">
    <cfRule type="containsText" dxfId="137" priority="1" operator="containsText" text="BELT,WATER PUMP - 5PK 913">
      <formula>NOT(ISERROR(SEARCH("BELT,WATER PUMP - 5PK 913",C1)))</formula>
    </cfRule>
    <cfRule type="containsText" dxfId="136" priority="2" operator="containsText" text="BELT,WATER PUMP - 7PK 975">
      <formula>NOT(ISERROR(SEARCH("BELT,WATER PUMP - 7PK 975",C1)))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0742-D29F-496A-BCF3-3470D9AC2C7D}">
  <sheetPr>
    <tabColor rgb="FF00B050"/>
    <pageSetUpPr fitToPage="1"/>
  </sheetPr>
  <dimension ref="A1:P55"/>
  <sheetViews>
    <sheetView workbookViewId="0">
      <selection activeCell="C3" sqref="C3"/>
    </sheetView>
  </sheetViews>
  <sheetFormatPr defaultColWidth="36" defaultRowHeight="15" x14ac:dyDescent="0.25"/>
  <cols>
    <col min="1" max="1" width="16.5703125" customWidth="1"/>
    <col min="2" max="2" width="18.28515625" customWidth="1"/>
    <col min="3" max="3" width="14.140625" bestFit="1" customWidth="1"/>
    <col min="4" max="4" width="14.140625" customWidth="1"/>
    <col min="5" max="5" width="32.5703125" bestFit="1" customWidth="1"/>
    <col min="6" max="6" width="9.2851562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0.42578125" customWidth="1"/>
    <col min="13" max="13" width="7.140625" bestFit="1" customWidth="1"/>
    <col min="14" max="14" width="7.85546875" bestFit="1" customWidth="1"/>
    <col min="15" max="15" width="10.7109375" customWidth="1"/>
    <col min="16" max="16" width="63.570312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55" t="s">
        <v>35</v>
      </c>
      <c r="K1" s="56"/>
      <c r="L1" s="56"/>
      <c r="M1" s="56"/>
      <c r="N1" s="56"/>
      <c r="O1" s="3"/>
      <c r="P1" s="4"/>
    </row>
    <row r="2" spans="1:16" ht="15.75" x14ac:dyDescent="0.25">
      <c r="A2" s="5" t="s">
        <v>36</v>
      </c>
      <c r="B2" s="6">
        <v>46027</v>
      </c>
      <c r="C2" s="7"/>
      <c r="D2" s="7"/>
      <c r="E2" s="2"/>
      <c r="F2" s="8"/>
      <c r="G2" s="2"/>
      <c r="H2" s="2"/>
      <c r="I2" s="2"/>
      <c r="J2" s="2"/>
      <c r="K2" s="2"/>
      <c r="L2" s="57" t="s">
        <v>37</v>
      </c>
      <c r="M2" s="58"/>
      <c r="N2" s="59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111</v>
      </c>
      <c r="B4" s="27" t="s">
        <v>51</v>
      </c>
      <c r="C4" s="2" t="s">
        <v>5</v>
      </c>
      <c r="D4" s="2" t="str">
        <f>VLOOKUP($C4,Sheet1!$A$2:$D$10,2,0)</f>
        <v>141110-14600</v>
      </c>
      <c r="E4" s="8" t="s">
        <v>52</v>
      </c>
      <c r="F4" s="12">
        <v>46027</v>
      </c>
      <c r="G4" s="13">
        <v>0.27083333333333331</v>
      </c>
      <c r="H4" s="2" t="s">
        <v>53</v>
      </c>
      <c r="I4" s="2" t="s">
        <v>54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2</v>
      </c>
      <c r="O4" s="2" t="s">
        <v>121</v>
      </c>
      <c r="P4" s="2" t="s">
        <v>416</v>
      </c>
    </row>
    <row r="5" spans="1:16" x14ac:dyDescent="0.25">
      <c r="A5" s="17" t="s">
        <v>111</v>
      </c>
      <c r="B5" s="27" t="s">
        <v>59</v>
      </c>
      <c r="C5" s="2" t="s">
        <v>9</v>
      </c>
      <c r="D5" s="2" t="str">
        <f>VLOOKUP($C5,Sheet1!$A$2:$D$10,2,0)</f>
        <v>141120-14600</v>
      </c>
      <c r="E5" s="8" t="s">
        <v>60</v>
      </c>
      <c r="F5" s="12">
        <v>46027</v>
      </c>
      <c r="G5" s="13">
        <v>0.27083333333333331</v>
      </c>
      <c r="H5" s="2" t="s">
        <v>53</v>
      </c>
      <c r="I5" s="2" t="s">
        <v>54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121</v>
      </c>
      <c r="P5" s="2" t="s">
        <v>416</v>
      </c>
    </row>
    <row r="6" spans="1:16" x14ac:dyDescent="0.25">
      <c r="A6" s="17" t="s">
        <v>111</v>
      </c>
      <c r="B6" s="27" t="s">
        <v>55</v>
      </c>
      <c r="C6" s="2" t="s">
        <v>5</v>
      </c>
      <c r="D6" s="2" t="str">
        <f>VLOOKUP($C6,Sheet1!$A$2:$D$10,2,0)</f>
        <v>141110-14600</v>
      </c>
      <c r="E6" s="8" t="s">
        <v>52</v>
      </c>
      <c r="F6" s="12">
        <v>46027</v>
      </c>
      <c r="G6" s="13">
        <v>0.27083333333333331</v>
      </c>
      <c r="H6" s="2" t="s">
        <v>53</v>
      </c>
      <c r="I6" s="2" t="s">
        <v>54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2">
        <v>1</v>
      </c>
      <c r="O6" s="2" t="s">
        <v>121</v>
      </c>
      <c r="P6" s="2" t="s">
        <v>416</v>
      </c>
    </row>
    <row r="7" spans="1:16" x14ac:dyDescent="0.25">
      <c r="A7" s="17" t="s">
        <v>111</v>
      </c>
      <c r="B7" s="27" t="s">
        <v>61</v>
      </c>
      <c r="C7" s="2" t="s">
        <v>9</v>
      </c>
      <c r="D7" s="2" t="str">
        <f>VLOOKUP($C7,Sheet1!$A$2:$D$10,2,0)</f>
        <v>141120-14600</v>
      </c>
      <c r="E7" s="8" t="s">
        <v>60</v>
      </c>
      <c r="F7" s="12">
        <v>46027</v>
      </c>
      <c r="G7" s="13">
        <v>0.27083333333333331</v>
      </c>
      <c r="H7" s="2" t="s">
        <v>53</v>
      </c>
      <c r="I7" s="2" t="s">
        <v>54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3"/>
      <c r="O7" s="2" t="s">
        <v>121</v>
      </c>
      <c r="P7" s="2" t="s">
        <v>416</v>
      </c>
    </row>
    <row r="8" spans="1:16" x14ac:dyDescent="0.25">
      <c r="A8" s="17" t="s">
        <v>111</v>
      </c>
      <c r="B8" s="27" t="s">
        <v>65</v>
      </c>
      <c r="C8" s="2" t="s">
        <v>12</v>
      </c>
      <c r="D8" s="2" t="str">
        <f>VLOOKUP($C8,Sheet1!$A$2:$D$10,2,0)</f>
        <v>141185-74670</v>
      </c>
      <c r="E8" s="8" t="s">
        <v>66</v>
      </c>
      <c r="F8" s="12">
        <v>46027</v>
      </c>
      <c r="G8" s="13">
        <v>0.27083333333333331</v>
      </c>
      <c r="H8" s="2" t="s">
        <v>53</v>
      </c>
      <c r="I8" s="2" t="s">
        <v>54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121</v>
      </c>
      <c r="P8" s="2">
        <v>910104284</v>
      </c>
    </row>
    <row r="9" spans="1:16" x14ac:dyDescent="0.25">
      <c r="A9" s="17" t="s">
        <v>111</v>
      </c>
      <c r="B9" s="27" t="s">
        <v>69</v>
      </c>
      <c r="C9" s="2" t="s">
        <v>16</v>
      </c>
      <c r="D9" s="2" t="str">
        <f>VLOOKUP($C9,Sheet1!$A$2:$D$10,2,0)</f>
        <v>141140-91211</v>
      </c>
      <c r="E9" s="8" t="s">
        <v>70</v>
      </c>
      <c r="F9" s="12">
        <v>46027</v>
      </c>
      <c r="G9" s="13">
        <v>0.27083333333333331</v>
      </c>
      <c r="H9" s="2" t="s">
        <v>71</v>
      </c>
      <c r="I9" s="2" t="s">
        <v>54</v>
      </c>
      <c r="J9" s="2">
        <v>30</v>
      </c>
      <c r="K9" s="14">
        <f>VLOOKUP($C9,Sheet1!$A$2:$D$10,4,0)</f>
        <v>2</v>
      </c>
      <c r="L9" s="14" t="str">
        <f>VLOOKUP($C9,Sheet1!$A$2:$E$10,5,0)</f>
        <v>Bin</v>
      </c>
      <c r="M9" s="14">
        <f>J9/K9</f>
        <v>15</v>
      </c>
      <c r="N9" s="2"/>
      <c r="O9" s="2" t="s">
        <v>121</v>
      </c>
      <c r="P9" s="2" t="s">
        <v>417</v>
      </c>
    </row>
    <row r="10" spans="1:16" x14ac:dyDescent="0.25">
      <c r="A10" s="17" t="s">
        <v>111</v>
      </c>
      <c r="B10" s="27" t="s">
        <v>72</v>
      </c>
      <c r="C10" s="2" t="s">
        <v>16</v>
      </c>
      <c r="D10" s="2" t="str">
        <f>VLOOKUP($C10,Sheet1!$A$2:$D$10,2,0)</f>
        <v>141140-91211</v>
      </c>
      <c r="E10" s="8" t="s">
        <v>70</v>
      </c>
      <c r="F10" s="12">
        <v>46027</v>
      </c>
      <c r="G10" s="13">
        <v>0.27083333333333331</v>
      </c>
      <c r="H10" s="2" t="s">
        <v>71</v>
      </c>
      <c r="I10" s="2" t="s">
        <v>54</v>
      </c>
      <c r="J10" s="2">
        <v>14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ref="M10:M14" si="0">J10/K10</f>
        <v>7</v>
      </c>
      <c r="N10" s="2"/>
      <c r="O10" s="2" t="s">
        <v>121</v>
      </c>
      <c r="P10" s="2" t="s">
        <v>419</v>
      </c>
    </row>
    <row r="11" spans="1:16" x14ac:dyDescent="0.25">
      <c r="A11" s="17" t="s">
        <v>111</v>
      </c>
      <c r="B11" s="27" t="s">
        <v>73</v>
      </c>
      <c r="C11" s="2" t="s">
        <v>16</v>
      </c>
      <c r="D11" s="2" t="str">
        <f>VLOOKUP($C11,Sheet1!$A$2:$D$10,2,0)</f>
        <v>141140-91211</v>
      </c>
      <c r="E11" s="8" t="s">
        <v>70</v>
      </c>
      <c r="F11" s="12">
        <v>46027</v>
      </c>
      <c r="G11" s="13">
        <v>0.27083333333333331</v>
      </c>
      <c r="H11" s="2" t="s">
        <v>71</v>
      </c>
      <c r="I11" s="2" t="s">
        <v>54</v>
      </c>
      <c r="J11" s="2">
        <v>4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si="0"/>
        <v>2</v>
      </c>
      <c r="N11" s="2"/>
      <c r="O11" s="2" t="s">
        <v>121</v>
      </c>
      <c r="P11" s="2" t="s">
        <v>417</v>
      </c>
    </row>
    <row r="12" spans="1:16" x14ac:dyDescent="0.25">
      <c r="A12" s="17" t="s">
        <v>111</v>
      </c>
      <c r="B12" s="27" t="s">
        <v>77</v>
      </c>
      <c r="C12" s="2" t="s">
        <v>20</v>
      </c>
      <c r="D12" s="2" t="str">
        <f>VLOOKUP($C12,Sheet1!$A$2:$D$10,2,0)</f>
        <v>141150-91211</v>
      </c>
      <c r="E12" s="8" t="s">
        <v>78</v>
      </c>
      <c r="F12" s="12">
        <v>46027</v>
      </c>
      <c r="G12" s="13">
        <v>0.27083333333333331</v>
      </c>
      <c r="H12" s="2" t="s">
        <v>71</v>
      </c>
      <c r="I12" s="2" t="s">
        <v>54</v>
      </c>
      <c r="J12" s="2">
        <v>30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15</v>
      </c>
      <c r="N12" s="2"/>
      <c r="O12" s="2" t="s">
        <v>121</v>
      </c>
      <c r="P12" s="2" t="s">
        <v>417</v>
      </c>
    </row>
    <row r="13" spans="1:16" x14ac:dyDescent="0.25">
      <c r="A13" s="17" t="s">
        <v>111</v>
      </c>
      <c r="B13" s="27" t="s">
        <v>79</v>
      </c>
      <c r="C13" s="2" t="s">
        <v>20</v>
      </c>
      <c r="D13" s="2" t="str">
        <f>VLOOKUP($C13,Sheet1!$A$2:$D$10,2,0)</f>
        <v>141150-91211</v>
      </c>
      <c r="E13" s="8" t="s">
        <v>78</v>
      </c>
      <c r="F13" s="12">
        <v>46027</v>
      </c>
      <c r="G13" s="13">
        <v>0.27083333333333331</v>
      </c>
      <c r="H13" s="2" t="s">
        <v>71</v>
      </c>
      <c r="I13" s="2" t="s">
        <v>54</v>
      </c>
      <c r="J13" s="2">
        <v>14</v>
      </c>
      <c r="K13" s="14">
        <f>VLOOKUP($C13,Sheet1!$A$2:$D$10,4,0)</f>
        <v>2</v>
      </c>
      <c r="L13" s="14" t="str">
        <f>VLOOKUP($C13,Sheet1!$A$2:$E$10,5,0)</f>
        <v>Bin</v>
      </c>
      <c r="M13" s="14">
        <f t="shared" si="0"/>
        <v>7</v>
      </c>
      <c r="N13" s="2"/>
      <c r="O13" s="2" t="s">
        <v>121</v>
      </c>
      <c r="P13" s="2" t="s">
        <v>417</v>
      </c>
    </row>
    <row r="14" spans="1:16" x14ac:dyDescent="0.25">
      <c r="A14" s="17" t="s">
        <v>111</v>
      </c>
      <c r="B14" s="27" t="s">
        <v>80</v>
      </c>
      <c r="C14" s="2" t="s">
        <v>20</v>
      </c>
      <c r="D14" s="2" t="str">
        <f>VLOOKUP($C14,Sheet1!$A$2:$D$10,2,0)</f>
        <v>141150-91211</v>
      </c>
      <c r="E14" s="8" t="s">
        <v>78</v>
      </c>
      <c r="F14" s="12">
        <v>46027</v>
      </c>
      <c r="G14" s="13">
        <v>0.27083333333333331</v>
      </c>
      <c r="H14" s="2" t="s">
        <v>71</v>
      </c>
      <c r="I14" s="2" t="s">
        <v>54</v>
      </c>
      <c r="J14" s="2">
        <v>4</v>
      </c>
      <c r="K14" s="14">
        <f>VLOOKUP($C14,Sheet1!$A$2:$D$10,4,0)</f>
        <v>2</v>
      </c>
      <c r="L14" s="14" t="str">
        <f>VLOOKUP($C14,Sheet1!$A$2:$E$10,5,0)</f>
        <v>Bin</v>
      </c>
      <c r="M14" s="14">
        <f t="shared" si="0"/>
        <v>2</v>
      </c>
      <c r="N14" s="2"/>
      <c r="O14" s="2" t="s">
        <v>121</v>
      </c>
      <c r="P14" s="2" t="s">
        <v>417</v>
      </c>
    </row>
    <row r="15" spans="1:16" x14ac:dyDescent="0.25">
      <c r="A15" s="17" t="s">
        <v>111</v>
      </c>
      <c r="B15" s="27" t="s">
        <v>84</v>
      </c>
      <c r="C15" s="2" t="s">
        <v>23</v>
      </c>
      <c r="D15" s="2" t="str">
        <f>VLOOKUP($C15,Sheet1!$A$2:$D$10,2,0)</f>
        <v>141186-74360</v>
      </c>
      <c r="E15" s="8" t="s">
        <v>85</v>
      </c>
      <c r="F15" s="12">
        <v>46027</v>
      </c>
      <c r="G15" s="13">
        <v>0.27083333333333331</v>
      </c>
      <c r="H15" s="2" t="s">
        <v>71</v>
      </c>
      <c r="I15" s="2" t="s">
        <v>54</v>
      </c>
      <c r="J15" s="2">
        <v>80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 t="shared" ref="N15:N16" si="1">J15/K15</f>
        <v>2</v>
      </c>
      <c r="O15" s="2" t="s">
        <v>121</v>
      </c>
      <c r="P15" s="2">
        <v>910104269</v>
      </c>
    </row>
    <row r="16" spans="1:16" x14ac:dyDescent="0.25">
      <c r="A16" s="17" t="s">
        <v>111</v>
      </c>
      <c r="B16" s="27" t="s">
        <v>86</v>
      </c>
      <c r="C16" s="2" t="s">
        <v>23</v>
      </c>
      <c r="D16" s="2" t="str">
        <f>VLOOKUP($C16,Sheet1!$A$2:$D$10,2,0)</f>
        <v>141186-74360</v>
      </c>
      <c r="E16" s="8" t="s">
        <v>85</v>
      </c>
      <c r="F16" s="12">
        <v>46027</v>
      </c>
      <c r="G16" s="13">
        <v>0.27083333333333331</v>
      </c>
      <c r="H16" s="2" t="s">
        <v>71</v>
      </c>
      <c r="I16" s="2" t="s">
        <v>54</v>
      </c>
      <c r="J16" s="2">
        <v>40</v>
      </c>
      <c r="K16" s="14">
        <f>VLOOKUP($C16,Sheet1!$A$2:$D$10,4,0)</f>
        <v>40</v>
      </c>
      <c r="L16" s="14" t="str">
        <f>VLOOKUP($C16,Sheet1!$A$2:$E$10,5,0)</f>
        <v>Trolley</v>
      </c>
      <c r="M16" s="14"/>
      <c r="N16" s="2">
        <f t="shared" si="1"/>
        <v>1</v>
      </c>
      <c r="O16" s="2" t="s">
        <v>121</v>
      </c>
      <c r="P16" s="2">
        <v>910104269</v>
      </c>
    </row>
    <row r="17" spans="1:16" x14ac:dyDescent="0.25">
      <c r="A17" s="17" t="s">
        <v>112</v>
      </c>
      <c r="B17" s="27" t="s">
        <v>89</v>
      </c>
      <c r="C17" s="2" t="s">
        <v>26</v>
      </c>
      <c r="D17" s="2" t="str">
        <f>VLOOKUP($C17,Sheet1!$A$2:$D$10,2,0)</f>
        <v>116040-92240</v>
      </c>
      <c r="E17" s="8" t="s">
        <v>90</v>
      </c>
      <c r="F17" s="12">
        <v>46027</v>
      </c>
      <c r="G17" s="13">
        <v>0.27083333333333331</v>
      </c>
      <c r="H17" s="2" t="s">
        <v>91</v>
      </c>
      <c r="I17" s="2" t="s">
        <v>54</v>
      </c>
      <c r="J17" s="2">
        <v>30</v>
      </c>
      <c r="K17" s="14">
        <f>VLOOKUP($C17,Sheet1!$A$2:$D$10,4,0)</f>
        <v>6</v>
      </c>
      <c r="L17" s="14" t="str">
        <f>VLOOKUP($C17,Sheet1!$A$2:$E$10,5,0)</f>
        <v>Bin</v>
      </c>
      <c r="M17" s="14">
        <f t="shared" ref="M17:M25" si="2">J17/K17</f>
        <v>5</v>
      </c>
      <c r="N17" s="2"/>
      <c r="O17" s="2" t="s">
        <v>121</v>
      </c>
      <c r="P17" s="2" t="s">
        <v>420</v>
      </c>
    </row>
    <row r="18" spans="1:16" x14ac:dyDescent="0.25">
      <c r="A18" s="17" t="s">
        <v>112</v>
      </c>
      <c r="B18" s="27" t="s">
        <v>92</v>
      </c>
      <c r="C18" s="2" t="s">
        <v>26</v>
      </c>
      <c r="D18" s="2" t="str">
        <f>VLOOKUP($C18,Sheet1!$A$2:$D$10,2,0)</f>
        <v>116040-92240</v>
      </c>
      <c r="E18" s="8" t="s">
        <v>90</v>
      </c>
      <c r="F18" s="12">
        <v>46027</v>
      </c>
      <c r="G18" s="13">
        <v>0.27083333333333331</v>
      </c>
      <c r="H18" s="2" t="s">
        <v>91</v>
      </c>
      <c r="I18" s="2" t="s">
        <v>54</v>
      </c>
      <c r="J18" s="2">
        <v>12</v>
      </c>
      <c r="K18" s="14">
        <f>VLOOKUP($C18,Sheet1!$A$2:$D$10,4,0)</f>
        <v>6</v>
      </c>
      <c r="L18" s="14" t="str">
        <f>VLOOKUP($C18,Sheet1!$A$2:$E$10,5,0)</f>
        <v>Bin</v>
      </c>
      <c r="M18" s="14">
        <f t="shared" si="2"/>
        <v>2</v>
      </c>
      <c r="N18" s="2"/>
      <c r="O18" s="2" t="s">
        <v>121</v>
      </c>
      <c r="P18" s="2" t="s">
        <v>420</v>
      </c>
    </row>
    <row r="19" spans="1:16" x14ac:dyDescent="0.25">
      <c r="A19" s="17" t="s">
        <v>112</v>
      </c>
      <c r="B19" s="27" t="s">
        <v>93</v>
      </c>
      <c r="C19" s="2" t="s">
        <v>26</v>
      </c>
      <c r="D19" s="2" t="str">
        <f>VLOOKUP($C19,Sheet1!$A$2:$D$10,2,0)</f>
        <v>116040-92240</v>
      </c>
      <c r="E19" s="8" t="s">
        <v>90</v>
      </c>
      <c r="F19" s="12">
        <v>46027</v>
      </c>
      <c r="G19" s="13">
        <v>0.27083333333333331</v>
      </c>
      <c r="H19" s="2" t="s">
        <v>91</v>
      </c>
      <c r="I19" s="2" t="s">
        <v>54</v>
      </c>
      <c r="J19" s="2">
        <v>6</v>
      </c>
      <c r="K19" s="14">
        <f>VLOOKUP($C19,Sheet1!$A$2:$D$10,4,0)</f>
        <v>6</v>
      </c>
      <c r="L19" s="14" t="str">
        <f>VLOOKUP($C19,Sheet1!$A$2:$E$10,5,0)</f>
        <v>Bin</v>
      </c>
      <c r="M19" s="14">
        <f t="shared" si="2"/>
        <v>1</v>
      </c>
      <c r="N19" s="2"/>
      <c r="O19" s="2" t="s">
        <v>121</v>
      </c>
      <c r="P19" s="2" t="s">
        <v>420</v>
      </c>
    </row>
    <row r="20" spans="1:16" x14ac:dyDescent="0.25">
      <c r="A20" s="17" t="s">
        <v>112</v>
      </c>
      <c r="B20" s="27" t="s">
        <v>97</v>
      </c>
      <c r="C20" s="2" t="s">
        <v>32</v>
      </c>
      <c r="D20" s="2" t="str">
        <f>VLOOKUP($C20,Sheet1!$A$2:$D$10,2,0)</f>
        <v>114010-50820</v>
      </c>
      <c r="E20" s="8" t="s">
        <v>98</v>
      </c>
      <c r="F20" s="12">
        <v>46027</v>
      </c>
      <c r="G20" s="13">
        <v>0.27083333333333331</v>
      </c>
      <c r="H20" s="2" t="s">
        <v>91</v>
      </c>
      <c r="I20" s="2" t="s">
        <v>54</v>
      </c>
      <c r="J20" s="2">
        <v>12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2"/>
        <v>12</v>
      </c>
      <c r="N20" s="2"/>
      <c r="O20" s="2" t="s">
        <v>121</v>
      </c>
      <c r="P20" s="2" t="s">
        <v>418</v>
      </c>
    </row>
    <row r="21" spans="1:16" x14ac:dyDescent="0.25">
      <c r="A21" s="17" t="s">
        <v>112</v>
      </c>
      <c r="B21" s="27" t="s">
        <v>99</v>
      </c>
      <c r="C21" s="2" t="s">
        <v>32</v>
      </c>
      <c r="D21" s="2" t="str">
        <f>VLOOKUP($C21,Sheet1!$A$2:$D$10,2,0)</f>
        <v>114010-50820</v>
      </c>
      <c r="E21" s="8" t="s">
        <v>98</v>
      </c>
      <c r="F21" s="12">
        <v>46027</v>
      </c>
      <c r="G21" s="13">
        <v>0.27083333333333331</v>
      </c>
      <c r="H21" s="2" t="s">
        <v>91</v>
      </c>
      <c r="I21" s="2" t="s">
        <v>54</v>
      </c>
      <c r="J21" s="2">
        <v>10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2"/>
        <v>10</v>
      </c>
      <c r="N21" s="2"/>
      <c r="O21" s="2" t="s">
        <v>121</v>
      </c>
      <c r="P21" s="2" t="s">
        <v>418</v>
      </c>
    </row>
    <row r="22" spans="1:16" x14ac:dyDescent="0.25">
      <c r="A22" s="17" t="s">
        <v>112</v>
      </c>
      <c r="B22" s="27" t="s">
        <v>100</v>
      </c>
      <c r="C22" s="2" t="s">
        <v>32</v>
      </c>
      <c r="D22" s="2" t="str">
        <f>VLOOKUP($C22,Sheet1!$A$2:$D$10,2,0)</f>
        <v>114010-50820</v>
      </c>
      <c r="E22" s="8" t="s">
        <v>98</v>
      </c>
      <c r="F22" s="12">
        <v>46027</v>
      </c>
      <c r="G22" s="13">
        <v>0.27083333333333331</v>
      </c>
      <c r="H22" s="2" t="s">
        <v>91</v>
      </c>
      <c r="I22" s="2" t="s">
        <v>54</v>
      </c>
      <c r="J22" s="2">
        <v>1</v>
      </c>
      <c r="K22" s="14">
        <f>VLOOKUP($C22,Sheet1!$A$2:$D$10,4,0)</f>
        <v>1</v>
      </c>
      <c r="L22" s="14" t="str">
        <f>VLOOKUP($C22,Sheet1!$A$2:$E$10,5,0)</f>
        <v>Bin</v>
      </c>
      <c r="M22" s="14">
        <f t="shared" si="2"/>
        <v>1</v>
      </c>
      <c r="N22" s="2"/>
      <c r="O22" s="2" t="s">
        <v>121</v>
      </c>
      <c r="P22" s="2" t="s">
        <v>418</v>
      </c>
    </row>
    <row r="23" spans="1:16" x14ac:dyDescent="0.25">
      <c r="A23" s="17" t="s">
        <v>112</v>
      </c>
      <c r="B23" s="27" t="s">
        <v>104</v>
      </c>
      <c r="C23" s="2" t="s">
        <v>29</v>
      </c>
      <c r="D23" s="2" t="str">
        <f>VLOOKUP($C23,Sheet1!$A$2:$D$10,2,0)</f>
        <v>114010-50830</v>
      </c>
      <c r="E23" s="8" t="s">
        <v>98</v>
      </c>
      <c r="F23" s="12">
        <v>46027</v>
      </c>
      <c r="G23" s="13">
        <v>0.27083333333333331</v>
      </c>
      <c r="H23" s="2" t="s">
        <v>91</v>
      </c>
      <c r="I23" s="2" t="s">
        <v>54</v>
      </c>
      <c r="J23" s="2">
        <v>19</v>
      </c>
      <c r="K23" s="14">
        <f>VLOOKUP($C23,Sheet1!$A$2:$D$10,4,0)</f>
        <v>1</v>
      </c>
      <c r="L23" s="14" t="str">
        <f>VLOOKUP($C23,Sheet1!$A$2:$E$10,5,0)</f>
        <v>Bin</v>
      </c>
      <c r="M23" s="14">
        <f t="shared" si="2"/>
        <v>19</v>
      </c>
      <c r="N23" s="2"/>
      <c r="O23" s="2" t="s">
        <v>121</v>
      </c>
      <c r="P23" s="2" t="s">
        <v>417</v>
      </c>
    </row>
    <row r="24" spans="1:16" x14ac:dyDescent="0.25">
      <c r="A24" s="17" t="s">
        <v>112</v>
      </c>
      <c r="B24" s="27" t="s">
        <v>105</v>
      </c>
      <c r="C24" s="2" t="s">
        <v>29</v>
      </c>
      <c r="D24" s="2" t="str">
        <f>VLOOKUP($C24,Sheet1!$A$2:$D$10,2,0)</f>
        <v>114010-50830</v>
      </c>
      <c r="E24" s="8" t="s">
        <v>98</v>
      </c>
      <c r="F24" s="12">
        <v>46027</v>
      </c>
      <c r="G24" s="13">
        <v>0.27083333333333331</v>
      </c>
      <c r="H24" s="2" t="s">
        <v>91</v>
      </c>
      <c r="I24" s="2" t="s">
        <v>54</v>
      </c>
      <c r="J24" s="2">
        <v>4</v>
      </c>
      <c r="K24" s="14">
        <f>VLOOKUP($C24,Sheet1!$A$2:$D$10,4,0)</f>
        <v>1</v>
      </c>
      <c r="L24" s="14" t="str">
        <f>VLOOKUP($C24,Sheet1!$A$2:$E$10,5,0)</f>
        <v>Bin</v>
      </c>
      <c r="M24" s="14">
        <f t="shared" si="2"/>
        <v>4</v>
      </c>
      <c r="N24" s="2"/>
      <c r="O24" s="2" t="s">
        <v>121</v>
      </c>
      <c r="P24" s="2" t="s">
        <v>417</v>
      </c>
    </row>
    <row r="25" spans="1:16" x14ac:dyDescent="0.25">
      <c r="A25" s="17" t="s">
        <v>112</v>
      </c>
      <c r="B25" s="27" t="s">
        <v>106</v>
      </c>
      <c r="C25" s="2" t="s">
        <v>29</v>
      </c>
      <c r="D25" s="2" t="str">
        <f>VLOOKUP($C25,Sheet1!$A$2:$D$10,2,0)</f>
        <v>114010-50830</v>
      </c>
      <c r="E25" s="8" t="s">
        <v>98</v>
      </c>
      <c r="F25" s="12">
        <v>46027</v>
      </c>
      <c r="G25" s="13">
        <v>0.27083333333333331</v>
      </c>
      <c r="H25" s="2" t="s">
        <v>91</v>
      </c>
      <c r="I25" s="2" t="s">
        <v>54</v>
      </c>
      <c r="J25" s="2">
        <v>3</v>
      </c>
      <c r="K25" s="14">
        <f>VLOOKUP($C25,Sheet1!$A$2:$D$10,4,0)</f>
        <v>1</v>
      </c>
      <c r="L25" s="14" t="str">
        <f>VLOOKUP($C25,Sheet1!$A$2:$E$10,5,0)</f>
        <v>Bin</v>
      </c>
      <c r="M25" s="14">
        <f t="shared" si="2"/>
        <v>3</v>
      </c>
      <c r="N25" s="2"/>
      <c r="O25" s="2" t="s">
        <v>121</v>
      </c>
      <c r="P25" s="2" t="s">
        <v>417</v>
      </c>
    </row>
    <row r="26" spans="1:16" s="11" customForma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>
        <v>105</v>
      </c>
      <c r="N26" s="10">
        <v>8</v>
      </c>
      <c r="O26" s="10"/>
      <c r="P26" s="10"/>
    </row>
    <row r="27" spans="1:16" x14ac:dyDescent="0.25">
      <c r="A27" s="17" t="s">
        <v>113</v>
      </c>
      <c r="B27" s="27" t="s">
        <v>56</v>
      </c>
      <c r="C27" s="2" t="s">
        <v>5</v>
      </c>
      <c r="D27" s="2" t="str">
        <f>VLOOKUP($C27,Sheet1!$A$2:$D$10,2,0)</f>
        <v>141110-14600</v>
      </c>
      <c r="E27" s="8" t="s">
        <v>52</v>
      </c>
      <c r="F27" s="12">
        <v>46027</v>
      </c>
      <c r="G27" s="13">
        <v>0.47916666666666669</v>
      </c>
      <c r="H27" s="2" t="s">
        <v>53</v>
      </c>
      <c r="I27" s="2" t="s">
        <v>54</v>
      </c>
      <c r="J27" s="2">
        <v>18</v>
      </c>
      <c r="K27" s="14">
        <f>VLOOKUP($C27,Sheet1!$A$2:$D$10,4,0)</f>
        <v>18</v>
      </c>
      <c r="L27" s="14" t="str">
        <f>VLOOKUP($C27,Sheet1!$A$2:$E$10,5,0)</f>
        <v>Trolley (H)</v>
      </c>
      <c r="M27" s="14"/>
      <c r="N27" s="52">
        <v>1</v>
      </c>
      <c r="O27" s="2" t="s">
        <v>119</v>
      </c>
      <c r="P27" s="2" t="s">
        <v>416</v>
      </c>
    </row>
    <row r="28" spans="1:16" x14ac:dyDescent="0.25">
      <c r="A28" s="17" t="s">
        <v>113</v>
      </c>
      <c r="B28" s="27" t="s">
        <v>62</v>
      </c>
      <c r="C28" s="2" t="s">
        <v>9</v>
      </c>
      <c r="D28" s="2" t="str">
        <f>VLOOKUP($C28,Sheet1!$A$2:$D$10,2,0)</f>
        <v>141120-14600</v>
      </c>
      <c r="E28" s="8" t="s">
        <v>60</v>
      </c>
      <c r="F28" s="12">
        <v>46027</v>
      </c>
      <c r="G28" s="13">
        <v>0.47916666666666669</v>
      </c>
      <c r="H28" s="2" t="s">
        <v>53</v>
      </c>
      <c r="I28" s="2" t="s">
        <v>54</v>
      </c>
      <c r="J28" s="2">
        <v>18</v>
      </c>
      <c r="K28" s="14">
        <f>VLOOKUP($C28,Sheet1!$A$2:$D$10,4,0)</f>
        <v>18</v>
      </c>
      <c r="L28" s="14" t="str">
        <f>VLOOKUP($C28,Sheet1!$A$2:$E$10,5,0)</f>
        <v>Trolley (H)</v>
      </c>
      <c r="M28" s="14"/>
      <c r="N28" s="53"/>
      <c r="O28" s="2" t="s">
        <v>119</v>
      </c>
      <c r="P28" s="2" t="s">
        <v>416</v>
      </c>
    </row>
    <row r="29" spans="1:16" x14ac:dyDescent="0.25">
      <c r="A29" s="17" t="s">
        <v>113</v>
      </c>
      <c r="B29" s="27" t="s">
        <v>67</v>
      </c>
      <c r="C29" s="2" t="s">
        <v>12</v>
      </c>
      <c r="D29" s="2" t="str">
        <f>VLOOKUP($C29,Sheet1!$A$2:$D$10,2,0)</f>
        <v>141185-74670</v>
      </c>
      <c r="E29" s="8" t="s">
        <v>66</v>
      </c>
      <c r="F29" s="12">
        <v>46027</v>
      </c>
      <c r="G29" s="13">
        <v>0.47916666666666669</v>
      </c>
      <c r="H29" s="2" t="s">
        <v>53</v>
      </c>
      <c r="I29" s="2" t="s">
        <v>54</v>
      </c>
      <c r="J29" s="2">
        <v>40</v>
      </c>
      <c r="K29" s="14">
        <f>VLOOKUP($C29,Sheet1!$A$2:$D$10,4,0)</f>
        <v>40</v>
      </c>
      <c r="L29" s="14" t="str">
        <f>VLOOKUP($C29,Sheet1!$A$2:$E$10,5,0)</f>
        <v>Trolley</v>
      </c>
      <c r="M29" s="14"/>
      <c r="N29" s="2">
        <f>J29/K29</f>
        <v>1</v>
      </c>
      <c r="O29" s="2" t="s">
        <v>119</v>
      </c>
      <c r="P29" s="2">
        <v>910104284</v>
      </c>
    </row>
    <row r="30" spans="1:16" x14ac:dyDescent="0.25">
      <c r="A30" s="17" t="s">
        <v>113</v>
      </c>
      <c r="B30" s="27" t="s">
        <v>74</v>
      </c>
      <c r="C30" s="2" t="s">
        <v>16</v>
      </c>
      <c r="D30" s="2" t="str">
        <f>VLOOKUP($C30,Sheet1!$A$2:$D$10,2,0)</f>
        <v>141140-91211</v>
      </c>
      <c r="E30" s="8" t="s">
        <v>70</v>
      </c>
      <c r="F30" s="12">
        <v>46027</v>
      </c>
      <c r="G30" s="13">
        <v>0.47916666666666669</v>
      </c>
      <c r="H30" s="2" t="s">
        <v>71</v>
      </c>
      <c r="I30" s="2" t="s">
        <v>54</v>
      </c>
      <c r="J30" s="2">
        <v>26</v>
      </c>
      <c r="K30" s="14">
        <f>VLOOKUP($C30,Sheet1!$A$2:$D$10,4,0)</f>
        <v>2</v>
      </c>
      <c r="L30" s="14" t="str">
        <f>VLOOKUP($C30,Sheet1!$A$2:$E$10,5,0)</f>
        <v>Bin</v>
      </c>
      <c r="M30" s="14">
        <f t="shared" ref="M30:M31" si="3">J30/K30</f>
        <v>13</v>
      </c>
      <c r="N30" s="2"/>
      <c r="O30" s="2" t="s">
        <v>119</v>
      </c>
      <c r="P30" s="2" t="s">
        <v>417</v>
      </c>
    </row>
    <row r="31" spans="1:16" x14ac:dyDescent="0.25">
      <c r="A31" s="17" t="s">
        <v>113</v>
      </c>
      <c r="B31" s="27" t="s">
        <v>81</v>
      </c>
      <c r="C31" s="2" t="s">
        <v>20</v>
      </c>
      <c r="D31" s="2" t="str">
        <f>VLOOKUP($C31,Sheet1!$A$2:$D$10,2,0)</f>
        <v>141150-91211</v>
      </c>
      <c r="E31" s="8" t="s">
        <v>78</v>
      </c>
      <c r="F31" s="12">
        <v>46027</v>
      </c>
      <c r="G31" s="13">
        <v>0.47916666666666669</v>
      </c>
      <c r="H31" s="2" t="s">
        <v>71</v>
      </c>
      <c r="I31" s="2" t="s">
        <v>54</v>
      </c>
      <c r="J31" s="2">
        <v>24</v>
      </c>
      <c r="K31" s="14">
        <f>VLOOKUP($C31,Sheet1!$A$2:$D$10,4,0)</f>
        <v>2</v>
      </c>
      <c r="L31" s="14" t="str">
        <f>VLOOKUP($C31,Sheet1!$A$2:$E$10,5,0)</f>
        <v>Bin</v>
      </c>
      <c r="M31" s="14">
        <f t="shared" si="3"/>
        <v>12</v>
      </c>
      <c r="N31" s="2"/>
      <c r="O31" s="2" t="s">
        <v>119</v>
      </c>
      <c r="P31" s="2" t="s">
        <v>417</v>
      </c>
    </row>
    <row r="32" spans="1:16" x14ac:dyDescent="0.25">
      <c r="A32" s="17" t="s">
        <v>113</v>
      </c>
      <c r="B32" s="27" t="s">
        <v>87</v>
      </c>
      <c r="C32" s="2" t="s">
        <v>23</v>
      </c>
      <c r="D32" s="2" t="str">
        <f>VLOOKUP($C32,Sheet1!$A$2:$D$10,2,0)</f>
        <v>141186-74360</v>
      </c>
      <c r="E32" s="8" t="s">
        <v>85</v>
      </c>
      <c r="F32" s="12">
        <v>46027</v>
      </c>
      <c r="G32" s="13">
        <v>0.47916666666666669</v>
      </c>
      <c r="H32" s="2" t="s">
        <v>71</v>
      </c>
      <c r="I32" s="2" t="s">
        <v>54</v>
      </c>
      <c r="J32" s="2">
        <v>40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>J32/K32</f>
        <v>1</v>
      </c>
      <c r="O32" s="2" t="s">
        <v>119</v>
      </c>
      <c r="P32" s="2">
        <v>910104269</v>
      </c>
    </row>
    <row r="33" spans="1:16" x14ac:dyDescent="0.25">
      <c r="A33" s="17" t="s">
        <v>114</v>
      </c>
      <c r="B33" s="27" t="s">
        <v>94</v>
      </c>
      <c r="C33" s="2" t="s">
        <v>26</v>
      </c>
      <c r="D33" s="2" t="str">
        <f>VLOOKUP($C33,Sheet1!$A$2:$D$10,2,0)</f>
        <v>116040-92240</v>
      </c>
      <c r="E33" s="8" t="s">
        <v>90</v>
      </c>
      <c r="F33" s="12">
        <v>46027</v>
      </c>
      <c r="G33" s="13">
        <v>0.47916666666666669</v>
      </c>
      <c r="H33" s="2" t="s">
        <v>91</v>
      </c>
      <c r="I33" s="2" t="s">
        <v>54</v>
      </c>
      <c r="J33" s="2">
        <v>24</v>
      </c>
      <c r="K33" s="14">
        <f>VLOOKUP($C33,Sheet1!$A$2:$D$10,4,0)</f>
        <v>6</v>
      </c>
      <c r="L33" s="14" t="str">
        <f>VLOOKUP($C33,Sheet1!$A$2:$E$10,5,0)</f>
        <v>Bin</v>
      </c>
      <c r="M33" s="14">
        <f t="shared" ref="M33:M35" si="4">J33/K33</f>
        <v>4</v>
      </c>
      <c r="N33" s="2"/>
      <c r="O33" s="2" t="s">
        <v>119</v>
      </c>
      <c r="P33" s="2" t="s">
        <v>420</v>
      </c>
    </row>
    <row r="34" spans="1:16" x14ac:dyDescent="0.25">
      <c r="A34" s="17" t="s">
        <v>114</v>
      </c>
      <c r="B34" s="27" t="s">
        <v>101</v>
      </c>
      <c r="C34" s="2" t="s">
        <v>32</v>
      </c>
      <c r="D34" s="2" t="str">
        <f>VLOOKUP($C34,Sheet1!$A$2:$D$10,2,0)</f>
        <v>114010-50820</v>
      </c>
      <c r="E34" s="8" t="s">
        <v>98</v>
      </c>
      <c r="F34" s="12">
        <v>46027</v>
      </c>
      <c r="G34" s="13">
        <v>0.47916666666666669</v>
      </c>
      <c r="H34" s="2" t="s">
        <v>91</v>
      </c>
      <c r="I34" s="2" t="s">
        <v>54</v>
      </c>
      <c r="J34" s="2">
        <v>6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si="4"/>
        <v>6</v>
      </c>
      <c r="N34" s="2"/>
      <c r="O34" s="2" t="s">
        <v>119</v>
      </c>
      <c r="P34" s="2" t="s">
        <v>418</v>
      </c>
    </row>
    <row r="35" spans="1:16" x14ac:dyDescent="0.25">
      <c r="A35" s="17" t="s">
        <v>114</v>
      </c>
      <c r="B35" s="27" t="s">
        <v>107</v>
      </c>
      <c r="C35" s="2" t="s">
        <v>29</v>
      </c>
      <c r="D35" s="2" t="str">
        <f>VLOOKUP($C35,Sheet1!$A$2:$D$10,2,0)</f>
        <v>114010-50830</v>
      </c>
      <c r="E35" s="8" t="s">
        <v>98</v>
      </c>
      <c r="F35" s="12">
        <v>46027</v>
      </c>
      <c r="G35" s="13">
        <v>0.47916666666666669</v>
      </c>
      <c r="H35" s="2" t="s">
        <v>91</v>
      </c>
      <c r="I35" s="2" t="s">
        <v>54</v>
      </c>
      <c r="J35" s="2">
        <v>18</v>
      </c>
      <c r="K35" s="14">
        <f>VLOOKUP($C35,Sheet1!$A$2:$D$10,4,0)</f>
        <v>1</v>
      </c>
      <c r="L35" s="14" t="str">
        <f>VLOOKUP($C35,Sheet1!$A$2:$E$10,5,0)</f>
        <v>Bin</v>
      </c>
      <c r="M35" s="14">
        <f t="shared" si="4"/>
        <v>18</v>
      </c>
      <c r="N35" s="2"/>
      <c r="O35" s="2" t="s">
        <v>119</v>
      </c>
      <c r="P35" s="2" t="s">
        <v>417</v>
      </c>
    </row>
    <row r="36" spans="1:16" s="11" customForma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>
        <v>53</v>
      </c>
      <c r="N36" s="10">
        <v>3</v>
      </c>
      <c r="O36" s="10"/>
      <c r="P36" s="10"/>
    </row>
    <row r="37" spans="1:16" x14ac:dyDescent="0.25">
      <c r="A37" s="17" t="s">
        <v>115</v>
      </c>
      <c r="B37" s="27" t="s">
        <v>57</v>
      </c>
      <c r="C37" s="2" t="s">
        <v>5</v>
      </c>
      <c r="D37" s="2" t="str">
        <f>VLOOKUP($C37,Sheet1!$A$2:$D$10,2,0)</f>
        <v>141110-14600</v>
      </c>
      <c r="E37" s="8" t="s">
        <v>52</v>
      </c>
      <c r="F37" s="12">
        <v>46027</v>
      </c>
      <c r="G37" s="13">
        <v>0.60416666666666663</v>
      </c>
      <c r="H37" s="2" t="s">
        <v>53</v>
      </c>
      <c r="I37" s="2" t="s">
        <v>54</v>
      </c>
      <c r="J37" s="2">
        <v>18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2">
        <v>1</v>
      </c>
      <c r="O37" s="2" t="s">
        <v>122</v>
      </c>
      <c r="P37" s="2" t="s">
        <v>416</v>
      </c>
    </row>
    <row r="38" spans="1:16" x14ac:dyDescent="0.25">
      <c r="A38" s="17" t="s">
        <v>115</v>
      </c>
      <c r="B38" s="27" t="s">
        <v>63</v>
      </c>
      <c r="C38" s="2" t="s">
        <v>9</v>
      </c>
      <c r="D38" s="2" t="str">
        <f>VLOOKUP($C38,Sheet1!$A$2:$D$10,2,0)</f>
        <v>141120-14600</v>
      </c>
      <c r="E38" s="8" t="s">
        <v>60</v>
      </c>
      <c r="F38" s="12">
        <v>46027</v>
      </c>
      <c r="G38" s="13">
        <v>0.60416666666666663</v>
      </c>
      <c r="H38" s="2" t="s">
        <v>53</v>
      </c>
      <c r="I38" s="2" t="s">
        <v>54</v>
      </c>
      <c r="J38" s="2">
        <v>18</v>
      </c>
      <c r="K38" s="14">
        <f>VLOOKUP($C38,Sheet1!$A$2:$D$10,4,0)</f>
        <v>18</v>
      </c>
      <c r="L38" s="14" t="str">
        <f>VLOOKUP($C38,Sheet1!$A$2:$E$10,5,0)</f>
        <v>Trolley (H)</v>
      </c>
      <c r="M38" s="14"/>
      <c r="N38" s="53"/>
      <c r="O38" s="2" t="s">
        <v>122</v>
      </c>
      <c r="P38" s="2" t="s">
        <v>416</v>
      </c>
    </row>
    <row r="39" spans="1:16" x14ac:dyDescent="0.25">
      <c r="A39" s="17" t="s">
        <v>115</v>
      </c>
      <c r="B39" s="27" t="s">
        <v>68</v>
      </c>
      <c r="C39" s="2" t="s">
        <v>12</v>
      </c>
      <c r="D39" s="2" t="str">
        <f>VLOOKUP($C39,Sheet1!$A$2:$D$10,2,0)</f>
        <v>141185-74670</v>
      </c>
      <c r="E39" s="8" t="s">
        <v>66</v>
      </c>
      <c r="F39" s="12">
        <v>46027</v>
      </c>
      <c r="G39" s="13">
        <v>0.60416666666666663</v>
      </c>
      <c r="H39" s="2" t="s">
        <v>53</v>
      </c>
      <c r="I39" s="2" t="s">
        <v>54</v>
      </c>
      <c r="J39" s="2">
        <v>40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>J39/K39</f>
        <v>1</v>
      </c>
      <c r="O39" s="2" t="s">
        <v>122</v>
      </c>
      <c r="P39" s="2">
        <v>910104284</v>
      </c>
    </row>
    <row r="40" spans="1:16" x14ac:dyDescent="0.25">
      <c r="A40" s="17" t="s">
        <v>115</v>
      </c>
      <c r="B40" s="27" t="s">
        <v>75</v>
      </c>
      <c r="C40" s="2" t="s">
        <v>16</v>
      </c>
      <c r="D40" s="2" t="str">
        <f>VLOOKUP($C40,Sheet1!$A$2:$D$10,2,0)</f>
        <v>141140-91211</v>
      </c>
      <c r="E40" s="8" t="s">
        <v>70</v>
      </c>
      <c r="F40" s="12">
        <v>46027</v>
      </c>
      <c r="G40" s="13">
        <v>0.60416666666666663</v>
      </c>
      <c r="H40" s="2" t="s">
        <v>71</v>
      </c>
      <c r="I40" s="2" t="s">
        <v>54</v>
      </c>
      <c r="J40" s="2">
        <v>20</v>
      </c>
      <c r="K40" s="14">
        <f>VLOOKUP($C40,Sheet1!$A$2:$D$10,4,0)</f>
        <v>2</v>
      </c>
      <c r="L40" s="14" t="str">
        <f>VLOOKUP($C40,Sheet1!$A$2:$E$10,5,0)</f>
        <v>Bin</v>
      </c>
      <c r="M40" s="14">
        <f t="shared" ref="M40:M44" si="5">J40/K40</f>
        <v>10</v>
      </c>
      <c r="N40" s="2"/>
      <c r="O40" s="2" t="s">
        <v>122</v>
      </c>
      <c r="P40" s="2" t="s">
        <v>417</v>
      </c>
    </row>
    <row r="41" spans="1:16" x14ac:dyDescent="0.25">
      <c r="A41" s="17" t="s">
        <v>115</v>
      </c>
      <c r="B41" s="27" t="s">
        <v>82</v>
      </c>
      <c r="C41" s="2" t="s">
        <v>20</v>
      </c>
      <c r="D41" s="2" t="str">
        <f>VLOOKUP($C41,Sheet1!$A$2:$D$10,2,0)</f>
        <v>141150-91211</v>
      </c>
      <c r="E41" s="8" t="s">
        <v>78</v>
      </c>
      <c r="F41" s="12">
        <v>46027</v>
      </c>
      <c r="G41" s="13">
        <v>0.60416666666666663</v>
      </c>
      <c r="H41" s="2" t="s">
        <v>71</v>
      </c>
      <c r="I41" s="2" t="s">
        <v>54</v>
      </c>
      <c r="J41" s="2">
        <v>20</v>
      </c>
      <c r="K41" s="14">
        <f>VLOOKUP($C41,Sheet1!$A$2:$D$10,4,0)</f>
        <v>2</v>
      </c>
      <c r="L41" s="14" t="str">
        <f>VLOOKUP($C41,Sheet1!$A$2:$E$10,5,0)</f>
        <v>Bin</v>
      </c>
      <c r="M41" s="14">
        <f t="shared" si="5"/>
        <v>10</v>
      </c>
      <c r="N41" s="2"/>
      <c r="O41" s="2" t="s">
        <v>122</v>
      </c>
      <c r="P41" s="2" t="s">
        <v>417</v>
      </c>
    </row>
    <row r="42" spans="1:16" x14ac:dyDescent="0.25">
      <c r="A42" s="17" t="s">
        <v>116</v>
      </c>
      <c r="B42" s="27" t="s">
        <v>95</v>
      </c>
      <c r="C42" s="2" t="s">
        <v>26</v>
      </c>
      <c r="D42" s="2" t="str">
        <f>VLOOKUP($C42,Sheet1!$A$2:$D$10,2,0)</f>
        <v>116040-92240</v>
      </c>
      <c r="E42" s="8" t="s">
        <v>90</v>
      </c>
      <c r="F42" s="12">
        <v>46027</v>
      </c>
      <c r="G42" s="13">
        <v>0.60416666666666663</v>
      </c>
      <c r="H42" s="2" t="s">
        <v>91</v>
      </c>
      <c r="I42" s="2" t="s">
        <v>54</v>
      </c>
      <c r="J42" s="2">
        <v>18</v>
      </c>
      <c r="K42" s="14">
        <f>VLOOKUP($C42,Sheet1!$A$2:$D$10,4,0)</f>
        <v>6</v>
      </c>
      <c r="L42" s="14" t="str">
        <f>VLOOKUP($C42,Sheet1!$A$2:$E$10,5,0)</f>
        <v>Bin</v>
      </c>
      <c r="M42" s="14">
        <f t="shared" si="5"/>
        <v>3</v>
      </c>
      <c r="N42" s="2"/>
      <c r="O42" s="2" t="s">
        <v>122</v>
      </c>
      <c r="P42" s="2" t="s">
        <v>420</v>
      </c>
    </row>
    <row r="43" spans="1:16" x14ac:dyDescent="0.25">
      <c r="A43" s="17" t="s">
        <v>116</v>
      </c>
      <c r="B43" s="27" t="s">
        <v>102</v>
      </c>
      <c r="C43" s="2" t="s">
        <v>32</v>
      </c>
      <c r="D43" s="2" t="str">
        <f>VLOOKUP($C43,Sheet1!$A$2:$D$10,2,0)</f>
        <v>114010-50820</v>
      </c>
      <c r="E43" s="8" t="s">
        <v>98</v>
      </c>
      <c r="F43" s="12">
        <v>46027</v>
      </c>
      <c r="G43" s="13">
        <v>0.60416666666666663</v>
      </c>
      <c r="H43" s="2" t="s">
        <v>91</v>
      </c>
      <c r="I43" s="2" t="s">
        <v>54</v>
      </c>
      <c r="J43" s="2">
        <v>5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5"/>
        <v>5</v>
      </c>
      <c r="N43" s="2"/>
      <c r="O43" s="2" t="s">
        <v>122</v>
      </c>
      <c r="P43" s="2" t="s">
        <v>418</v>
      </c>
    </row>
    <row r="44" spans="1:16" ht="15.75" thickBot="1" x14ac:dyDescent="0.3">
      <c r="A44" s="17" t="s">
        <v>116</v>
      </c>
      <c r="B44" s="27" t="s">
        <v>108</v>
      </c>
      <c r="C44" s="2" t="s">
        <v>29</v>
      </c>
      <c r="D44" s="2" t="str">
        <f>VLOOKUP($C44,Sheet1!$A$2:$D$10,2,0)</f>
        <v>114010-50830</v>
      </c>
      <c r="E44" s="8" t="s">
        <v>98</v>
      </c>
      <c r="F44" s="12">
        <v>46027</v>
      </c>
      <c r="G44" s="15">
        <v>0.60416666666666663</v>
      </c>
      <c r="H44" s="2" t="s">
        <v>91</v>
      </c>
      <c r="I44" s="2" t="s">
        <v>54</v>
      </c>
      <c r="J44" s="2">
        <v>9</v>
      </c>
      <c r="K44" s="14">
        <f>VLOOKUP($C44,Sheet1!$A$2:$D$10,4,0)</f>
        <v>1</v>
      </c>
      <c r="L44" s="14" t="str">
        <f>VLOOKUP($C44,Sheet1!$A$2:$E$10,5,0)</f>
        <v>Bin</v>
      </c>
      <c r="M44" s="14">
        <f t="shared" si="5"/>
        <v>9</v>
      </c>
      <c r="N44" s="2"/>
      <c r="O44" s="2" t="s">
        <v>122</v>
      </c>
      <c r="P44" s="2" t="s">
        <v>417</v>
      </c>
    </row>
    <row r="45" spans="1:16" ht="15.75" thickTop="1" x14ac:dyDescent="0.25">
      <c r="A45" s="17" t="s">
        <v>117</v>
      </c>
      <c r="B45" s="27" t="s">
        <v>58</v>
      </c>
      <c r="C45" s="2" t="s">
        <v>5</v>
      </c>
      <c r="D45" s="2" t="str">
        <f>VLOOKUP($C45,Sheet1!$A$2:$D$10,2,0)</f>
        <v>141110-14600</v>
      </c>
      <c r="E45" s="8" t="s">
        <v>52</v>
      </c>
      <c r="F45" s="12">
        <v>46027</v>
      </c>
      <c r="G45" s="16">
        <v>0.6875</v>
      </c>
      <c r="H45" s="2" t="s">
        <v>53</v>
      </c>
      <c r="I45" s="2" t="s">
        <v>54</v>
      </c>
      <c r="J45" s="2">
        <v>18</v>
      </c>
      <c r="K45" s="14">
        <f>VLOOKUP($C45,Sheet1!$A$2:$D$10,4,0)</f>
        <v>18</v>
      </c>
      <c r="L45" s="14" t="str">
        <f>VLOOKUP($C45,Sheet1!$A$2:$E$10,5,0)</f>
        <v>Trolley (H)</v>
      </c>
      <c r="M45" s="14"/>
      <c r="N45" s="52">
        <v>1</v>
      </c>
      <c r="O45" s="2" t="s">
        <v>122</v>
      </c>
      <c r="P45" s="2" t="s">
        <v>416</v>
      </c>
    </row>
    <row r="46" spans="1:16" x14ac:dyDescent="0.25">
      <c r="A46" s="17" t="s">
        <v>117</v>
      </c>
      <c r="B46" s="27" t="s">
        <v>64</v>
      </c>
      <c r="C46" s="2" t="s">
        <v>9</v>
      </c>
      <c r="D46" s="2" t="str">
        <f>VLOOKUP($C46,Sheet1!$A$2:$D$10,2,0)</f>
        <v>141120-14600</v>
      </c>
      <c r="E46" s="8" t="s">
        <v>60</v>
      </c>
      <c r="F46" s="12">
        <v>46027</v>
      </c>
      <c r="G46" s="13">
        <v>0.6875</v>
      </c>
      <c r="H46" s="2" t="s">
        <v>53</v>
      </c>
      <c r="I46" s="2" t="s">
        <v>54</v>
      </c>
      <c r="J46" s="2">
        <v>18</v>
      </c>
      <c r="K46" s="14">
        <f>VLOOKUP($C46,Sheet1!$A$2:$D$10,4,0)</f>
        <v>18</v>
      </c>
      <c r="L46" s="14" t="str">
        <f>VLOOKUP($C46,Sheet1!$A$2:$E$10,5,0)</f>
        <v>Trolley (H)</v>
      </c>
      <c r="M46" s="14"/>
      <c r="N46" s="53"/>
      <c r="O46" s="2" t="s">
        <v>122</v>
      </c>
      <c r="P46" s="2" t="s">
        <v>416</v>
      </c>
    </row>
    <row r="47" spans="1:16" x14ac:dyDescent="0.25">
      <c r="A47" s="17" t="s">
        <v>117</v>
      </c>
      <c r="B47" s="27" t="s">
        <v>76</v>
      </c>
      <c r="C47" s="2" t="s">
        <v>16</v>
      </c>
      <c r="D47" s="2" t="str">
        <f>VLOOKUP($C47,Sheet1!$A$2:$D$10,2,0)</f>
        <v>141140-91211</v>
      </c>
      <c r="E47" s="8" t="s">
        <v>70</v>
      </c>
      <c r="F47" s="12">
        <v>46027</v>
      </c>
      <c r="G47" s="13">
        <v>0.6875</v>
      </c>
      <c r="H47" s="2" t="s">
        <v>71</v>
      </c>
      <c r="I47" s="2" t="s">
        <v>54</v>
      </c>
      <c r="J47" s="2">
        <v>14</v>
      </c>
      <c r="K47" s="14">
        <f>VLOOKUP($C47,Sheet1!$A$2:$D$10,4,0)</f>
        <v>2</v>
      </c>
      <c r="L47" s="14" t="str">
        <f>VLOOKUP($C47,Sheet1!$A$2:$E$10,5,0)</f>
        <v>Bin</v>
      </c>
      <c r="M47" s="14">
        <f t="shared" ref="M47:M48" si="6">J47/K47</f>
        <v>7</v>
      </c>
      <c r="N47" s="2"/>
      <c r="O47" s="2" t="s">
        <v>122</v>
      </c>
      <c r="P47" s="2" t="s">
        <v>417</v>
      </c>
    </row>
    <row r="48" spans="1:16" x14ac:dyDescent="0.25">
      <c r="A48" s="17" t="s">
        <v>117</v>
      </c>
      <c r="B48" s="27" t="s">
        <v>83</v>
      </c>
      <c r="C48" s="2" t="s">
        <v>20</v>
      </c>
      <c r="D48" s="2" t="str">
        <f>VLOOKUP($C48,Sheet1!$A$2:$D$10,2,0)</f>
        <v>141150-91211</v>
      </c>
      <c r="E48" s="8" t="s">
        <v>78</v>
      </c>
      <c r="F48" s="12">
        <v>46027</v>
      </c>
      <c r="G48" s="13">
        <v>0.6875</v>
      </c>
      <c r="H48" s="2" t="s">
        <v>71</v>
      </c>
      <c r="I48" s="2" t="s">
        <v>54</v>
      </c>
      <c r="J48" s="2">
        <v>12</v>
      </c>
      <c r="K48" s="14">
        <f>VLOOKUP($C48,Sheet1!$A$2:$D$10,4,0)</f>
        <v>2</v>
      </c>
      <c r="L48" s="14" t="str">
        <f>VLOOKUP($C48,Sheet1!$A$2:$E$10,5,0)</f>
        <v>Bin</v>
      </c>
      <c r="M48" s="14">
        <f t="shared" si="6"/>
        <v>6</v>
      </c>
      <c r="N48" s="2"/>
      <c r="O48" s="2" t="s">
        <v>122</v>
      </c>
      <c r="P48" s="2" t="s">
        <v>417</v>
      </c>
    </row>
    <row r="49" spans="1:16" x14ac:dyDescent="0.25">
      <c r="A49" s="17" t="s">
        <v>117</v>
      </c>
      <c r="B49" s="27" t="s">
        <v>88</v>
      </c>
      <c r="C49" s="2" t="s">
        <v>23</v>
      </c>
      <c r="D49" s="2" t="str">
        <f>VLOOKUP($C49,Sheet1!$A$2:$D$10,2,0)</f>
        <v>141186-74360</v>
      </c>
      <c r="E49" s="8" t="s">
        <v>85</v>
      </c>
      <c r="F49" s="12">
        <v>46027</v>
      </c>
      <c r="G49" s="13">
        <v>0.6875</v>
      </c>
      <c r="H49" s="2" t="s">
        <v>71</v>
      </c>
      <c r="I49" s="2" t="s">
        <v>54</v>
      </c>
      <c r="J49" s="2">
        <v>40</v>
      </c>
      <c r="K49" s="14">
        <f>VLOOKUP($C49,Sheet1!$A$2:$D$10,4,0)</f>
        <v>40</v>
      </c>
      <c r="L49" s="14" t="str">
        <f>VLOOKUP($C49,Sheet1!$A$2:$E$10,5,0)</f>
        <v>Trolley</v>
      </c>
      <c r="M49" s="14"/>
      <c r="N49" s="2">
        <f>J49/K49</f>
        <v>1</v>
      </c>
      <c r="O49" s="2" t="s">
        <v>122</v>
      </c>
      <c r="P49" s="2">
        <v>910104269</v>
      </c>
    </row>
    <row r="50" spans="1:16" x14ac:dyDescent="0.25">
      <c r="A50" s="17" t="s">
        <v>118</v>
      </c>
      <c r="B50" s="27" t="s">
        <v>96</v>
      </c>
      <c r="C50" s="2" t="s">
        <v>26</v>
      </c>
      <c r="D50" s="2" t="str">
        <f>VLOOKUP($C50,Sheet1!$A$2:$D$10,2,0)</f>
        <v>116040-92240</v>
      </c>
      <c r="E50" s="8" t="s">
        <v>90</v>
      </c>
      <c r="F50" s="12">
        <v>46027</v>
      </c>
      <c r="G50" s="13">
        <v>0.6875</v>
      </c>
      <c r="H50" s="2" t="s">
        <v>91</v>
      </c>
      <c r="I50" s="2" t="s">
        <v>54</v>
      </c>
      <c r="J50" s="2">
        <v>12</v>
      </c>
      <c r="K50" s="14">
        <f>VLOOKUP($C50,Sheet1!$A$2:$D$10,4,0)</f>
        <v>6</v>
      </c>
      <c r="L50" s="14" t="str">
        <f>VLOOKUP($C50,Sheet1!$A$2:$E$10,5,0)</f>
        <v>Bin</v>
      </c>
      <c r="M50" s="14">
        <f t="shared" ref="M50:M52" si="7">J50/K50</f>
        <v>2</v>
      </c>
      <c r="N50" s="2"/>
      <c r="O50" s="2" t="s">
        <v>122</v>
      </c>
      <c r="P50" s="2" t="s">
        <v>420</v>
      </c>
    </row>
    <row r="51" spans="1:16" x14ac:dyDescent="0.25">
      <c r="A51" s="17" t="s">
        <v>118</v>
      </c>
      <c r="B51" s="27" t="s">
        <v>103</v>
      </c>
      <c r="C51" s="2" t="s">
        <v>32</v>
      </c>
      <c r="D51" s="2" t="str">
        <f>VLOOKUP($C51,Sheet1!$A$2:$D$10,2,0)</f>
        <v>114010-50820</v>
      </c>
      <c r="E51" s="8" t="s">
        <v>98</v>
      </c>
      <c r="F51" s="12">
        <v>46027</v>
      </c>
      <c r="G51" s="13">
        <v>0.6875</v>
      </c>
      <c r="H51" s="2" t="s">
        <v>91</v>
      </c>
      <c r="I51" s="2" t="s">
        <v>54</v>
      </c>
      <c r="J51" s="2">
        <v>3</v>
      </c>
      <c r="K51" s="14">
        <f>VLOOKUP($C51,Sheet1!$A$2:$D$10,4,0)</f>
        <v>1</v>
      </c>
      <c r="L51" s="14" t="str">
        <f>VLOOKUP($C51,Sheet1!$A$2:$E$10,5,0)</f>
        <v>Bin</v>
      </c>
      <c r="M51" s="14">
        <f t="shared" si="7"/>
        <v>3</v>
      </c>
      <c r="N51" s="2"/>
      <c r="O51" s="2" t="s">
        <v>122</v>
      </c>
      <c r="P51" s="2" t="s">
        <v>418</v>
      </c>
    </row>
    <row r="52" spans="1:16" x14ac:dyDescent="0.25">
      <c r="A52" s="17" t="s">
        <v>118</v>
      </c>
      <c r="B52" s="27" t="s">
        <v>109</v>
      </c>
      <c r="C52" s="2" t="s">
        <v>29</v>
      </c>
      <c r="D52" s="2" t="str">
        <f>VLOOKUP($C52,Sheet1!$A$2:$D$10,2,0)</f>
        <v>114010-50830</v>
      </c>
      <c r="E52" s="8" t="s">
        <v>98</v>
      </c>
      <c r="F52" s="12">
        <v>46027</v>
      </c>
      <c r="G52" s="13">
        <v>0.6875</v>
      </c>
      <c r="H52" s="2" t="s">
        <v>91</v>
      </c>
      <c r="I52" s="2" t="s">
        <v>54</v>
      </c>
      <c r="J52" s="2">
        <v>9</v>
      </c>
      <c r="K52" s="14">
        <f>VLOOKUP($C52,Sheet1!$A$2:$D$10,4,0)</f>
        <v>1</v>
      </c>
      <c r="L52" s="14" t="str">
        <f>VLOOKUP($C52,Sheet1!$A$2:$E$10,5,0)</f>
        <v>Bin</v>
      </c>
      <c r="M52" s="14">
        <f t="shared" si="7"/>
        <v>9</v>
      </c>
      <c r="N52" s="2"/>
      <c r="O52" s="2" t="s">
        <v>122</v>
      </c>
      <c r="P52" s="2" t="s">
        <v>417</v>
      </c>
    </row>
    <row r="53" spans="1:16" s="11" customForma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>
        <v>64</v>
      </c>
      <c r="N53" s="10">
        <v>4</v>
      </c>
      <c r="O53" s="10"/>
      <c r="P53" s="10"/>
    </row>
    <row r="54" spans="1:16" x14ac:dyDescent="0.25">
      <c r="A54" s="2"/>
      <c r="B54" s="2" t="s">
        <v>110</v>
      </c>
      <c r="C54" s="2"/>
      <c r="D54" s="2"/>
      <c r="E54" s="8"/>
      <c r="F54" s="12"/>
      <c r="G54" s="13"/>
      <c r="H54" s="2"/>
      <c r="I54" s="2"/>
      <c r="J54" s="2"/>
      <c r="K54" s="14"/>
      <c r="L54" s="14"/>
      <c r="M54" s="14"/>
      <c r="N54" s="2"/>
      <c r="O54" s="2"/>
      <c r="P54" s="2"/>
    </row>
    <row r="55" spans="1:16" x14ac:dyDescent="0.25">
      <c r="A55" s="2"/>
      <c r="B55" s="2"/>
      <c r="C55" s="2"/>
      <c r="D55" s="2"/>
      <c r="E55" s="8"/>
      <c r="F55" s="12"/>
      <c r="G55" s="13"/>
      <c r="H55" s="2"/>
      <c r="I55" s="2"/>
      <c r="J55" s="2"/>
      <c r="K55" s="14"/>
      <c r="L55" s="14"/>
      <c r="M55" s="14"/>
      <c r="N55" s="2"/>
      <c r="O55" s="2"/>
      <c r="P55" s="2"/>
    </row>
  </sheetData>
  <autoFilter ref="A3:P54" xr:uid="{C5370742-D29F-496A-BCF3-3470D9AC2C7D}"/>
  <mergeCells count="8">
    <mergeCell ref="N27:N28"/>
    <mergeCell ref="N37:N38"/>
    <mergeCell ref="N45:N46"/>
    <mergeCell ref="A1:F1"/>
    <mergeCell ref="J1:N1"/>
    <mergeCell ref="L2:N2"/>
    <mergeCell ref="N4:N5"/>
    <mergeCell ref="N6:N7"/>
  </mergeCells>
  <conditionalFormatting sqref="B2">
    <cfRule type="duplicateValues" dxfId="135" priority="2"/>
    <cfRule type="duplicateValues" dxfId="134" priority="3"/>
  </conditionalFormatting>
  <conditionalFormatting sqref="B4:B25 B54:B55 B27:B35 B37:B52">
    <cfRule type="duplicateValues" dxfId="133" priority="1"/>
  </conditionalFormatting>
  <conditionalFormatting sqref="C2:D2">
    <cfRule type="duplicateValues" dxfId="132" priority="4"/>
    <cfRule type="duplicateValues" dxfId="131" priority="5"/>
  </conditionalFormatting>
  <hyperlinks>
    <hyperlink ref="B54" r:id="rId1" display="http://192.168.1.249/downloads/temp/X539_eNagare_202613.log" xr:uid="{20429818-5E99-4AF9-B72B-8D66D18CB174}"/>
  </hyperlinks>
  <pageMargins left="0.17" right="0.17" top="0.17" bottom="0.17" header="0.17" footer="0.17"/>
  <pageSetup paperSize="9" scale="58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847A-E84A-4C82-B323-9FDE4777E801}">
  <sheetPr filterMode="1">
    <tabColor rgb="FF00B050"/>
    <pageSetUpPr fitToPage="1"/>
  </sheetPr>
  <dimension ref="A1:Q58"/>
  <sheetViews>
    <sheetView workbookViewId="0">
      <selection activeCell="J4" sqref="J4:J43"/>
    </sheetView>
  </sheetViews>
  <sheetFormatPr defaultColWidth="117.42578125" defaultRowHeight="15" x14ac:dyDescent="0.25"/>
  <cols>
    <col min="1" max="1" width="15.140625" bestFit="1" customWidth="1"/>
    <col min="2" max="2" width="21.28515625" bestFit="1" customWidth="1"/>
    <col min="3" max="3" width="16.28515625" bestFit="1" customWidth="1"/>
    <col min="4" max="4" width="14.140625" customWidth="1"/>
    <col min="5" max="5" width="38.7109375" bestFit="1" customWidth="1"/>
    <col min="6" max="6" width="9.28515625" bestFit="1" customWidth="1"/>
    <col min="7" max="7" width="7.7109375" bestFit="1" customWidth="1"/>
    <col min="8" max="8" width="12.140625" bestFit="1" customWidth="1"/>
    <col min="9" max="9" width="5.42578125" bestFit="1" customWidth="1"/>
    <col min="10" max="10" width="8" bestFit="1" customWidth="1"/>
    <col min="11" max="11" width="9" customWidth="1"/>
    <col min="12" max="12" width="10.28515625" customWidth="1"/>
    <col min="13" max="13" width="7.140625" customWidth="1"/>
    <col min="14" max="14" width="7.85546875" bestFit="1" customWidth="1"/>
    <col min="15" max="15" width="10.7109375" customWidth="1"/>
    <col min="16" max="16" width="44.28515625" customWidth="1"/>
    <col min="17" max="17" width="12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55" t="s">
        <v>35</v>
      </c>
      <c r="K1" s="56"/>
      <c r="L1" s="56"/>
      <c r="M1" s="56"/>
      <c r="N1" s="56"/>
      <c r="O1" s="3"/>
      <c r="P1" s="4"/>
    </row>
    <row r="2" spans="1:16" ht="15.75" x14ac:dyDescent="0.25">
      <c r="A2" s="5" t="s">
        <v>36</v>
      </c>
      <c r="B2" s="6">
        <v>46028</v>
      </c>
      <c r="C2" s="7"/>
      <c r="D2" s="7"/>
      <c r="E2" s="2"/>
      <c r="F2" s="8"/>
      <c r="G2" s="2"/>
      <c r="H2" s="2"/>
      <c r="I2" s="2"/>
      <c r="J2" s="2"/>
      <c r="K2" s="2"/>
      <c r="L2" s="57" t="s">
        <v>37</v>
      </c>
      <c r="M2" s="58"/>
      <c r="N2" s="59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204</v>
      </c>
      <c r="B4" s="27" t="s">
        <v>123</v>
      </c>
      <c r="C4" s="2" t="s">
        <v>5</v>
      </c>
      <c r="D4" s="2" t="str">
        <f>VLOOKUP($C4,Sheet1!$A$2:$D$10,2,0)</f>
        <v>141110-14600</v>
      </c>
      <c r="E4" s="8" t="s">
        <v>52</v>
      </c>
      <c r="F4" s="12">
        <v>46028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221</v>
      </c>
      <c r="P4" s="2" t="s">
        <v>416</v>
      </c>
    </row>
    <row r="5" spans="1:16" hidden="1" x14ac:dyDescent="0.25">
      <c r="A5" s="17" t="s">
        <v>204</v>
      </c>
      <c r="B5" s="27" t="s">
        <v>128</v>
      </c>
      <c r="C5" s="2" t="s">
        <v>9</v>
      </c>
      <c r="D5" s="2" t="str">
        <f>VLOOKUP($C5,Sheet1!$A$2:$D$10,2,0)</f>
        <v>141120-14600</v>
      </c>
      <c r="E5" s="8" t="s">
        <v>60</v>
      </c>
      <c r="F5" s="12">
        <v>46028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221</v>
      </c>
      <c r="P5" s="2" t="s">
        <v>416</v>
      </c>
    </row>
    <row r="6" spans="1:16" hidden="1" x14ac:dyDescent="0.25">
      <c r="A6" s="17" t="s">
        <v>204</v>
      </c>
      <c r="B6" s="2" t="s">
        <v>132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46028</v>
      </c>
      <c r="G6" s="13">
        <v>0.35416666666666669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221</v>
      </c>
      <c r="P6" s="2">
        <v>910104284</v>
      </c>
    </row>
    <row r="7" spans="1:16" hidden="1" x14ac:dyDescent="0.25">
      <c r="A7" s="17" t="s">
        <v>204</v>
      </c>
      <c r="B7" s="27" t="s">
        <v>136</v>
      </c>
      <c r="C7" s="2" t="s">
        <v>16</v>
      </c>
      <c r="D7" s="2" t="str">
        <f>VLOOKUP($C7,Sheet1!$A$2:$D$10,2,0)</f>
        <v>141140-91211</v>
      </c>
      <c r="E7" s="8" t="s">
        <v>70</v>
      </c>
      <c r="F7" s="12">
        <v>46028</v>
      </c>
      <c r="G7" s="13">
        <v>0.35416666666666669</v>
      </c>
      <c r="H7" s="2" t="s">
        <v>71</v>
      </c>
      <c r="I7" s="2" t="s">
        <v>54</v>
      </c>
      <c r="J7" s="2">
        <v>56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28</v>
      </c>
      <c r="N7" s="2"/>
      <c r="O7" s="2" t="s">
        <v>221</v>
      </c>
      <c r="P7" s="2" t="s">
        <v>417</v>
      </c>
    </row>
    <row r="8" spans="1:16" hidden="1" x14ac:dyDescent="0.25">
      <c r="A8" s="17" t="s">
        <v>204</v>
      </c>
      <c r="B8" s="27" t="s">
        <v>137</v>
      </c>
      <c r="C8" s="2" t="s">
        <v>16</v>
      </c>
      <c r="D8" s="2" t="str">
        <f>VLOOKUP($C8,Sheet1!$A$2:$D$10,2,0)</f>
        <v>141140-91211</v>
      </c>
      <c r="E8" s="8" t="s">
        <v>70</v>
      </c>
      <c r="F8" s="12">
        <v>46028</v>
      </c>
      <c r="G8" s="13">
        <v>0.35416666666666669</v>
      </c>
      <c r="H8" s="2" t="s">
        <v>71</v>
      </c>
      <c r="I8" s="2" t="s">
        <v>54</v>
      </c>
      <c r="J8" s="2">
        <v>6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:M10" si="0">J8/K8</f>
        <v>3</v>
      </c>
      <c r="N8" s="2"/>
      <c r="O8" s="2" t="s">
        <v>221</v>
      </c>
      <c r="P8" s="2" t="s">
        <v>417</v>
      </c>
    </row>
    <row r="9" spans="1:16" hidden="1" x14ac:dyDescent="0.25">
      <c r="A9" s="17" t="s">
        <v>204</v>
      </c>
      <c r="B9" s="27" t="s">
        <v>141</v>
      </c>
      <c r="C9" s="2" t="s">
        <v>20</v>
      </c>
      <c r="D9" s="2" t="str">
        <f>VLOOKUP($C9,Sheet1!$A$2:$D$10,2,0)</f>
        <v>141150-91211</v>
      </c>
      <c r="E9" s="8" t="s">
        <v>78</v>
      </c>
      <c r="F9" s="12">
        <v>46028</v>
      </c>
      <c r="G9" s="13">
        <v>0.35416666666666669</v>
      </c>
      <c r="H9" s="2" t="s">
        <v>71</v>
      </c>
      <c r="I9" s="2" t="s">
        <v>54</v>
      </c>
      <c r="J9" s="2">
        <v>56</v>
      </c>
      <c r="K9" s="14">
        <f>VLOOKUP($C9,Sheet1!$A$2:$D$10,4,0)</f>
        <v>2</v>
      </c>
      <c r="L9" s="14" t="str">
        <f>VLOOKUP($C9,Sheet1!$A$2:$E$10,5,0)</f>
        <v>Bin</v>
      </c>
      <c r="M9" s="14">
        <f t="shared" si="0"/>
        <v>28</v>
      </c>
      <c r="N9" s="2"/>
      <c r="O9" s="2" t="s">
        <v>221</v>
      </c>
      <c r="P9" s="2" t="s">
        <v>417</v>
      </c>
    </row>
    <row r="10" spans="1:16" hidden="1" x14ac:dyDescent="0.25">
      <c r="A10" s="17" t="s">
        <v>204</v>
      </c>
      <c r="B10" s="27" t="s">
        <v>142</v>
      </c>
      <c r="C10" s="2" t="s">
        <v>20</v>
      </c>
      <c r="D10" s="2" t="str">
        <f>VLOOKUP($C10,Sheet1!$A$2:$D$10,2,0)</f>
        <v>141150-91211</v>
      </c>
      <c r="E10" s="8" t="s">
        <v>78</v>
      </c>
      <c r="F10" s="12">
        <v>46028</v>
      </c>
      <c r="G10" s="13">
        <v>0.35416666666666669</v>
      </c>
      <c r="H10" s="2" t="s">
        <v>71</v>
      </c>
      <c r="I10" s="2" t="s">
        <v>54</v>
      </c>
      <c r="J10" s="2">
        <v>6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3</v>
      </c>
      <c r="N10" s="2"/>
      <c r="O10" s="2" t="s">
        <v>221</v>
      </c>
      <c r="P10" s="2" t="s">
        <v>417</v>
      </c>
    </row>
    <row r="11" spans="1:16" hidden="1" x14ac:dyDescent="0.25">
      <c r="A11" s="17" t="s">
        <v>204</v>
      </c>
      <c r="B11" s="2" t="s">
        <v>146</v>
      </c>
      <c r="C11" s="27" t="s">
        <v>23</v>
      </c>
      <c r="D11" s="2" t="str">
        <f>VLOOKUP($C11,Sheet1!$A$2:$D$10,2,0)</f>
        <v>141186-74360</v>
      </c>
      <c r="E11" s="8" t="s">
        <v>85</v>
      </c>
      <c r="F11" s="12">
        <v>46028</v>
      </c>
      <c r="G11" s="13">
        <v>0.35416666666666669</v>
      </c>
      <c r="H11" s="2" t="s">
        <v>71</v>
      </c>
      <c r="I11" s="2" t="s">
        <v>54</v>
      </c>
      <c r="J11" s="2">
        <v>80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>J11/K11</f>
        <v>2</v>
      </c>
      <c r="O11" s="2" t="s">
        <v>221</v>
      </c>
      <c r="P11" s="2">
        <v>910104269</v>
      </c>
    </row>
    <row r="12" spans="1:16" hidden="1" x14ac:dyDescent="0.25">
      <c r="A12" s="17" t="s">
        <v>205</v>
      </c>
      <c r="B12" s="27" t="s">
        <v>150</v>
      </c>
      <c r="C12" s="2" t="s">
        <v>26</v>
      </c>
      <c r="D12" s="2" t="str">
        <f>VLOOKUP($C12,Sheet1!$A$2:$D$10,2,0)</f>
        <v>116040-92240</v>
      </c>
      <c r="E12" s="8" t="s">
        <v>90</v>
      </c>
      <c r="F12" s="12">
        <v>46028</v>
      </c>
      <c r="G12" s="13">
        <v>0.35416666666666669</v>
      </c>
      <c r="H12" s="2" t="s">
        <v>91</v>
      </c>
      <c r="I12" s="2" t="s">
        <v>54</v>
      </c>
      <c r="J12" s="2">
        <v>54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ref="M12:M17" si="1">J12/K12</f>
        <v>9</v>
      </c>
      <c r="N12" s="2"/>
      <c r="O12" s="2" t="s">
        <v>221</v>
      </c>
      <c r="P12" s="2" t="s">
        <v>420</v>
      </c>
    </row>
    <row r="13" spans="1:16" hidden="1" x14ac:dyDescent="0.25">
      <c r="A13" s="17" t="s">
        <v>205</v>
      </c>
      <c r="B13" s="27" t="s">
        <v>151</v>
      </c>
      <c r="C13" s="2" t="s">
        <v>26</v>
      </c>
      <c r="D13" s="2" t="str">
        <f>VLOOKUP($C13,Sheet1!$A$2:$D$10,2,0)</f>
        <v>116040-92240</v>
      </c>
      <c r="E13" s="8" t="s">
        <v>90</v>
      </c>
      <c r="F13" s="12">
        <v>46028</v>
      </c>
      <c r="G13" s="13">
        <v>0.35416666666666669</v>
      </c>
      <c r="H13" s="2" t="s">
        <v>91</v>
      </c>
      <c r="I13" s="2" t="s">
        <v>54</v>
      </c>
      <c r="J13" s="2">
        <v>6</v>
      </c>
      <c r="K13" s="14">
        <f>VLOOKUP($C13,Sheet1!$A$2:$D$10,4,0)</f>
        <v>6</v>
      </c>
      <c r="L13" s="14" t="str">
        <f>VLOOKUP($C13,Sheet1!$A$2:$E$10,5,0)</f>
        <v>Bin</v>
      </c>
      <c r="M13" s="14">
        <f t="shared" si="1"/>
        <v>1</v>
      </c>
      <c r="N13" s="2"/>
      <c r="O13" s="2" t="s">
        <v>221</v>
      </c>
      <c r="P13" s="2" t="s">
        <v>420</v>
      </c>
    </row>
    <row r="14" spans="1:16" hidden="1" x14ac:dyDescent="0.25">
      <c r="A14" s="17" t="s">
        <v>205</v>
      </c>
      <c r="B14" s="27" t="s">
        <v>155</v>
      </c>
      <c r="C14" s="2" t="s">
        <v>32</v>
      </c>
      <c r="D14" s="2" t="str">
        <f>VLOOKUP($C14,Sheet1!$A$2:$D$10,2,0)</f>
        <v>114010-50820</v>
      </c>
      <c r="E14" s="8" t="s">
        <v>98</v>
      </c>
      <c r="F14" s="12">
        <v>46028</v>
      </c>
      <c r="G14" s="13">
        <v>0.35416666666666669</v>
      </c>
      <c r="H14" s="2" t="s">
        <v>91</v>
      </c>
      <c r="I14" s="2" t="s">
        <v>54</v>
      </c>
      <c r="J14" s="2">
        <v>29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1"/>
        <v>29</v>
      </c>
      <c r="N14" s="2"/>
      <c r="O14" s="2" t="s">
        <v>221</v>
      </c>
      <c r="P14" s="2" t="s">
        <v>418</v>
      </c>
    </row>
    <row r="15" spans="1:16" hidden="1" x14ac:dyDescent="0.25">
      <c r="A15" s="17" t="s">
        <v>205</v>
      </c>
      <c r="B15" s="27" t="s">
        <v>156</v>
      </c>
      <c r="C15" s="2" t="s">
        <v>32</v>
      </c>
      <c r="D15" s="2" t="str">
        <f>VLOOKUP($C15,Sheet1!$A$2:$D$10,2,0)</f>
        <v>114010-50820</v>
      </c>
      <c r="E15" s="8" t="s">
        <v>98</v>
      </c>
      <c r="F15" s="12">
        <v>46028</v>
      </c>
      <c r="G15" s="13">
        <v>0.35416666666666669</v>
      </c>
      <c r="H15" s="2" t="s">
        <v>91</v>
      </c>
      <c r="I15" s="2" t="s">
        <v>54</v>
      </c>
      <c r="J15" s="2">
        <v>4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1"/>
        <v>4</v>
      </c>
      <c r="N15" s="2"/>
      <c r="O15" s="2" t="s">
        <v>221</v>
      </c>
      <c r="P15" s="2" t="s">
        <v>418</v>
      </c>
    </row>
    <row r="16" spans="1:16" hidden="1" x14ac:dyDescent="0.25">
      <c r="A16" s="17" t="s">
        <v>205</v>
      </c>
      <c r="B16" s="27" t="s">
        <v>159</v>
      </c>
      <c r="C16" s="2" t="s">
        <v>29</v>
      </c>
      <c r="D16" s="2" t="str">
        <f>VLOOKUP($C16,Sheet1!$A$2:$D$10,2,0)</f>
        <v>114010-50830</v>
      </c>
      <c r="E16" s="8" t="s">
        <v>98</v>
      </c>
      <c r="F16" s="12">
        <v>46028</v>
      </c>
      <c r="G16" s="13">
        <v>0.35416666666666669</v>
      </c>
      <c r="H16" s="2" t="s">
        <v>91</v>
      </c>
      <c r="I16" s="2" t="s">
        <v>54</v>
      </c>
      <c r="J16" s="2">
        <v>31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1"/>
        <v>31</v>
      </c>
      <c r="N16" s="2"/>
      <c r="O16" s="2" t="s">
        <v>221</v>
      </c>
      <c r="P16" s="2" t="s">
        <v>417</v>
      </c>
    </row>
    <row r="17" spans="1:17" hidden="1" x14ac:dyDescent="0.25">
      <c r="A17" s="17" t="s">
        <v>205</v>
      </c>
      <c r="B17" s="27" t="s">
        <v>160</v>
      </c>
      <c r="C17" s="2" t="s">
        <v>29</v>
      </c>
      <c r="D17" s="2" t="str">
        <f>VLOOKUP($C17,Sheet1!$A$2:$D$10,2,0)</f>
        <v>114010-50830</v>
      </c>
      <c r="E17" s="8" t="s">
        <v>98</v>
      </c>
      <c r="F17" s="12">
        <v>46028</v>
      </c>
      <c r="G17" s="13">
        <v>0.35416666666666669</v>
      </c>
      <c r="H17" s="2" t="s">
        <v>91</v>
      </c>
      <c r="I17" s="2" t="s">
        <v>54</v>
      </c>
      <c r="J17" s="2">
        <v>1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1"/>
        <v>1</v>
      </c>
      <c r="N17" s="2"/>
      <c r="O17" s="2" t="s">
        <v>221</v>
      </c>
      <c r="P17" s="2" t="s">
        <v>417</v>
      </c>
    </row>
    <row r="18" spans="1:17" s="11" customFormat="1" hidden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>
        <v>137</v>
      </c>
      <c r="N18" s="10">
        <v>7</v>
      </c>
      <c r="O18" s="10"/>
      <c r="P18" s="10"/>
    </row>
    <row r="19" spans="1:17" hidden="1" x14ac:dyDescent="0.25">
      <c r="A19" s="17" t="s">
        <v>206</v>
      </c>
      <c r="B19" s="2" t="s">
        <v>132</v>
      </c>
      <c r="C19" s="27" t="s">
        <v>12</v>
      </c>
      <c r="D19" s="2" t="str">
        <f>VLOOKUP($C19,Sheet1!$A$2:$D$10,2,0)</f>
        <v>141185-74670</v>
      </c>
      <c r="E19" s="8" t="s">
        <v>66</v>
      </c>
      <c r="F19" s="12">
        <v>46028</v>
      </c>
      <c r="G19" s="23">
        <v>0.35416666666666669</v>
      </c>
      <c r="H19" s="2" t="s">
        <v>53</v>
      </c>
      <c r="I19" s="2" t="s">
        <v>54</v>
      </c>
      <c r="J19" s="2">
        <v>40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1</v>
      </c>
      <c r="O19" s="2" t="s">
        <v>121</v>
      </c>
      <c r="P19" s="2">
        <v>910104284</v>
      </c>
    </row>
    <row r="20" spans="1:17" ht="15.75" hidden="1" thickBot="1" x14ac:dyDescent="0.3">
      <c r="A20" s="17" t="s">
        <v>206</v>
      </c>
      <c r="B20" s="2" t="s">
        <v>146</v>
      </c>
      <c r="C20" s="27" t="s">
        <v>23</v>
      </c>
      <c r="D20" s="2" t="str">
        <f>VLOOKUP($C20,Sheet1!$A$2:$D$10,2,0)</f>
        <v>141186-74360</v>
      </c>
      <c r="E20" s="8" t="s">
        <v>85</v>
      </c>
      <c r="F20" s="12">
        <v>46028</v>
      </c>
      <c r="G20" s="24">
        <v>0.35416666666666669</v>
      </c>
      <c r="H20" s="2" t="s">
        <v>71</v>
      </c>
      <c r="I20" s="2" t="s">
        <v>54</v>
      </c>
      <c r="J20" s="2">
        <v>40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1</v>
      </c>
      <c r="O20" s="2" t="s">
        <v>121</v>
      </c>
      <c r="P20" s="2">
        <v>910104269</v>
      </c>
    </row>
    <row r="21" spans="1:17" x14ac:dyDescent="0.25">
      <c r="A21" s="17" t="s">
        <v>226</v>
      </c>
      <c r="B21" s="27" t="s">
        <v>222</v>
      </c>
      <c r="C21" s="2" t="s">
        <v>5</v>
      </c>
      <c r="D21" s="2" t="str">
        <f>VLOOKUP($C21,Sheet1!$A$2:$D$10,2,0)</f>
        <v>141110-14600</v>
      </c>
      <c r="E21" s="8" t="s">
        <v>52</v>
      </c>
      <c r="F21" s="12">
        <v>46028</v>
      </c>
      <c r="G21" s="23" t="s">
        <v>224</v>
      </c>
      <c r="H21" s="2" t="s">
        <v>53</v>
      </c>
      <c r="I21" s="2"/>
      <c r="J21" s="2">
        <v>5</v>
      </c>
      <c r="K21" s="14">
        <f>VLOOKUP($C21,Sheet1!$A$2:$D$10,4,0)</f>
        <v>18</v>
      </c>
      <c r="L21" s="14" t="str">
        <f>VLOOKUP($C21,Sheet1!$A$2:$E$10,5,0)</f>
        <v>Trolley (H)</v>
      </c>
      <c r="M21" s="14"/>
      <c r="N21" s="52">
        <v>1</v>
      </c>
      <c r="O21" s="2" t="s">
        <v>121</v>
      </c>
      <c r="P21" s="2" t="s">
        <v>421</v>
      </c>
      <c r="Q21" s="17" t="s">
        <v>225</v>
      </c>
    </row>
    <row r="22" spans="1:17" hidden="1" x14ac:dyDescent="0.25">
      <c r="A22" s="17" t="s">
        <v>226</v>
      </c>
      <c r="B22" s="27" t="s">
        <v>223</v>
      </c>
      <c r="C22" s="2" t="s">
        <v>9</v>
      </c>
      <c r="D22" s="2" t="str">
        <f>VLOOKUP($C22,Sheet1!$A$2:$D$10,2,0)</f>
        <v>141120-14600</v>
      </c>
      <c r="E22" s="8" t="s">
        <v>60</v>
      </c>
      <c r="F22" s="12">
        <v>46028</v>
      </c>
      <c r="G22" s="23" t="s">
        <v>224</v>
      </c>
      <c r="H22" s="2" t="s">
        <v>53</v>
      </c>
      <c r="I22" s="2"/>
      <c r="J22" s="2">
        <v>5</v>
      </c>
      <c r="K22" s="14">
        <f>VLOOKUP($C22,Sheet1!$A$2:$D$10,4,0)</f>
        <v>18</v>
      </c>
      <c r="L22" s="14" t="str">
        <f>VLOOKUP($C22,Sheet1!$A$2:$E$10,5,0)</f>
        <v>Trolley (H)</v>
      </c>
      <c r="M22" s="14"/>
      <c r="N22" s="53"/>
      <c r="O22" s="2" t="s">
        <v>121</v>
      </c>
      <c r="P22" s="2" t="s">
        <v>421</v>
      </c>
      <c r="Q22" s="17" t="s">
        <v>225</v>
      </c>
    </row>
    <row r="23" spans="1:17" s="11" customFormat="1" hidden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v>1</v>
      </c>
      <c r="N23" s="10"/>
      <c r="O23" s="10"/>
      <c r="P23" s="10"/>
    </row>
    <row r="24" spans="1:17" x14ac:dyDescent="0.25">
      <c r="A24" s="17" t="s">
        <v>207</v>
      </c>
      <c r="B24" s="27" t="s">
        <v>125</v>
      </c>
      <c r="C24" s="2" t="s">
        <v>5</v>
      </c>
      <c r="D24" s="2" t="str">
        <f>VLOOKUP($C24,Sheet1!$A$2:$D$10,2,0)</f>
        <v>141110-14600</v>
      </c>
      <c r="E24" s="8" t="s">
        <v>52</v>
      </c>
      <c r="F24" s="12">
        <v>46028</v>
      </c>
      <c r="G24" s="22">
        <v>0.5625</v>
      </c>
      <c r="H24" s="2" t="s">
        <v>53</v>
      </c>
      <c r="I24" s="2" t="s">
        <v>54</v>
      </c>
      <c r="J24" s="2">
        <v>36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>
        <v>2</v>
      </c>
      <c r="O24" s="2" t="s">
        <v>121</v>
      </c>
      <c r="P24" s="2" t="s">
        <v>416</v>
      </c>
    </row>
    <row r="25" spans="1:17" hidden="1" x14ac:dyDescent="0.25">
      <c r="A25" s="17" t="s">
        <v>207</v>
      </c>
      <c r="B25" s="27" t="s">
        <v>129</v>
      </c>
      <c r="C25" s="2" t="s">
        <v>9</v>
      </c>
      <c r="D25" s="2" t="str">
        <f>VLOOKUP($C25,Sheet1!$A$2:$D$10,2,0)</f>
        <v>141120-14600</v>
      </c>
      <c r="E25" s="8" t="s">
        <v>60</v>
      </c>
      <c r="F25" s="12">
        <v>46028</v>
      </c>
      <c r="G25" s="13">
        <v>0.5625</v>
      </c>
      <c r="H25" s="2" t="s">
        <v>53</v>
      </c>
      <c r="I25" s="2" t="s">
        <v>54</v>
      </c>
      <c r="J25" s="2">
        <v>36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3"/>
      <c r="O25" s="2" t="s">
        <v>121</v>
      </c>
      <c r="P25" s="2" t="s">
        <v>416</v>
      </c>
    </row>
    <row r="26" spans="1:17" hidden="1" x14ac:dyDescent="0.25">
      <c r="A26" s="17" t="s">
        <v>207</v>
      </c>
      <c r="B26" s="27" t="s">
        <v>133</v>
      </c>
      <c r="C26" s="2" t="s">
        <v>12</v>
      </c>
      <c r="D26" s="2" t="str">
        <f>VLOOKUP($C26,Sheet1!$A$2:$D$10,2,0)</f>
        <v>141185-74670</v>
      </c>
      <c r="E26" s="8" t="s">
        <v>66</v>
      </c>
      <c r="F26" s="12">
        <v>46028</v>
      </c>
      <c r="G26" s="13">
        <v>0.5625</v>
      </c>
      <c r="H26" s="2" t="s">
        <v>53</v>
      </c>
      <c r="I26" s="2" t="s">
        <v>54</v>
      </c>
      <c r="J26" s="2">
        <v>80</v>
      </c>
      <c r="K26" s="14">
        <f>VLOOKUP($C26,Sheet1!$A$2:$D$10,4,0)</f>
        <v>40</v>
      </c>
      <c r="L26" s="14" t="str">
        <f>VLOOKUP($C26,Sheet1!$A$2:$E$10,5,0)</f>
        <v>Trolley</v>
      </c>
      <c r="M26" s="14"/>
      <c r="N26" s="2">
        <f>J26/K26</f>
        <v>2</v>
      </c>
      <c r="O26" s="2" t="s">
        <v>121</v>
      </c>
      <c r="P26" s="2">
        <v>910104284</v>
      </c>
    </row>
    <row r="27" spans="1:17" hidden="1" x14ac:dyDescent="0.25">
      <c r="A27" s="17" t="s">
        <v>207</v>
      </c>
      <c r="B27" s="27" t="s">
        <v>138</v>
      </c>
      <c r="C27" s="2" t="s">
        <v>16</v>
      </c>
      <c r="D27" s="2" t="str">
        <f>VLOOKUP($C27,Sheet1!$A$2:$D$10,2,0)</f>
        <v>141140-91211</v>
      </c>
      <c r="E27" s="8" t="s">
        <v>70</v>
      </c>
      <c r="F27" s="12">
        <v>46028</v>
      </c>
      <c r="G27" s="13">
        <v>0.5625</v>
      </c>
      <c r="H27" s="2" t="s">
        <v>71</v>
      </c>
      <c r="I27" s="2" t="s">
        <v>54</v>
      </c>
      <c r="J27" s="2">
        <v>38</v>
      </c>
      <c r="K27" s="14">
        <f>VLOOKUP($C27,Sheet1!$A$2:$D$10,4,0)</f>
        <v>2</v>
      </c>
      <c r="L27" s="14" t="str">
        <f>VLOOKUP($C27,Sheet1!$A$2:$E$10,5,0)</f>
        <v>Bin</v>
      </c>
      <c r="M27" s="14">
        <f t="shared" ref="M27:M28" si="2">J27/K27</f>
        <v>19</v>
      </c>
      <c r="N27" s="2"/>
      <c r="O27" s="2" t="s">
        <v>121</v>
      </c>
      <c r="P27" s="2" t="s">
        <v>417</v>
      </c>
    </row>
    <row r="28" spans="1:17" hidden="1" x14ac:dyDescent="0.25">
      <c r="A28" s="17" t="s">
        <v>207</v>
      </c>
      <c r="B28" s="27" t="s">
        <v>143</v>
      </c>
      <c r="C28" s="2" t="s">
        <v>20</v>
      </c>
      <c r="D28" s="2" t="str">
        <f>VLOOKUP($C28,Sheet1!$A$2:$D$10,2,0)</f>
        <v>141150-91211</v>
      </c>
      <c r="E28" s="8" t="s">
        <v>78</v>
      </c>
      <c r="F28" s="12">
        <v>46028</v>
      </c>
      <c r="G28" s="13">
        <v>0.5625</v>
      </c>
      <c r="H28" s="2" t="s">
        <v>71</v>
      </c>
      <c r="I28" s="2" t="s">
        <v>54</v>
      </c>
      <c r="J28" s="2">
        <v>38</v>
      </c>
      <c r="K28" s="14">
        <f>VLOOKUP($C28,Sheet1!$A$2:$D$10,4,0)</f>
        <v>2</v>
      </c>
      <c r="L28" s="14" t="str">
        <f>VLOOKUP($C28,Sheet1!$A$2:$E$10,5,0)</f>
        <v>Bin</v>
      </c>
      <c r="M28" s="14">
        <f t="shared" si="2"/>
        <v>19</v>
      </c>
      <c r="N28" s="2"/>
      <c r="O28" s="2" t="s">
        <v>121</v>
      </c>
      <c r="P28" s="2" t="s">
        <v>417</v>
      </c>
    </row>
    <row r="29" spans="1:17" hidden="1" x14ac:dyDescent="0.25">
      <c r="A29" s="17" t="s">
        <v>207</v>
      </c>
      <c r="B29" s="27" t="s">
        <v>147</v>
      </c>
      <c r="C29" s="2" t="s">
        <v>23</v>
      </c>
      <c r="D29" s="2" t="str">
        <f>VLOOKUP($C29,Sheet1!$A$2:$D$10,2,0)</f>
        <v>141186-74360</v>
      </c>
      <c r="E29" s="8" t="s">
        <v>85</v>
      </c>
      <c r="F29" s="12">
        <v>46028</v>
      </c>
      <c r="G29" s="13">
        <v>0.5625</v>
      </c>
      <c r="H29" s="2" t="s">
        <v>71</v>
      </c>
      <c r="I29" s="2" t="s">
        <v>54</v>
      </c>
      <c r="J29" s="2">
        <v>80</v>
      </c>
      <c r="K29" s="14">
        <f>VLOOKUP($C29,Sheet1!$A$2:$D$10,4,0)</f>
        <v>40</v>
      </c>
      <c r="L29" s="14" t="str">
        <f>VLOOKUP($C29,Sheet1!$A$2:$E$10,5,0)</f>
        <v>Trolley</v>
      </c>
      <c r="M29" s="14"/>
      <c r="N29" s="2">
        <f>J29/K29</f>
        <v>2</v>
      </c>
      <c r="O29" s="2" t="s">
        <v>121</v>
      </c>
      <c r="P29" s="2" t="s">
        <v>422</v>
      </c>
    </row>
    <row r="30" spans="1:17" hidden="1" x14ac:dyDescent="0.25">
      <c r="A30" s="17" t="s">
        <v>208</v>
      </c>
      <c r="B30" s="27" t="s">
        <v>152</v>
      </c>
      <c r="C30" s="2" t="s">
        <v>26</v>
      </c>
      <c r="D30" s="2" t="str">
        <f>VLOOKUP($C30,Sheet1!$A$2:$D$10,2,0)</f>
        <v>116040-92240</v>
      </c>
      <c r="E30" s="8" t="s">
        <v>90</v>
      </c>
      <c r="F30" s="12">
        <v>46028</v>
      </c>
      <c r="G30" s="13">
        <v>0.5625</v>
      </c>
      <c r="H30" s="2" t="s">
        <v>91</v>
      </c>
      <c r="I30" s="2" t="s">
        <v>54</v>
      </c>
      <c r="J30" s="2">
        <v>36</v>
      </c>
      <c r="K30" s="14">
        <f>VLOOKUP($C30,Sheet1!$A$2:$D$10,4,0)</f>
        <v>6</v>
      </c>
      <c r="L30" s="14" t="str">
        <f>VLOOKUP($C30,Sheet1!$A$2:$E$10,5,0)</f>
        <v>Bin</v>
      </c>
      <c r="M30" s="14">
        <f t="shared" ref="M30:M32" si="3">J30/K30</f>
        <v>6</v>
      </c>
      <c r="N30" s="2"/>
      <c r="O30" s="2" t="s">
        <v>121</v>
      </c>
      <c r="P30" s="2" t="s">
        <v>420</v>
      </c>
    </row>
    <row r="31" spans="1:17" hidden="1" x14ac:dyDescent="0.25">
      <c r="A31" s="17" t="s">
        <v>208</v>
      </c>
      <c r="B31" s="27" t="s">
        <v>157</v>
      </c>
      <c r="C31" s="2" t="s">
        <v>32</v>
      </c>
      <c r="D31" s="2" t="str">
        <f>VLOOKUP($C31,Sheet1!$A$2:$D$10,2,0)</f>
        <v>114010-50820</v>
      </c>
      <c r="E31" s="8" t="s">
        <v>98</v>
      </c>
      <c r="F31" s="12">
        <v>46028</v>
      </c>
      <c r="G31" s="13">
        <v>0.5625</v>
      </c>
      <c r="H31" s="2" t="s">
        <v>91</v>
      </c>
      <c r="I31" s="2" t="s">
        <v>54</v>
      </c>
      <c r="J31" s="2">
        <v>16</v>
      </c>
      <c r="K31" s="14">
        <f>VLOOKUP($C31,Sheet1!$A$2:$D$10,4,0)</f>
        <v>1</v>
      </c>
      <c r="L31" s="14" t="str">
        <f>VLOOKUP($C31,Sheet1!$A$2:$E$10,5,0)</f>
        <v>Bin</v>
      </c>
      <c r="M31" s="14">
        <f t="shared" si="3"/>
        <v>16</v>
      </c>
      <c r="N31" s="2"/>
      <c r="O31" s="2" t="s">
        <v>121</v>
      </c>
      <c r="P31" s="2" t="s">
        <v>418</v>
      </c>
    </row>
    <row r="32" spans="1:17" hidden="1" x14ac:dyDescent="0.25">
      <c r="A32" s="17" t="s">
        <v>208</v>
      </c>
      <c r="B32" s="27" t="s">
        <v>161</v>
      </c>
      <c r="C32" s="2" t="s">
        <v>29</v>
      </c>
      <c r="D32" s="2" t="str">
        <f>VLOOKUP($C32,Sheet1!$A$2:$D$10,2,0)</f>
        <v>114010-50830</v>
      </c>
      <c r="E32" s="8" t="s">
        <v>98</v>
      </c>
      <c r="F32" s="12">
        <v>46028</v>
      </c>
      <c r="G32" s="13">
        <v>0.5625</v>
      </c>
      <c r="H32" s="2" t="s">
        <v>91</v>
      </c>
      <c r="I32" s="2" t="s">
        <v>54</v>
      </c>
      <c r="J32" s="2">
        <v>23</v>
      </c>
      <c r="K32" s="14">
        <f>VLOOKUP($C32,Sheet1!$A$2:$D$10,4,0)</f>
        <v>1</v>
      </c>
      <c r="L32" s="14" t="str">
        <f>VLOOKUP($C32,Sheet1!$A$2:$E$10,5,0)</f>
        <v>Bin</v>
      </c>
      <c r="M32" s="14">
        <f t="shared" si="3"/>
        <v>23</v>
      </c>
      <c r="N32" s="2"/>
      <c r="O32" s="2" t="s">
        <v>121</v>
      </c>
      <c r="P32" s="2" t="s">
        <v>417</v>
      </c>
    </row>
    <row r="33" spans="1:16" s="11" customFormat="1" hidden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>
        <v>83</v>
      </c>
      <c r="N33" s="10">
        <v>6</v>
      </c>
      <c r="O33" s="10"/>
      <c r="P33" s="10"/>
    </row>
    <row r="34" spans="1:16" x14ac:dyDescent="0.25">
      <c r="A34" s="17" t="s">
        <v>209</v>
      </c>
      <c r="B34" s="27" t="s">
        <v>126</v>
      </c>
      <c r="C34" s="2" t="s">
        <v>5</v>
      </c>
      <c r="D34" s="2" t="str">
        <f>VLOOKUP($C34,Sheet1!$A$2:$D$10,2,0)</f>
        <v>141110-14600</v>
      </c>
      <c r="E34" s="8" t="s">
        <v>52</v>
      </c>
      <c r="F34" s="12">
        <v>46028</v>
      </c>
      <c r="G34" s="13">
        <v>0.77083333333333337</v>
      </c>
      <c r="H34" s="2" t="s">
        <v>53</v>
      </c>
      <c r="I34" s="2" t="s">
        <v>54</v>
      </c>
      <c r="J34" s="2">
        <v>36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2">
        <v>2</v>
      </c>
      <c r="O34" s="2" t="s">
        <v>119</v>
      </c>
      <c r="P34" s="2" t="s">
        <v>416</v>
      </c>
    </row>
    <row r="35" spans="1:16" hidden="1" x14ac:dyDescent="0.25">
      <c r="A35" s="17" t="s">
        <v>209</v>
      </c>
      <c r="B35" s="27" t="s">
        <v>130</v>
      </c>
      <c r="C35" s="2" t="s">
        <v>9</v>
      </c>
      <c r="D35" s="2" t="str">
        <f>VLOOKUP($C35,Sheet1!$A$2:$D$10,2,0)</f>
        <v>141120-14600</v>
      </c>
      <c r="E35" s="8" t="s">
        <v>60</v>
      </c>
      <c r="F35" s="12">
        <v>46028</v>
      </c>
      <c r="G35" s="13">
        <v>0.77083333333333337</v>
      </c>
      <c r="H35" s="2" t="s">
        <v>53</v>
      </c>
      <c r="I35" s="2" t="s">
        <v>54</v>
      </c>
      <c r="J35" s="2">
        <v>36</v>
      </c>
      <c r="K35" s="14">
        <f>VLOOKUP($C35,Sheet1!$A$2:$D$10,4,0)</f>
        <v>18</v>
      </c>
      <c r="L35" s="14" t="str">
        <f>VLOOKUP($C35,Sheet1!$A$2:$E$10,5,0)</f>
        <v>Trolley (H)</v>
      </c>
      <c r="M35" s="14"/>
      <c r="N35" s="53"/>
      <c r="O35" s="2" t="s">
        <v>119</v>
      </c>
      <c r="P35" s="2" t="s">
        <v>416</v>
      </c>
    </row>
    <row r="36" spans="1:16" hidden="1" x14ac:dyDescent="0.25">
      <c r="A36" s="17" t="s">
        <v>209</v>
      </c>
      <c r="B36" s="27" t="s">
        <v>134</v>
      </c>
      <c r="C36" s="2" t="s">
        <v>12</v>
      </c>
      <c r="D36" s="2" t="str">
        <f>VLOOKUP($C36,Sheet1!$A$2:$D$10,2,0)</f>
        <v>141185-74670</v>
      </c>
      <c r="E36" s="8" t="s">
        <v>66</v>
      </c>
      <c r="F36" s="12">
        <v>46028</v>
      </c>
      <c r="G36" s="13">
        <v>0.77083333333333337</v>
      </c>
      <c r="H36" s="2" t="s">
        <v>53</v>
      </c>
      <c r="I36" s="2" t="s">
        <v>54</v>
      </c>
      <c r="J36" s="2">
        <v>80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2</v>
      </c>
      <c r="O36" s="2" t="s">
        <v>119</v>
      </c>
      <c r="P36" s="2">
        <v>910104284</v>
      </c>
    </row>
    <row r="37" spans="1:16" hidden="1" x14ac:dyDescent="0.25">
      <c r="A37" s="17" t="s">
        <v>209</v>
      </c>
      <c r="B37" s="27" t="s">
        <v>139</v>
      </c>
      <c r="C37" s="2" t="s">
        <v>16</v>
      </c>
      <c r="D37" s="2" t="str">
        <f>VLOOKUP($C37,Sheet1!$A$2:$D$10,2,0)</f>
        <v>141140-91211</v>
      </c>
      <c r="E37" s="8" t="s">
        <v>70</v>
      </c>
      <c r="F37" s="12">
        <v>46028</v>
      </c>
      <c r="G37" s="13">
        <v>0.77083333333333337</v>
      </c>
      <c r="H37" s="2" t="s">
        <v>71</v>
      </c>
      <c r="I37" s="2" t="s">
        <v>54</v>
      </c>
      <c r="J37" s="2">
        <v>30</v>
      </c>
      <c r="K37" s="14">
        <f>VLOOKUP($C37,Sheet1!$A$2:$D$10,4,0)</f>
        <v>2</v>
      </c>
      <c r="L37" s="14" t="str">
        <f>VLOOKUP($C37,Sheet1!$A$2:$E$10,5,0)</f>
        <v>Bin</v>
      </c>
      <c r="M37" s="14">
        <f t="shared" ref="M37:M38" si="4">J37/K37</f>
        <v>15</v>
      </c>
      <c r="N37" s="2"/>
      <c r="O37" s="2" t="s">
        <v>119</v>
      </c>
      <c r="P37" s="2" t="s">
        <v>417</v>
      </c>
    </row>
    <row r="38" spans="1:16" hidden="1" x14ac:dyDescent="0.25">
      <c r="A38" s="17" t="s">
        <v>209</v>
      </c>
      <c r="B38" s="27" t="s">
        <v>144</v>
      </c>
      <c r="C38" s="2" t="s">
        <v>20</v>
      </c>
      <c r="D38" s="2" t="str">
        <f>VLOOKUP($C38,Sheet1!$A$2:$D$10,2,0)</f>
        <v>141150-91211</v>
      </c>
      <c r="E38" s="8" t="s">
        <v>78</v>
      </c>
      <c r="F38" s="12">
        <v>46028</v>
      </c>
      <c r="G38" s="13">
        <v>0.77083333333333337</v>
      </c>
      <c r="H38" s="2" t="s">
        <v>71</v>
      </c>
      <c r="I38" s="2" t="s">
        <v>54</v>
      </c>
      <c r="J38" s="2">
        <v>30</v>
      </c>
      <c r="K38" s="14">
        <f>VLOOKUP($C38,Sheet1!$A$2:$D$10,4,0)</f>
        <v>2</v>
      </c>
      <c r="L38" s="14" t="str">
        <f>VLOOKUP($C38,Sheet1!$A$2:$E$10,5,0)</f>
        <v>Bin</v>
      </c>
      <c r="M38" s="14">
        <f t="shared" si="4"/>
        <v>15</v>
      </c>
      <c r="N38" s="2"/>
      <c r="O38" s="2" t="s">
        <v>119</v>
      </c>
      <c r="P38" s="2" t="s">
        <v>417</v>
      </c>
    </row>
    <row r="39" spans="1:16" hidden="1" x14ac:dyDescent="0.25">
      <c r="A39" s="17" t="s">
        <v>209</v>
      </c>
      <c r="B39" s="27" t="s">
        <v>148</v>
      </c>
      <c r="C39" s="2" t="s">
        <v>23</v>
      </c>
      <c r="D39" s="2" t="str">
        <f>VLOOKUP($C39,Sheet1!$A$2:$D$10,2,0)</f>
        <v>141186-74360</v>
      </c>
      <c r="E39" s="8" t="s">
        <v>85</v>
      </c>
      <c r="F39" s="12">
        <v>46028</v>
      </c>
      <c r="G39" s="13">
        <v>0.77083333333333337</v>
      </c>
      <c r="H39" s="2" t="s">
        <v>71</v>
      </c>
      <c r="I39" s="2" t="s">
        <v>54</v>
      </c>
      <c r="J39" s="2">
        <v>80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>J39/K39</f>
        <v>2</v>
      </c>
      <c r="O39" s="2" t="s">
        <v>119</v>
      </c>
      <c r="P39" s="2">
        <v>910104658</v>
      </c>
    </row>
    <row r="40" spans="1:16" hidden="1" x14ac:dyDescent="0.25">
      <c r="A40" s="17" t="s">
        <v>210</v>
      </c>
      <c r="B40" s="27" t="s">
        <v>153</v>
      </c>
      <c r="C40" s="2" t="s">
        <v>26</v>
      </c>
      <c r="D40" s="2" t="str">
        <f>VLOOKUP($C40,Sheet1!$A$2:$D$10,2,0)</f>
        <v>116040-92240</v>
      </c>
      <c r="E40" s="8" t="s">
        <v>90</v>
      </c>
      <c r="F40" s="12">
        <v>46028</v>
      </c>
      <c r="G40" s="13">
        <v>0.77083333333333337</v>
      </c>
      <c r="H40" s="2" t="s">
        <v>91</v>
      </c>
      <c r="I40" s="2" t="s">
        <v>54</v>
      </c>
      <c r="J40" s="2">
        <v>30</v>
      </c>
      <c r="K40" s="14">
        <f>VLOOKUP($C40,Sheet1!$A$2:$D$10,4,0)</f>
        <v>6</v>
      </c>
      <c r="L40" s="14" t="str">
        <f>VLOOKUP($C40,Sheet1!$A$2:$E$10,5,0)</f>
        <v>Bin</v>
      </c>
      <c r="M40" s="14">
        <f t="shared" ref="M40:M42" si="5">J40/K40</f>
        <v>5</v>
      </c>
      <c r="N40" s="2"/>
      <c r="O40" s="2" t="s">
        <v>119</v>
      </c>
      <c r="P40" s="2" t="s">
        <v>420</v>
      </c>
    </row>
    <row r="41" spans="1:16" hidden="1" x14ac:dyDescent="0.25">
      <c r="A41" s="17" t="s">
        <v>210</v>
      </c>
      <c r="B41" s="27" t="s">
        <v>158</v>
      </c>
      <c r="C41" s="2" t="s">
        <v>32</v>
      </c>
      <c r="D41" s="2" t="str">
        <f>VLOOKUP($C41,Sheet1!$A$2:$D$10,2,0)</f>
        <v>114010-50820</v>
      </c>
      <c r="E41" s="8" t="s">
        <v>98</v>
      </c>
      <c r="F41" s="12">
        <v>46028</v>
      </c>
      <c r="G41" s="13">
        <v>0.77083333333333337</v>
      </c>
      <c r="H41" s="2" t="s">
        <v>91</v>
      </c>
      <c r="I41" s="2" t="s">
        <v>54</v>
      </c>
      <c r="J41" s="2">
        <v>8</v>
      </c>
      <c r="K41" s="14">
        <f>VLOOKUP($C41,Sheet1!$A$2:$D$10,4,0)</f>
        <v>1</v>
      </c>
      <c r="L41" s="14" t="str">
        <f>VLOOKUP($C41,Sheet1!$A$2:$E$10,5,0)</f>
        <v>Bin</v>
      </c>
      <c r="M41" s="14">
        <f t="shared" si="5"/>
        <v>8</v>
      </c>
      <c r="N41" s="2"/>
      <c r="O41" s="2" t="s">
        <v>119</v>
      </c>
      <c r="P41" s="2" t="s">
        <v>418</v>
      </c>
    </row>
    <row r="42" spans="1:16" hidden="1" x14ac:dyDescent="0.25">
      <c r="A42" s="17" t="s">
        <v>210</v>
      </c>
      <c r="B42" s="27" t="s">
        <v>162</v>
      </c>
      <c r="C42" s="2" t="s">
        <v>29</v>
      </c>
      <c r="D42" s="2" t="str">
        <f>VLOOKUP($C42,Sheet1!$A$2:$D$10,2,0)</f>
        <v>114010-50830</v>
      </c>
      <c r="E42" s="8" t="s">
        <v>98</v>
      </c>
      <c r="F42" s="12">
        <v>46028</v>
      </c>
      <c r="G42" s="13">
        <v>0.77083333333333337</v>
      </c>
      <c r="H42" s="2" t="s">
        <v>91</v>
      </c>
      <c r="I42" s="2" t="s">
        <v>54</v>
      </c>
      <c r="J42" s="2">
        <v>21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si="5"/>
        <v>21</v>
      </c>
      <c r="N42" s="2"/>
      <c r="O42" s="2" t="s">
        <v>119</v>
      </c>
      <c r="P42" s="2" t="s">
        <v>417</v>
      </c>
    </row>
    <row r="43" spans="1:16" x14ac:dyDescent="0.25">
      <c r="A43" s="17" t="s">
        <v>211</v>
      </c>
      <c r="B43" s="27" t="s">
        <v>127</v>
      </c>
      <c r="C43" s="2" t="s">
        <v>5</v>
      </c>
      <c r="D43" s="2" t="str">
        <f>VLOOKUP($C43,Sheet1!$A$2:$D$10,2,0)</f>
        <v>141110-14600</v>
      </c>
      <c r="E43" s="8" t="s">
        <v>52</v>
      </c>
      <c r="F43" s="12">
        <v>46028</v>
      </c>
      <c r="G43" s="23">
        <v>0.97916666666666663</v>
      </c>
      <c r="H43" s="2" t="s">
        <v>53</v>
      </c>
      <c r="I43" s="2" t="s">
        <v>54</v>
      </c>
      <c r="J43" s="2">
        <v>18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2">
        <v>1</v>
      </c>
      <c r="O43" s="2" t="s">
        <v>119</v>
      </c>
      <c r="P43" s="2" t="s">
        <v>416</v>
      </c>
    </row>
    <row r="44" spans="1:16" hidden="1" x14ac:dyDescent="0.25">
      <c r="A44" s="17" t="s">
        <v>211</v>
      </c>
      <c r="B44" s="27" t="s">
        <v>131</v>
      </c>
      <c r="C44" s="2" t="s">
        <v>9</v>
      </c>
      <c r="D44" s="2" t="str">
        <f>VLOOKUP($C44,Sheet1!$A$2:$D$10,2,0)</f>
        <v>141120-14600</v>
      </c>
      <c r="E44" s="8" t="s">
        <v>60</v>
      </c>
      <c r="F44" s="12">
        <v>46028</v>
      </c>
      <c r="G44" s="23">
        <v>0.97916666666666663</v>
      </c>
      <c r="H44" s="2" t="s">
        <v>53</v>
      </c>
      <c r="I44" s="2" t="s">
        <v>54</v>
      </c>
      <c r="J44" s="2">
        <v>18</v>
      </c>
      <c r="K44" s="14">
        <f>VLOOKUP($C44,Sheet1!$A$2:$D$10,4,0)</f>
        <v>18</v>
      </c>
      <c r="L44" s="14" t="str">
        <f>VLOOKUP($C44,Sheet1!$A$2:$E$10,5,0)</f>
        <v>Trolley (H)</v>
      </c>
      <c r="M44" s="14"/>
      <c r="N44" s="53"/>
      <c r="O44" s="2" t="s">
        <v>119</v>
      </c>
      <c r="P44" s="2" t="s">
        <v>416</v>
      </c>
    </row>
    <row r="45" spans="1:16" hidden="1" x14ac:dyDescent="0.25">
      <c r="A45" s="17" t="s">
        <v>211</v>
      </c>
      <c r="B45" s="27" t="s">
        <v>135</v>
      </c>
      <c r="C45" s="2" t="s">
        <v>12</v>
      </c>
      <c r="D45" s="2" t="str">
        <f>VLOOKUP($C45,Sheet1!$A$2:$D$10,2,0)</f>
        <v>141185-74670</v>
      </c>
      <c r="E45" s="8" t="s">
        <v>66</v>
      </c>
      <c r="F45" s="12">
        <v>46028</v>
      </c>
      <c r="G45" s="23">
        <v>0.97916666666666663</v>
      </c>
      <c r="H45" s="2" t="s">
        <v>53</v>
      </c>
      <c r="I45" s="2" t="s">
        <v>54</v>
      </c>
      <c r="J45" s="2">
        <v>40</v>
      </c>
      <c r="K45" s="14">
        <f>VLOOKUP($C45,Sheet1!$A$2:$D$10,4,0)</f>
        <v>40</v>
      </c>
      <c r="L45" s="14" t="str">
        <f>VLOOKUP($C45,Sheet1!$A$2:$E$10,5,0)</f>
        <v>Trolley</v>
      </c>
      <c r="M45" s="14"/>
      <c r="N45" s="2">
        <f>J45/K45</f>
        <v>1</v>
      </c>
      <c r="O45" s="2" t="s">
        <v>119</v>
      </c>
      <c r="P45" s="2">
        <v>910104658</v>
      </c>
    </row>
    <row r="46" spans="1:16" hidden="1" x14ac:dyDescent="0.25">
      <c r="A46" s="17" t="s">
        <v>211</v>
      </c>
      <c r="B46" s="27" t="s">
        <v>140</v>
      </c>
      <c r="C46" s="2" t="s">
        <v>16</v>
      </c>
      <c r="D46" s="2" t="str">
        <f>VLOOKUP($C46,Sheet1!$A$2:$D$10,2,0)</f>
        <v>141140-91211</v>
      </c>
      <c r="E46" s="8" t="s">
        <v>70</v>
      </c>
      <c r="F46" s="12">
        <v>46028</v>
      </c>
      <c r="G46" s="23">
        <v>0.97916666666666663</v>
      </c>
      <c r="H46" s="2" t="s">
        <v>71</v>
      </c>
      <c r="I46" s="2" t="s">
        <v>54</v>
      </c>
      <c r="J46" s="2">
        <v>24</v>
      </c>
      <c r="K46" s="14">
        <f>VLOOKUP($C46,Sheet1!$A$2:$D$10,4,0)</f>
        <v>2</v>
      </c>
      <c r="L46" s="14" t="str">
        <f>VLOOKUP($C46,Sheet1!$A$2:$E$10,5,0)</f>
        <v>Bin</v>
      </c>
      <c r="M46" s="14">
        <f t="shared" ref="M46:M47" si="6">J46/K46</f>
        <v>12</v>
      </c>
      <c r="N46" s="2"/>
      <c r="O46" s="2" t="s">
        <v>119</v>
      </c>
      <c r="P46" s="2" t="s">
        <v>417</v>
      </c>
    </row>
    <row r="47" spans="1:16" hidden="1" x14ac:dyDescent="0.25">
      <c r="A47" s="17" t="s">
        <v>211</v>
      </c>
      <c r="B47" s="27" t="s">
        <v>145</v>
      </c>
      <c r="C47" s="2" t="s">
        <v>20</v>
      </c>
      <c r="D47" s="2" t="str">
        <f>VLOOKUP($C47,Sheet1!$A$2:$D$10,2,0)</f>
        <v>141150-91211</v>
      </c>
      <c r="E47" s="8" t="s">
        <v>78</v>
      </c>
      <c r="F47" s="12">
        <v>46028</v>
      </c>
      <c r="G47" s="23">
        <v>0.97916666666666663</v>
      </c>
      <c r="H47" s="2" t="s">
        <v>71</v>
      </c>
      <c r="I47" s="2" t="s">
        <v>54</v>
      </c>
      <c r="J47" s="2">
        <v>24</v>
      </c>
      <c r="K47" s="14">
        <f>VLOOKUP($C47,Sheet1!$A$2:$D$10,4,0)</f>
        <v>2</v>
      </c>
      <c r="L47" s="14" t="str">
        <f>VLOOKUP($C47,Sheet1!$A$2:$E$10,5,0)</f>
        <v>Bin</v>
      </c>
      <c r="M47" s="14">
        <f t="shared" si="6"/>
        <v>12</v>
      </c>
      <c r="N47" s="2"/>
      <c r="O47" s="2" t="s">
        <v>119</v>
      </c>
      <c r="P47" s="2" t="s">
        <v>417</v>
      </c>
    </row>
    <row r="48" spans="1:16" hidden="1" x14ac:dyDescent="0.25">
      <c r="A48" s="17" t="s">
        <v>211</v>
      </c>
      <c r="B48" s="27" t="s">
        <v>149</v>
      </c>
      <c r="C48" s="2" t="s">
        <v>23</v>
      </c>
      <c r="D48" s="2" t="str">
        <f>VLOOKUP($C48,Sheet1!$A$2:$D$10,2,0)</f>
        <v>141186-74360</v>
      </c>
      <c r="E48" s="8" t="s">
        <v>85</v>
      </c>
      <c r="F48" s="12">
        <v>46028</v>
      </c>
      <c r="G48" s="23">
        <v>0.97916666666666663</v>
      </c>
      <c r="H48" s="2" t="s">
        <v>71</v>
      </c>
      <c r="I48" s="2" t="s">
        <v>54</v>
      </c>
      <c r="J48" s="2">
        <v>40</v>
      </c>
      <c r="K48" s="14">
        <f>VLOOKUP($C48,Sheet1!$A$2:$D$10,4,0)</f>
        <v>40</v>
      </c>
      <c r="L48" s="14" t="str">
        <f>VLOOKUP($C48,Sheet1!$A$2:$E$10,5,0)</f>
        <v>Trolley</v>
      </c>
      <c r="M48" s="14"/>
      <c r="N48" s="2">
        <f>J48/K48</f>
        <v>1</v>
      </c>
      <c r="O48" s="2" t="s">
        <v>119</v>
      </c>
      <c r="P48" s="2">
        <v>910104269</v>
      </c>
    </row>
    <row r="49" spans="1:17" hidden="1" x14ac:dyDescent="0.25">
      <c r="A49" s="17" t="s">
        <v>212</v>
      </c>
      <c r="B49" s="27" t="s">
        <v>154</v>
      </c>
      <c r="C49" s="2" t="s">
        <v>26</v>
      </c>
      <c r="D49" s="2" t="str">
        <f>VLOOKUP($C49,Sheet1!$A$2:$D$10,2,0)</f>
        <v>116040-92240</v>
      </c>
      <c r="E49" s="8" t="s">
        <v>90</v>
      </c>
      <c r="F49" s="12">
        <v>46028</v>
      </c>
      <c r="G49" s="23">
        <v>0.97916666666666663</v>
      </c>
      <c r="H49" s="2" t="s">
        <v>91</v>
      </c>
      <c r="I49" s="2" t="s">
        <v>54</v>
      </c>
      <c r="J49" s="2">
        <v>24</v>
      </c>
      <c r="K49" s="14">
        <f>VLOOKUP($C49,Sheet1!$A$2:$D$10,4,0)</f>
        <v>6</v>
      </c>
      <c r="L49" s="14" t="str">
        <f>VLOOKUP($C49,Sheet1!$A$2:$E$10,5,0)</f>
        <v>Bin</v>
      </c>
      <c r="M49" s="14">
        <f t="shared" ref="M49:M50" si="7">J49/K49</f>
        <v>4</v>
      </c>
      <c r="N49" s="2"/>
      <c r="O49" s="2" t="s">
        <v>119</v>
      </c>
      <c r="P49" s="2" t="s">
        <v>420</v>
      </c>
    </row>
    <row r="50" spans="1:17" hidden="1" x14ac:dyDescent="0.25">
      <c r="A50" s="17" t="s">
        <v>212</v>
      </c>
      <c r="B50" s="27" t="s">
        <v>163</v>
      </c>
      <c r="C50" s="2" t="s">
        <v>29</v>
      </c>
      <c r="D50" s="2" t="str">
        <f>VLOOKUP($C50,Sheet1!$A$2:$D$10,2,0)</f>
        <v>114010-50830</v>
      </c>
      <c r="E50" s="8" t="s">
        <v>98</v>
      </c>
      <c r="F50" s="12">
        <v>46028</v>
      </c>
      <c r="G50" s="23">
        <v>0.97916666666666663</v>
      </c>
      <c r="H50" s="2" t="s">
        <v>91</v>
      </c>
      <c r="I50" s="2" t="s">
        <v>54</v>
      </c>
      <c r="J50" s="2">
        <v>24</v>
      </c>
      <c r="K50" s="14">
        <f>VLOOKUP($C50,Sheet1!$A$2:$D$10,4,0)</f>
        <v>1</v>
      </c>
      <c r="L50" s="14" t="str">
        <f>VLOOKUP($C50,Sheet1!$A$2:$E$10,5,0)</f>
        <v>Bin</v>
      </c>
      <c r="M50" s="14">
        <f t="shared" si="7"/>
        <v>24</v>
      </c>
      <c r="N50" s="2"/>
      <c r="O50" s="2" t="s">
        <v>119</v>
      </c>
      <c r="P50" s="2" t="s">
        <v>417</v>
      </c>
    </row>
    <row r="51" spans="1:17" s="11" customFormat="1" hidden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>
        <v>116</v>
      </c>
      <c r="N51" s="10">
        <v>9</v>
      </c>
      <c r="O51" s="10"/>
      <c r="P51" s="10"/>
    </row>
    <row r="52" spans="1:17" hidden="1" x14ac:dyDescent="0.25">
      <c r="A52" s="2"/>
      <c r="B52" s="2" t="s">
        <v>164</v>
      </c>
      <c r="C52" s="2"/>
      <c r="D52" s="2"/>
      <c r="E52" s="8"/>
      <c r="F52" s="12"/>
      <c r="G52" s="13"/>
      <c r="H52" s="2"/>
      <c r="I52" s="2"/>
      <c r="J52" s="2"/>
      <c r="K52" s="14"/>
      <c r="L52" s="14"/>
      <c r="M52" s="14"/>
      <c r="N52" s="2"/>
      <c r="O52" s="2"/>
      <c r="P52" s="2"/>
    </row>
    <row r="53" spans="1:17" x14ac:dyDescent="0.25">
      <c r="A53" s="2"/>
      <c r="B53" s="2"/>
      <c r="C53" s="2"/>
      <c r="D53" s="2"/>
      <c r="E53" s="8"/>
      <c r="F53" s="12"/>
      <c r="G53" s="13"/>
      <c r="H53" s="2"/>
      <c r="I53" s="2"/>
      <c r="J53" s="2"/>
      <c r="K53" s="14"/>
      <c r="L53" s="14"/>
      <c r="M53" s="14"/>
      <c r="N53" s="2"/>
      <c r="O53" s="2"/>
      <c r="P53" s="2"/>
    </row>
    <row r="55" spans="1:17" ht="15.75" thickBot="1" x14ac:dyDescent="0.3"/>
    <row r="56" spans="1:17" x14ac:dyDescent="0.25">
      <c r="A56" s="60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2"/>
    </row>
    <row r="57" spans="1:17" ht="15" customHeight="1" x14ac:dyDescent="0.25">
      <c r="A57" s="63" t="s">
        <v>203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5"/>
    </row>
    <row r="58" spans="1:17" ht="15.75" thickBot="1" x14ac:dyDescent="0.3">
      <c r="A58" s="66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8"/>
    </row>
  </sheetData>
  <autoFilter ref="A3:Q52" xr:uid="{BE44847A-E84A-4C82-B323-9FDE4777E801}">
    <filterColumn colId="2">
      <filters>
        <filter val="55101M58U10"/>
      </filters>
    </filterColumn>
  </autoFilter>
  <mergeCells count="11">
    <mergeCell ref="N43:N44"/>
    <mergeCell ref="A56:Q56"/>
    <mergeCell ref="A57:Q57"/>
    <mergeCell ref="A58:Q58"/>
    <mergeCell ref="N21:N22"/>
    <mergeCell ref="N34:N35"/>
    <mergeCell ref="A1:F1"/>
    <mergeCell ref="J1:N1"/>
    <mergeCell ref="L2:N2"/>
    <mergeCell ref="N4:N5"/>
    <mergeCell ref="N24:N25"/>
  </mergeCells>
  <conditionalFormatting sqref="B2">
    <cfRule type="duplicateValues" dxfId="130" priority="2"/>
    <cfRule type="duplicateValues" dxfId="129" priority="3"/>
  </conditionalFormatting>
  <conditionalFormatting sqref="B52:B53 B19:B22 B24:B32 B4:B17 B34:B50">
    <cfRule type="duplicateValues" dxfId="128" priority="9"/>
  </conditionalFormatting>
  <conditionalFormatting sqref="C2:D2">
    <cfRule type="duplicateValues" dxfId="127" priority="4"/>
    <cfRule type="duplicateValues" dxfId="126" priority="5"/>
  </conditionalFormatting>
  <hyperlinks>
    <hyperlink ref="B52" r:id="rId1" display="http://192.168.1.249/downloads/temp/X539_eNagare_202615.log" xr:uid="{668A8543-977B-4769-BEAA-F5E4812298C2}"/>
    <hyperlink ref="A57" r:id="rId2" display="http://192.168.1.249/downloads/temp/X539202615Spares.log" xr:uid="{824903B5-6CEF-4A77-9D11-4FEA65BAEEEA}"/>
  </hyperlinks>
  <pageMargins left="0.17" right="0.17" top="0.17" bottom="0.17" header="0.17" footer="0.17"/>
  <pageSetup paperSize="9" scale="13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5082-63AC-42B4-B0F4-AE7FFC528142}">
  <sheetPr>
    <tabColor rgb="FF00B050"/>
  </sheetPr>
  <dimension ref="A1:S17"/>
  <sheetViews>
    <sheetView workbookViewId="0">
      <selection activeCell="C14" sqref="C14"/>
    </sheetView>
  </sheetViews>
  <sheetFormatPr defaultColWidth="77.5703125" defaultRowHeight="15" x14ac:dyDescent="0.25"/>
  <cols>
    <col min="1" max="1" width="12.28515625" bestFit="1" customWidth="1"/>
    <col min="2" max="2" width="17.85546875" bestFit="1" customWidth="1"/>
    <col min="3" max="3" width="18" bestFit="1" customWidth="1"/>
    <col min="4" max="4" width="14.7109375" bestFit="1" customWidth="1"/>
    <col min="5" max="5" width="17" bestFit="1" customWidth="1"/>
    <col min="6" max="6" width="16.140625" bestFit="1" customWidth="1"/>
    <col min="7" max="7" width="22" bestFit="1" customWidth="1"/>
    <col min="8" max="8" width="16.5703125" customWidth="1"/>
    <col min="9" max="9" width="20.5703125" customWidth="1"/>
    <col min="10" max="10" width="20.28515625" customWidth="1"/>
    <col min="11" max="11" width="10.140625" bestFit="1" customWidth="1"/>
    <col min="12" max="12" width="11" bestFit="1" customWidth="1"/>
    <col min="13" max="13" width="20.140625" bestFit="1" customWidth="1"/>
    <col min="14" max="14" width="20.5703125" bestFit="1" customWidth="1"/>
    <col min="15" max="15" width="8.42578125" bestFit="1" customWidth="1"/>
    <col min="16" max="16" width="9.5703125" bestFit="1" customWidth="1"/>
    <col min="17" max="17" width="22" hidden="1" customWidth="1"/>
    <col min="18" max="18" width="10.140625" bestFit="1" customWidth="1"/>
    <col min="19" max="19" width="26.140625" bestFit="1" customWidth="1"/>
  </cols>
  <sheetData>
    <row r="1" spans="1:19" ht="15.75" thickBot="1" x14ac:dyDescent="0.3">
      <c r="A1" s="18" t="s">
        <v>165</v>
      </c>
      <c r="B1" s="18" t="s">
        <v>166</v>
      </c>
      <c r="C1" s="18" t="s">
        <v>167</v>
      </c>
      <c r="D1" s="18" t="s">
        <v>168</v>
      </c>
      <c r="E1" s="18" t="s">
        <v>173</v>
      </c>
      <c r="F1" s="18" t="s">
        <v>169</v>
      </c>
      <c r="G1" s="18" t="s">
        <v>170</v>
      </c>
      <c r="H1" s="10" t="s">
        <v>46</v>
      </c>
      <c r="I1" s="10" t="s">
        <v>37</v>
      </c>
      <c r="J1" s="18" t="s">
        <v>171</v>
      </c>
      <c r="K1" s="18" t="s">
        <v>172</v>
      </c>
      <c r="L1" s="18" t="s">
        <v>174</v>
      </c>
      <c r="M1" s="18" t="s">
        <v>175</v>
      </c>
      <c r="N1" s="18" t="s">
        <v>176</v>
      </c>
      <c r="O1" s="18" t="s">
        <v>177</v>
      </c>
      <c r="P1" s="18" t="s">
        <v>178</v>
      </c>
      <c r="Q1" s="18" t="s">
        <v>170</v>
      </c>
      <c r="R1" s="18" t="s">
        <v>179</v>
      </c>
      <c r="S1" s="18" t="s">
        <v>180</v>
      </c>
    </row>
    <row r="2" spans="1:19" ht="15.75" thickBot="1" x14ac:dyDescent="0.3">
      <c r="A2" s="29" t="s">
        <v>181</v>
      </c>
      <c r="B2" s="28">
        <v>46028</v>
      </c>
      <c r="C2" s="19"/>
      <c r="D2" s="19" t="s">
        <v>124</v>
      </c>
      <c r="E2" s="19" t="s">
        <v>213</v>
      </c>
      <c r="F2" s="19" t="s">
        <v>12</v>
      </c>
      <c r="G2" s="19">
        <v>6</v>
      </c>
      <c r="H2" s="19">
        <v>1</v>
      </c>
      <c r="I2" s="2" t="s">
        <v>119</v>
      </c>
      <c r="J2" s="19">
        <v>1</v>
      </c>
      <c r="K2" s="19" t="s">
        <v>182</v>
      </c>
      <c r="L2" s="19" t="s">
        <v>183</v>
      </c>
      <c r="M2" s="19" t="s">
        <v>184</v>
      </c>
      <c r="N2" s="19" t="s">
        <v>185</v>
      </c>
      <c r="O2" s="19">
        <v>4259</v>
      </c>
      <c r="P2" s="19">
        <f>G2/H2</f>
        <v>6</v>
      </c>
      <c r="Q2" s="19">
        <v>6</v>
      </c>
      <c r="R2" s="19"/>
      <c r="S2" s="21" t="s">
        <v>186</v>
      </c>
    </row>
    <row r="3" spans="1:19" ht="15.75" thickBot="1" x14ac:dyDescent="0.3">
      <c r="A3" s="29" t="s">
        <v>181</v>
      </c>
      <c r="B3" s="28">
        <v>46028</v>
      </c>
      <c r="C3" s="19"/>
      <c r="D3" s="19" t="s">
        <v>124</v>
      </c>
      <c r="E3" s="19" t="s">
        <v>214</v>
      </c>
      <c r="F3" s="19" t="s">
        <v>12</v>
      </c>
      <c r="G3" s="19">
        <v>6</v>
      </c>
      <c r="H3" s="19">
        <v>1</v>
      </c>
      <c r="I3" s="2" t="s">
        <v>119</v>
      </c>
      <c r="J3" s="19">
        <v>1</v>
      </c>
      <c r="K3" s="19" t="s">
        <v>182</v>
      </c>
      <c r="L3" s="19" t="s">
        <v>183</v>
      </c>
      <c r="M3" s="19" t="s">
        <v>184</v>
      </c>
      <c r="N3" s="19" t="s">
        <v>185</v>
      </c>
      <c r="O3" s="19">
        <v>4259</v>
      </c>
      <c r="P3" s="19">
        <f t="shared" ref="P3:P17" si="0">G3/H3</f>
        <v>6</v>
      </c>
      <c r="Q3" s="19">
        <v>6</v>
      </c>
      <c r="R3" s="19"/>
      <c r="S3" s="21" t="s">
        <v>186</v>
      </c>
    </row>
    <row r="4" spans="1:19" ht="15.75" thickBot="1" x14ac:dyDescent="0.3">
      <c r="A4" s="29" t="s">
        <v>181</v>
      </c>
      <c r="B4" s="28">
        <v>46028</v>
      </c>
      <c r="C4" s="19"/>
      <c r="D4" s="19" t="s">
        <v>124</v>
      </c>
      <c r="E4" s="19" t="s">
        <v>215</v>
      </c>
      <c r="F4" s="19" t="s">
        <v>12</v>
      </c>
      <c r="G4" s="19">
        <v>176</v>
      </c>
      <c r="H4" s="19">
        <v>1</v>
      </c>
      <c r="I4" s="2" t="s">
        <v>119</v>
      </c>
      <c r="J4" s="19">
        <v>1</v>
      </c>
      <c r="K4" s="19" t="s">
        <v>182</v>
      </c>
      <c r="L4" s="19" t="s">
        <v>183</v>
      </c>
      <c r="M4" s="19" t="s">
        <v>184</v>
      </c>
      <c r="N4" s="19" t="s">
        <v>185</v>
      </c>
      <c r="O4" s="19">
        <v>4259</v>
      </c>
      <c r="P4" s="19">
        <f t="shared" si="0"/>
        <v>176</v>
      </c>
      <c r="Q4" s="19">
        <v>176</v>
      </c>
      <c r="R4" s="19"/>
      <c r="S4" s="21" t="s">
        <v>186</v>
      </c>
    </row>
    <row r="5" spans="1:19" ht="15.75" thickBot="1" x14ac:dyDescent="0.3">
      <c r="A5" s="29" t="s">
        <v>181</v>
      </c>
      <c r="B5" s="28">
        <v>46026</v>
      </c>
      <c r="C5" s="20">
        <v>46028</v>
      </c>
      <c r="D5" s="19" t="s">
        <v>124</v>
      </c>
      <c r="E5" s="19" t="s">
        <v>192</v>
      </c>
      <c r="F5" s="19" t="s">
        <v>191</v>
      </c>
      <c r="G5" s="19">
        <v>30</v>
      </c>
      <c r="H5" s="19">
        <v>10</v>
      </c>
      <c r="I5" s="2" t="s">
        <v>119</v>
      </c>
      <c r="J5" s="19">
        <v>2</v>
      </c>
      <c r="K5" s="19" t="s">
        <v>182</v>
      </c>
      <c r="L5" s="19" t="s">
        <v>183</v>
      </c>
      <c r="M5" s="19" t="s">
        <v>184</v>
      </c>
      <c r="N5" s="19" t="s">
        <v>185</v>
      </c>
      <c r="O5" s="19">
        <v>3917.5</v>
      </c>
      <c r="P5" s="19">
        <f t="shared" si="0"/>
        <v>3</v>
      </c>
      <c r="Q5" s="19">
        <v>30</v>
      </c>
      <c r="R5" s="19"/>
      <c r="S5" s="21" t="s">
        <v>186</v>
      </c>
    </row>
    <row r="6" spans="1:19" ht="15.75" thickBot="1" x14ac:dyDescent="0.3">
      <c r="A6" s="29" t="s">
        <v>181</v>
      </c>
      <c r="B6" s="28">
        <v>46028</v>
      </c>
      <c r="C6" s="19"/>
      <c r="D6" s="19" t="s">
        <v>124</v>
      </c>
      <c r="E6" s="19" t="s">
        <v>202</v>
      </c>
      <c r="F6" s="19" t="s">
        <v>191</v>
      </c>
      <c r="G6" s="19">
        <v>10</v>
      </c>
      <c r="H6" s="19">
        <v>10</v>
      </c>
      <c r="I6" s="2" t="s">
        <v>119</v>
      </c>
      <c r="J6" s="19">
        <v>2</v>
      </c>
      <c r="K6" s="19" t="s">
        <v>182</v>
      </c>
      <c r="L6" s="19" t="s">
        <v>183</v>
      </c>
      <c r="M6" s="19" t="s">
        <v>184</v>
      </c>
      <c r="N6" s="19" t="s">
        <v>185</v>
      </c>
      <c r="O6" s="19">
        <v>3917.5</v>
      </c>
      <c r="P6" s="19">
        <f t="shared" si="0"/>
        <v>1</v>
      </c>
      <c r="Q6" s="19">
        <v>10</v>
      </c>
      <c r="R6" s="19"/>
      <c r="S6" s="21" t="s">
        <v>186</v>
      </c>
    </row>
    <row r="7" spans="1:19" ht="15.75" thickBot="1" x14ac:dyDescent="0.3">
      <c r="A7" s="29" t="s">
        <v>181</v>
      </c>
      <c r="B7" s="28">
        <v>46028</v>
      </c>
      <c r="C7" s="19"/>
      <c r="D7" s="19" t="s">
        <v>124</v>
      </c>
      <c r="E7" s="19" t="s">
        <v>216</v>
      </c>
      <c r="F7" s="19" t="s">
        <v>23</v>
      </c>
      <c r="G7" s="19">
        <v>2</v>
      </c>
      <c r="H7" s="19">
        <v>1</v>
      </c>
      <c r="I7" s="2" t="s">
        <v>119</v>
      </c>
      <c r="J7" s="19">
        <v>3</v>
      </c>
      <c r="K7" s="19" t="s">
        <v>182</v>
      </c>
      <c r="L7" s="19" t="s">
        <v>183</v>
      </c>
      <c r="M7" s="19" t="s">
        <v>184</v>
      </c>
      <c r="N7" s="19" t="s">
        <v>185</v>
      </c>
      <c r="O7" s="19">
        <v>3733.5</v>
      </c>
      <c r="P7" s="19">
        <f t="shared" si="0"/>
        <v>2</v>
      </c>
      <c r="Q7" s="19">
        <v>2</v>
      </c>
      <c r="R7" s="19"/>
      <c r="S7" s="21" t="s">
        <v>186</v>
      </c>
    </row>
    <row r="8" spans="1:19" ht="15.75" thickBot="1" x14ac:dyDescent="0.3">
      <c r="A8" s="29" t="s">
        <v>181</v>
      </c>
      <c r="B8" s="28">
        <v>46028</v>
      </c>
      <c r="C8" s="19"/>
      <c r="D8" s="19" t="s">
        <v>124</v>
      </c>
      <c r="E8" s="19" t="s">
        <v>217</v>
      </c>
      <c r="F8" s="19" t="s">
        <v>23</v>
      </c>
      <c r="G8" s="19">
        <v>2</v>
      </c>
      <c r="H8" s="19">
        <v>1</v>
      </c>
      <c r="I8" s="2" t="s">
        <v>119</v>
      </c>
      <c r="J8" s="19">
        <v>3</v>
      </c>
      <c r="K8" s="19" t="s">
        <v>182</v>
      </c>
      <c r="L8" s="19" t="s">
        <v>183</v>
      </c>
      <c r="M8" s="19" t="s">
        <v>184</v>
      </c>
      <c r="N8" s="19" t="s">
        <v>185</v>
      </c>
      <c r="O8" s="19">
        <v>3733.5</v>
      </c>
      <c r="P8" s="19">
        <f t="shared" si="0"/>
        <v>2</v>
      </c>
      <c r="Q8" s="19">
        <v>2</v>
      </c>
      <c r="R8" s="19"/>
      <c r="S8" s="21" t="s">
        <v>186</v>
      </c>
    </row>
    <row r="9" spans="1:19" ht="15.75" thickBot="1" x14ac:dyDescent="0.3">
      <c r="A9" s="29" t="s">
        <v>181</v>
      </c>
      <c r="B9" s="28">
        <v>46028</v>
      </c>
      <c r="C9" s="19"/>
      <c r="D9" s="19" t="s">
        <v>124</v>
      </c>
      <c r="E9" s="19" t="s">
        <v>218</v>
      </c>
      <c r="F9" s="19" t="s">
        <v>23</v>
      </c>
      <c r="G9" s="19">
        <v>147</v>
      </c>
      <c r="H9" s="19">
        <v>1</v>
      </c>
      <c r="I9" s="2" t="s">
        <v>119</v>
      </c>
      <c r="J9" s="19">
        <v>3</v>
      </c>
      <c r="K9" s="19" t="s">
        <v>182</v>
      </c>
      <c r="L9" s="19" t="s">
        <v>183</v>
      </c>
      <c r="M9" s="19" t="s">
        <v>184</v>
      </c>
      <c r="N9" s="19" t="s">
        <v>185</v>
      </c>
      <c r="O9" s="19">
        <v>3733.5</v>
      </c>
      <c r="P9" s="19">
        <f t="shared" si="0"/>
        <v>147</v>
      </c>
      <c r="Q9" s="19">
        <v>147</v>
      </c>
      <c r="R9" s="19"/>
      <c r="S9" s="21" t="s">
        <v>186</v>
      </c>
    </row>
    <row r="10" spans="1:19" ht="15.75" thickBot="1" x14ac:dyDescent="0.3">
      <c r="A10" s="29" t="s">
        <v>181</v>
      </c>
      <c r="B10" s="28">
        <v>46026</v>
      </c>
      <c r="C10" s="20">
        <v>46028</v>
      </c>
      <c r="D10" s="19" t="s">
        <v>124</v>
      </c>
      <c r="E10" s="19" t="s">
        <v>198</v>
      </c>
      <c r="F10" s="19" t="s">
        <v>197</v>
      </c>
      <c r="G10" s="19">
        <v>20</v>
      </c>
      <c r="H10" s="19">
        <v>10</v>
      </c>
      <c r="I10" s="2" t="s">
        <v>119</v>
      </c>
      <c r="J10" s="19">
        <v>4</v>
      </c>
      <c r="K10" s="19" t="s">
        <v>182</v>
      </c>
      <c r="L10" s="19" t="s">
        <v>183</v>
      </c>
      <c r="M10" s="19" t="s">
        <v>184</v>
      </c>
      <c r="N10" s="19" t="s">
        <v>185</v>
      </c>
      <c r="O10" s="19">
        <v>920.5</v>
      </c>
      <c r="P10" s="19">
        <f t="shared" si="0"/>
        <v>2</v>
      </c>
      <c r="Q10" s="19">
        <v>20</v>
      </c>
      <c r="R10" s="19"/>
      <c r="S10" s="21" t="s">
        <v>186</v>
      </c>
    </row>
    <row r="11" spans="1:19" ht="15.75" thickBot="1" x14ac:dyDescent="0.3">
      <c r="A11" s="29" t="s">
        <v>181</v>
      </c>
      <c r="B11" s="28">
        <v>46026</v>
      </c>
      <c r="C11" s="20">
        <v>46028</v>
      </c>
      <c r="D11" s="19" t="s">
        <v>124</v>
      </c>
      <c r="E11" s="19" t="s">
        <v>194</v>
      </c>
      <c r="F11" s="19" t="s">
        <v>193</v>
      </c>
      <c r="G11" s="19">
        <v>60</v>
      </c>
      <c r="H11" s="19">
        <v>10</v>
      </c>
      <c r="I11" s="2" t="s">
        <v>119</v>
      </c>
      <c r="J11" s="19">
        <v>5</v>
      </c>
      <c r="K11" s="19" t="s">
        <v>182</v>
      </c>
      <c r="L11" s="19" t="s">
        <v>183</v>
      </c>
      <c r="M11" s="19" t="s">
        <v>184</v>
      </c>
      <c r="N11" s="19" t="s">
        <v>185</v>
      </c>
      <c r="O11" s="19">
        <v>920.5</v>
      </c>
      <c r="P11" s="19">
        <f t="shared" si="0"/>
        <v>6</v>
      </c>
      <c r="Q11" s="19">
        <v>60</v>
      </c>
      <c r="R11" s="19"/>
      <c r="S11" s="21" t="s">
        <v>186</v>
      </c>
    </row>
    <row r="12" spans="1:19" ht="15.75" thickBot="1" x14ac:dyDescent="0.3">
      <c r="A12" s="29" t="s">
        <v>181</v>
      </c>
      <c r="B12" s="28">
        <v>46028</v>
      </c>
      <c r="C12" s="19"/>
      <c r="D12" s="19" t="s">
        <v>124</v>
      </c>
      <c r="E12" s="19" t="s">
        <v>219</v>
      </c>
      <c r="F12" s="19" t="s">
        <v>187</v>
      </c>
      <c r="G12" s="19">
        <v>80</v>
      </c>
      <c r="H12" s="19">
        <v>10</v>
      </c>
      <c r="I12" s="2" t="s">
        <v>119</v>
      </c>
      <c r="J12" s="19">
        <v>6</v>
      </c>
      <c r="K12" s="19" t="s">
        <v>182</v>
      </c>
      <c r="L12" s="19" t="s">
        <v>183</v>
      </c>
      <c r="M12" s="19" t="s">
        <v>184</v>
      </c>
      <c r="N12" s="19" t="s">
        <v>185</v>
      </c>
      <c r="O12" s="19">
        <v>843.5</v>
      </c>
      <c r="P12" s="19">
        <f t="shared" si="0"/>
        <v>8</v>
      </c>
      <c r="Q12" s="19">
        <v>80</v>
      </c>
      <c r="R12" s="19"/>
      <c r="S12" s="21" t="s">
        <v>186</v>
      </c>
    </row>
    <row r="13" spans="1:19" ht="15.75" thickBot="1" x14ac:dyDescent="0.3">
      <c r="A13" s="29" t="s">
        <v>181</v>
      </c>
      <c r="B13" s="28">
        <v>46028</v>
      </c>
      <c r="C13" s="19"/>
      <c r="D13" s="19" t="s">
        <v>124</v>
      </c>
      <c r="E13" s="19" t="s">
        <v>220</v>
      </c>
      <c r="F13" s="19" t="s">
        <v>188</v>
      </c>
      <c r="G13" s="19">
        <v>140</v>
      </c>
      <c r="H13" s="19">
        <v>10</v>
      </c>
      <c r="I13" s="2" t="s">
        <v>119</v>
      </c>
      <c r="J13" s="19">
        <v>7</v>
      </c>
      <c r="K13" s="19" t="s">
        <v>182</v>
      </c>
      <c r="L13" s="19" t="s">
        <v>183</v>
      </c>
      <c r="M13" s="19" t="s">
        <v>184</v>
      </c>
      <c r="N13" s="19" t="s">
        <v>185</v>
      </c>
      <c r="O13" s="19">
        <v>380</v>
      </c>
      <c r="P13" s="19">
        <f t="shared" si="0"/>
        <v>14</v>
      </c>
      <c r="Q13" s="19">
        <v>140</v>
      </c>
      <c r="R13" s="19"/>
      <c r="S13" s="21" t="s">
        <v>186</v>
      </c>
    </row>
    <row r="14" spans="1:19" ht="15.75" thickBot="1" x14ac:dyDescent="0.3">
      <c r="A14" s="29" t="s">
        <v>181</v>
      </c>
      <c r="B14" s="28">
        <v>46026</v>
      </c>
      <c r="C14" s="20">
        <v>46028</v>
      </c>
      <c r="D14" s="19" t="s">
        <v>124</v>
      </c>
      <c r="E14" s="19" t="s">
        <v>196</v>
      </c>
      <c r="F14" s="19" t="s">
        <v>195</v>
      </c>
      <c r="G14" s="19">
        <v>120</v>
      </c>
      <c r="H14" s="19">
        <v>10</v>
      </c>
      <c r="I14" s="2" t="s">
        <v>119</v>
      </c>
      <c r="J14" s="19">
        <v>8</v>
      </c>
      <c r="K14" s="19" t="s">
        <v>182</v>
      </c>
      <c r="L14" s="19" t="s">
        <v>183</v>
      </c>
      <c r="M14" s="19" t="s">
        <v>184</v>
      </c>
      <c r="N14" s="19" t="s">
        <v>185</v>
      </c>
      <c r="O14" s="19">
        <v>460</v>
      </c>
      <c r="P14" s="19">
        <f t="shared" si="0"/>
        <v>12</v>
      </c>
      <c r="Q14" s="19">
        <v>120</v>
      </c>
      <c r="R14" s="19"/>
      <c r="S14" s="21" t="s">
        <v>186</v>
      </c>
    </row>
    <row r="15" spans="1:19" ht="15.75" thickBot="1" x14ac:dyDescent="0.3">
      <c r="A15" s="29" t="s">
        <v>181</v>
      </c>
      <c r="B15" s="28">
        <v>46027</v>
      </c>
      <c r="C15" s="20">
        <v>46028</v>
      </c>
      <c r="D15" s="19" t="s">
        <v>124</v>
      </c>
      <c r="E15" s="19" t="s">
        <v>201</v>
      </c>
      <c r="F15" s="19" t="s">
        <v>195</v>
      </c>
      <c r="G15" s="19">
        <v>10</v>
      </c>
      <c r="H15" s="19">
        <v>10</v>
      </c>
      <c r="I15" s="2" t="s">
        <v>119</v>
      </c>
      <c r="J15" s="19">
        <v>8</v>
      </c>
      <c r="K15" s="19" t="s">
        <v>182</v>
      </c>
      <c r="L15" s="19" t="s">
        <v>183</v>
      </c>
      <c r="M15" s="19" t="s">
        <v>184</v>
      </c>
      <c r="N15" s="19" t="s">
        <v>185</v>
      </c>
      <c r="O15" s="19">
        <v>460</v>
      </c>
      <c r="P15" s="19">
        <f t="shared" si="0"/>
        <v>1</v>
      </c>
      <c r="Q15" s="19">
        <v>10</v>
      </c>
      <c r="R15" s="19"/>
      <c r="S15" s="21" t="s">
        <v>186</v>
      </c>
    </row>
    <row r="16" spans="1:19" ht="15.75" thickBot="1" x14ac:dyDescent="0.3">
      <c r="A16" s="29" t="s">
        <v>181</v>
      </c>
      <c r="B16" s="28">
        <v>46026</v>
      </c>
      <c r="C16" s="20">
        <v>46028</v>
      </c>
      <c r="D16" s="19" t="s">
        <v>124</v>
      </c>
      <c r="E16" s="19" t="s">
        <v>200</v>
      </c>
      <c r="F16" s="19" t="s">
        <v>199</v>
      </c>
      <c r="G16" s="19">
        <v>120</v>
      </c>
      <c r="H16" s="19">
        <v>10</v>
      </c>
      <c r="I16" s="2" t="s">
        <v>119</v>
      </c>
      <c r="J16" s="19">
        <v>9</v>
      </c>
      <c r="K16" s="19" t="s">
        <v>182</v>
      </c>
      <c r="L16" s="19" t="s">
        <v>183</v>
      </c>
      <c r="M16" s="19" t="s">
        <v>184</v>
      </c>
      <c r="N16" s="19" t="s">
        <v>185</v>
      </c>
      <c r="O16" s="19">
        <v>751</v>
      </c>
      <c r="P16" s="19">
        <f t="shared" si="0"/>
        <v>12</v>
      </c>
      <c r="Q16" s="19">
        <v>120</v>
      </c>
      <c r="R16" s="19"/>
      <c r="S16" s="21" t="s">
        <v>186</v>
      </c>
    </row>
    <row r="17" spans="1:19" ht="15.75" thickBot="1" x14ac:dyDescent="0.3">
      <c r="A17" s="29" t="s">
        <v>181</v>
      </c>
      <c r="B17" s="28">
        <v>46026</v>
      </c>
      <c r="C17" s="20">
        <v>46028</v>
      </c>
      <c r="D17" s="19" t="s">
        <v>124</v>
      </c>
      <c r="E17" s="19" t="s">
        <v>190</v>
      </c>
      <c r="F17" s="19" t="s">
        <v>189</v>
      </c>
      <c r="G17" s="19">
        <v>54</v>
      </c>
      <c r="H17" s="19">
        <v>18</v>
      </c>
      <c r="I17" s="2" t="s">
        <v>119</v>
      </c>
      <c r="J17" s="19">
        <v>10</v>
      </c>
      <c r="K17" s="19" t="s">
        <v>182</v>
      </c>
      <c r="L17" s="19" t="s">
        <v>183</v>
      </c>
      <c r="M17" s="19" t="s">
        <v>184</v>
      </c>
      <c r="N17" s="19" t="s">
        <v>185</v>
      </c>
      <c r="O17" s="19">
        <v>380</v>
      </c>
      <c r="P17" s="19">
        <f t="shared" si="0"/>
        <v>3</v>
      </c>
      <c r="Q17" s="19">
        <v>54</v>
      </c>
      <c r="R17" s="19"/>
      <c r="S17" s="21" t="s">
        <v>186</v>
      </c>
    </row>
  </sheetData>
  <autoFilter ref="A1:S1" xr:uid="{CB9E5082-63AC-42B4-B0F4-AE7FFC528142}">
    <sortState xmlns:xlrd2="http://schemas.microsoft.com/office/spreadsheetml/2017/richdata2" ref="A2:S17">
      <sortCondition ref="J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33A6-C1F9-4D8E-A269-DBD94FBABE99}">
  <sheetPr filterMode="1">
    <tabColor rgb="FF00B050"/>
    <pageSetUpPr fitToPage="1"/>
  </sheetPr>
  <dimension ref="A1:P60"/>
  <sheetViews>
    <sheetView workbookViewId="0">
      <selection activeCell="J4" sqref="J4:J51"/>
    </sheetView>
  </sheetViews>
  <sheetFormatPr defaultColWidth="73.5703125" defaultRowHeight="15" x14ac:dyDescent="0.25"/>
  <cols>
    <col min="1" max="1" width="15.140625" bestFit="1" customWidth="1"/>
    <col min="2" max="2" width="18.42578125" customWidth="1"/>
    <col min="3" max="3" width="14.140625" bestFit="1" customWidth="1"/>
    <col min="4" max="4" width="14.140625" customWidth="1"/>
    <col min="5" max="5" width="32.5703125" bestFit="1" customWidth="1"/>
    <col min="6" max="6" width="9.85546875" customWidth="1"/>
    <col min="7" max="7" width="7.7109375" bestFit="1" customWidth="1"/>
    <col min="8" max="8" width="13.42578125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7109375" customWidth="1"/>
    <col min="16" max="16" width="51.4257812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55" t="s">
        <v>35</v>
      </c>
      <c r="K1" s="56"/>
      <c r="L1" s="56"/>
      <c r="M1" s="56"/>
      <c r="N1" s="56"/>
      <c r="O1" s="3"/>
      <c r="P1" s="4"/>
    </row>
    <row r="2" spans="1:16" ht="15.75" x14ac:dyDescent="0.25">
      <c r="A2" s="5" t="s">
        <v>36</v>
      </c>
      <c r="B2" s="6">
        <v>46029</v>
      </c>
      <c r="C2" s="7"/>
      <c r="D2" s="7"/>
      <c r="E2" s="2"/>
      <c r="F2" s="8"/>
      <c r="G2" s="2"/>
      <c r="H2" s="2"/>
      <c r="I2" s="2"/>
      <c r="J2" s="2"/>
      <c r="K2" s="2"/>
      <c r="L2" s="57" t="s">
        <v>37</v>
      </c>
      <c r="M2" s="58"/>
      <c r="N2" s="59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279</v>
      </c>
      <c r="B4" s="27" t="s">
        <v>227</v>
      </c>
      <c r="C4" s="2" t="s">
        <v>5</v>
      </c>
      <c r="D4" s="2" t="str">
        <f>VLOOKUP($C4,Sheet1!$A$2:$D$10,2,0)</f>
        <v>141110-14600</v>
      </c>
      <c r="E4" s="8" t="s">
        <v>52</v>
      </c>
      <c r="F4" s="12">
        <v>46029</v>
      </c>
      <c r="G4" s="13">
        <v>0.27083333333333331</v>
      </c>
      <c r="H4" s="2" t="s">
        <v>53</v>
      </c>
      <c r="I4" s="2" t="s">
        <v>54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1</v>
      </c>
      <c r="O4" s="2" t="s">
        <v>122</v>
      </c>
      <c r="P4" s="2" t="s">
        <v>416</v>
      </c>
    </row>
    <row r="5" spans="1:16" hidden="1" x14ac:dyDescent="0.25">
      <c r="A5" s="17" t="s">
        <v>279</v>
      </c>
      <c r="B5" s="27" t="s">
        <v>233</v>
      </c>
      <c r="C5" s="2" t="s">
        <v>9</v>
      </c>
      <c r="D5" s="2" t="str">
        <f>VLOOKUP($C5,Sheet1!$A$2:$D$10,2,0)</f>
        <v>141120-14600</v>
      </c>
      <c r="E5" s="8" t="s">
        <v>60</v>
      </c>
      <c r="F5" s="12">
        <v>46029</v>
      </c>
      <c r="G5" s="13">
        <v>0.27083333333333331</v>
      </c>
      <c r="H5" s="2" t="s">
        <v>53</v>
      </c>
      <c r="I5" s="2" t="s">
        <v>54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122</v>
      </c>
      <c r="P5" s="2" t="s">
        <v>416</v>
      </c>
    </row>
    <row r="6" spans="1:16" hidden="1" x14ac:dyDescent="0.25">
      <c r="A6" s="17" t="s">
        <v>279</v>
      </c>
      <c r="B6" s="27" t="s">
        <v>239</v>
      </c>
      <c r="C6" s="2" t="s">
        <v>12</v>
      </c>
      <c r="D6" s="2" t="str">
        <f>VLOOKUP($C6,Sheet1!$A$2:$D$10,2,0)</f>
        <v>141185-74670</v>
      </c>
      <c r="E6" s="8" t="s">
        <v>66</v>
      </c>
      <c r="F6" s="12">
        <v>46029</v>
      </c>
      <c r="G6" s="13">
        <v>0.27083333333333331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122</v>
      </c>
      <c r="P6" s="2">
        <v>910104658</v>
      </c>
    </row>
    <row r="7" spans="1:16" hidden="1" x14ac:dyDescent="0.25">
      <c r="A7" s="17" t="s">
        <v>279</v>
      </c>
      <c r="B7" s="27" t="s">
        <v>244</v>
      </c>
      <c r="C7" s="2" t="s">
        <v>16</v>
      </c>
      <c r="D7" s="2" t="str">
        <f>VLOOKUP($C7,Sheet1!$A$2:$D$10,2,0)</f>
        <v>141140-91211</v>
      </c>
      <c r="E7" s="8" t="s">
        <v>70</v>
      </c>
      <c r="F7" s="12">
        <v>46029</v>
      </c>
      <c r="G7" s="13">
        <v>0.27083333333333331</v>
      </c>
      <c r="H7" s="2" t="s">
        <v>71</v>
      </c>
      <c r="I7" s="2" t="s">
        <v>54</v>
      </c>
      <c r="J7" s="2">
        <v>30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15</v>
      </c>
      <c r="N7" s="2"/>
      <c r="O7" s="2" t="s">
        <v>122</v>
      </c>
      <c r="P7" s="2" t="s">
        <v>417</v>
      </c>
    </row>
    <row r="8" spans="1:16" hidden="1" x14ac:dyDescent="0.25">
      <c r="A8" s="17" t="s">
        <v>279</v>
      </c>
      <c r="B8" s="27" t="s">
        <v>250</v>
      </c>
      <c r="C8" s="2" t="s">
        <v>20</v>
      </c>
      <c r="D8" s="2" t="str">
        <f>VLOOKUP($C8,Sheet1!$A$2:$D$10,2,0)</f>
        <v>141150-91211</v>
      </c>
      <c r="E8" s="8" t="s">
        <v>78</v>
      </c>
      <c r="F8" s="12">
        <v>46029</v>
      </c>
      <c r="G8" s="13">
        <v>0.27083333333333331</v>
      </c>
      <c r="H8" s="2" t="s">
        <v>71</v>
      </c>
      <c r="I8" s="2" t="s">
        <v>54</v>
      </c>
      <c r="J8" s="2">
        <v>30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15</v>
      </c>
      <c r="N8" s="2"/>
      <c r="O8" s="2" t="s">
        <v>122</v>
      </c>
      <c r="P8" s="2" t="s">
        <v>417</v>
      </c>
    </row>
    <row r="9" spans="1:16" hidden="1" x14ac:dyDescent="0.25">
      <c r="A9" s="17" t="s">
        <v>279</v>
      </c>
      <c r="B9" s="27" t="s">
        <v>256</v>
      </c>
      <c r="C9" s="2" t="s">
        <v>23</v>
      </c>
      <c r="D9" s="2" t="str">
        <f>VLOOKUP($C9,Sheet1!$A$2:$D$10,2,0)</f>
        <v>141186-74360</v>
      </c>
      <c r="E9" s="8" t="s">
        <v>85</v>
      </c>
      <c r="F9" s="12">
        <v>46029</v>
      </c>
      <c r="G9" s="13">
        <v>0.27083333333333331</v>
      </c>
      <c r="H9" s="2" t="s">
        <v>71</v>
      </c>
      <c r="I9" s="2" t="s">
        <v>54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2</v>
      </c>
      <c r="O9" s="2" t="s">
        <v>122</v>
      </c>
      <c r="P9" s="2">
        <v>910104658</v>
      </c>
    </row>
    <row r="10" spans="1:16" hidden="1" x14ac:dyDescent="0.25">
      <c r="A10" s="17" t="s">
        <v>280</v>
      </c>
      <c r="B10" s="27" t="s">
        <v>260</v>
      </c>
      <c r="C10" s="2" t="s">
        <v>26</v>
      </c>
      <c r="D10" s="2" t="str">
        <f>VLOOKUP($C10,Sheet1!$A$2:$D$10,2,0)</f>
        <v>116040-92240</v>
      </c>
      <c r="E10" s="8" t="s">
        <v>90</v>
      </c>
      <c r="F10" s="12">
        <v>46029</v>
      </c>
      <c r="G10" s="13">
        <v>0.27083333333333331</v>
      </c>
      <c r="H10" s="2" t="s">
        <v>91</v>
      </c>
      <c r="I10" s="2" t="s">
        <v>54</v>
      </c>
      <c r="J10" s="2">
        <v>30</v>
      </c>
      <c r="K10" s="14">
        <f>VLOOKUP($C10,Sheet1!$A$2:$D$10,4,0)</f>
        <v>6</v>
      </c>
      <c r="L10" s="14" t="str">
        <f>VLOOKUP($C10,Sheet1!$A$2:$E$10,5,0)</f>
        <v>Bin</v>
      </c>
      <c r="M10" s="14">
        <f t="shared" ref="M10:M12" si="0">J10/K10</f>
        <v>5</v>
      </c>
      <c r="N10" s="2"/>
      <c r="O10" s="2" t="s">
        <v>122</v>
      </c>
      <c r="P10" s="2" t="s">
        <v>420</v>
      </c>
    </row>
    <row r="11" spans="1:16" hidden="1" x14ac:dyDescent="0.25">
      <c r="A11" s="17" t="s">
        <v>280</v>
      </c>
      <c r="B11" s="27" t="s">
        <v>266</v>
      </c>
      <c r="C11" s="2" t="s">
        <v>32</v>
      </c>
      <c r="D11" s="2" t="str">
        <f>VLOOKUP($C11,Sheet1!$A$2:$D$10,2,0)</f>
        <v>114010-50820</v>
      </c>
      <c r="E11" s="8" t="s">
        <v>98</v>
      </c>
      <c r="F11" s="12">
        <v>46029</v>
      </c>
      <c r="G11" s="13">
        <v>0.27083333333333331</v>
      </c>
      <c r="H11" s="2" t="s">
        <v>91</v>
      </c>
      <c r="I11" s="2" t="s">
        <v>54</v>
      </c>
      <c r="J11" s="2">
        <v>20</v>
      </c>
      <c r="K11" s="14">
        <f>VLOOKUP($C11,Sheet1!$A$2:$D$10,4,0)</f>
        <v>1</v>
      </c>
      <c r="L11" s="14" t="str">
        <f>VLOOKUP($C11,Sheet1!$A$2:$E$10,5,0)</f>
        <v>Bin</v>
      </c>
      <c r="M11" s="14">
        <f t="shared" si="0"/>
        <v>20</v>
      </c>
      <c r="N11" s="2"/>
      <c r="O11" s="2" t="s">
        <v>122</v>
      </c>
      <c r="P11" s="2" t="s">
        <v>418</v>
      </c>
    </row>
    <row r="12" spans="1:16" hidden="1" x14ac:dyDescent="0.25">
      <c r="A12" s="17" t="s">
        <v>280</v>
      </c>
      <c r="B12" s="27" t="s">
        <v>272</v>
      </c>
      <c r="C12" s="2" t="s">
        <v>29</v>
      </c>
      <c r="D12" s="2" t="str">
        <f>VLOOKUP($C12,Sheet1!$A$2:$D$10,2,0)</f>
        <v>114010-50830</v>
      </c>
      <c r="E12" s="8" t="s">
        <v>98</v>
      </c>
      <c r="F12" s="12">
        <v>46029</v>
      </c>
      <c r="G12" s="13">
        <v>0.27083333333333331</v>
      </c>
      <c r="H12" s="2" t="s">
        <v>91</v>
      </c>
      <c r="I12" s="2" t="s">
        <v>54</v>
      </c>
      <c r="J12" s="2">
        <v>20</v>
      </c>
      <c r="K12" s="14">
        <f>VLOOKUP($C12,Sheet1!$A$2:$D$10,4,0)</f>
        <v>1</v>
      </c>
      <c r="L12" s="14" t="str">
        <f>VLOOKUP($C12,Sheet1!$A$2:$E$10,5,0)</f>
        <v>Bin</v>
      </c>
      <c r="M12" s="14">
        <f t="shared" si="0"/>
        <v>20</v>
      </c>
      <c r="N12" s="2"/>
      <c r="O12" s="2" t="s">
        <v>122</v>
      </c>
      <c r="P12" s="2" t="s">
        <v>417</v>
      </c>
    </row>
    <row r="13" spans="1:16" s="11" customFormat="1" hidden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v>75</v>
      </c>
      <c r="N13" s="10">
        <v>5</v>
      </c>
      <c r="O13" s="10"/>
      <c r="P13" s="10"/>
    </row>
    <row r="14" spans="1:16" x14ac:dyDescent="0.25">
      <c r="A14" s="17" t="s">
        <v>281</v>
      </c>
      <c r="B14" s="27" t="s">
        <v>228</v>
      </c>
      <c r="C14" s="2" t="s">
        <v>5</v>
      </c>
      <c r="D14" s="2" t="str">
        <f>VLOOKUP($C14,Sheet1!$A$2:$D$10,2,0)</f>
        <v>141110-14600</v>
      </c>
      <c r="E14" s="8" t="s">
        <v>52</v>
      </c>
      <c r="F14" s="12">
        <v>46029</v>
      </c>
      <c r="G14" s="13">
        <v>0.35416666666666669</v>
      </c>
      <c r="H14" s="2" t="s">
        <v>53</v>
      </c>
      <c r="I14" s="2" t="s">
        <v>54</v>
      </c>
      <c r="J14" s="2">
        <v>36</v>
      </c>
      <c r="K14" s="14">
        <f>VLOOKUP($C14,Sheet1!$A$2:$D$10,4,0)</f>
        <v>18</v>
      </c>
      <c r="L14" s="14" t="str">
        <f>VLOOKUP($C14,Sheet1!$A$2:$E$10,5,0)</f>
        <v>Trolley (H)</v>
      </c>
      <c r="M14" s="14"/>
      <c r="N14" s="52">
        <v>2</v>
      </c>
      <c r="O14" s="2" t="s">
        <v>221</v>
      </c>
      <c r="P14" s="2" t="s">
        <v>416</v>
      </c>
    </row>
    <row r="15" spans="1:16" hidden="1" x14ac:dyDescent="0.25">
      <c r="A15" s="17" t="s">
        <v>281</v>
      </c>
      <c r="B15" s="27" t="s">
        <v>234</v>
      </c>
      <c r="C15" s="2" t="s">
        <v>9</v>
      </c>
      <c r="D15" s="2" t="str">
        <f>VLOOKUP($C15,Sheet1!$A$2:$D$10,2,0)</f>
        <v>141120-14600</v>
      </c>
      <c r="E15" s="8" t="s">
        <v>60</v>
      </c>
      <c r="F15" s="12">
        <v>46029</v>
      </c>
      <c r="G15" s="13">
        <v>0.35416666666666669</v>
      </c>
      <c r="H15" s="2" t="s">
        <v>53</v>
      </c>
      <c r="I15" s="2" t="s">
        <v>54</v>
      </c>
      <c r="J15" s="2">
        <v>36</v>
      </c>
      <c r="K15" s="14">
        <f>VLOOKUP($C15,Sheet1!$A$2:$D$10,4,0)</f>
        <v>18</v>
      </c>
      <c r="L15" s="14" t="str">
        <f>VLOOKUP($C15,Sheet1!$A$2:$E$10,5,0)</f>
        <v>Trolley (H)</v>
      </c>
      <c r="M15" s="14"/>
      <c r="N15" s="53"/>
      <c r="O15" s="2" t="s">
        <v>221</v>
      </c>
      <c r="P15" s="2" t="s">
        <v>416</v>
      </c>
    </row>
    <row r="16" spans="1:16" hidden="1" x14ac:dyDescent="0.25">
      <c r="A16" s="17" t="s">
        <v>281</v>
      </c>
      <c r="B16" s="27" t="s">
        <v>240</v>
      </c>
      <c r="C16" s="2" t="s">
        <v>12</v>
      </c>
      <c r="D16" s="2" t="str">
        <f>VLOOKUP($C16,Sheet1!$A$2:$D$10,2,0)</f>
        <v>141185-74670</v>
      </c>
      <c r="E16" s="8" t="s">
        <v>66</v>
      </c>
      <c r="F16" s="12">
        <v>46029</v>
      </c>
      <c r="G16" s="13">
        <v>0.35416666666666669</v>
      </c>
      <c r="H16" s="2" t="s">
        <v>53</v>
      </c>
      <c r="I16" s="2" t="s">
        <v>54</v>
      </c>
      <c r="J16" s="2">
        <v>80</v>
      </c>
      <c r="K16" s="14">
        <f>VLOOKUP($C16,Sheet1!$A$2:$D$10,4,0)</f>
        <v>40</v>
      </c>
      <c r="L16" s="14" t="str">
        <f>VLOOKUP($C16,Sheet1!$A$2:$E$10,5,0)</f>
        <v>Trolley</v>
      </c>
      <c r="M16" s="14"/>
      <c r="N16" s="2">
        <f>J16/K16</f>
        <v>2</v>
      </c>
      <c r="O16" s="2" t="s">
        <v>221</v>
      </c>
      <c r="P16" s="2">
        <v>910104658</v>
      </c>
    </row>
    <row r="17" spans="1:16" hidden="1" x14ac:dyDescent="0.25">
      <c r="A17" s="17" t="s">
        <v>281</v>
      </c>
      <c r="B17" s="27" t="s">
        <v>245</v>
      </c>
      <c r="C17" s="2" t="s">
        <v>16</v>
      </c>
      <c r="D17" s="2" t="str">
        <f>VLOOKUP($C17,Sheet1!$A$2:$D$10,2,0)</f>
        <v>141140-91211</v>
      </c>
      <c r="E17" s="8" t="s">
        <v>70</v>
      </c>
      <c r="F17" s="12">
        <v>46029</v>
      </c>
      <c r="G17" s="13">
        <v>0.35416666666666669</v>
      </c>
      <c r="H17" s="2" t="s">
        <v>71</v>
      </c>
      <c r="I17" s="2" t="s">
        <v>54</v>
      </c>
      <c r="J17" s="2">
        <v>42</v>
      </c>
      <c r="K17" s="14">
        <f>VLOOKUP($C17,Sheet1!$A$2:$D$10,4,0)</f>
        <v>2</v>
      </c>
      <c r="L17" s="14" t="str">
        <f>VLOOKUP($C17,Sheet1!$A$2:$E$10,5,0)</f>
        <v>Bin</v>
      </c>
      <c r="M17" s="14">
        <f t="shared" ref="M17:M18" si="1">J17/K17</f>
        <v>21</v>
      </c>
      <c r="N17" s="2"/>
      <c r="O17" s="2" t="s">
        <v>221</v>
      </c>
      <c r="P17" s="2" t="s">
        <v>417</v>
      </c>
    </row>
    <row r="18" spans="1:16" hidden="1" x14ac:dyDescent="0.25">
      <c r="A18" s="17" t="s">
        <v>281</v>
      </c>
      <c r="B18" s="27" t="s">
        <v>251</v>
      </c>
      <c r="C18" s="2" t="s">
        <v>20</v>
      </c>
      <c r="D18" s="2" t="str">
        <f>VLOOKUP($C18,Sheet1!$A$2:$D$10,2,0)</f>
        <v>141150-91211</v>
      </c>
      <c r="E18" s="8" t="s">
        <v>78</v>
      </c>
      <c r="F18" s="12">
        <v>46029</v>
      </c>
      <c r="G18" s="13">
        <v>0.35416666666666669</v>
      </c>
      <c r="H18" s="2" t="s">
        <v>71</v>
      </c>
      <c r="I18" s="2" t="s">
        <v>54</v>
      </c>
      <c r="J18" s="2">
        <v>42</v>
      </c>
      <c r="K18" s="14">
        <f>VLOOKUP($C18,Sheet1!$A$2:$D$10,4,0)</f>
        <v>2</v>
      </c>
      <c r="L18" s="14" t="str">
        <f>VLOOKUP($C18,Sheet1!$A$2:$E$10,5,0)</f>
        <v>Bin</v>
      </c>
      <c r="M18" s="14">
        <f t="shared" si="1"/>
        <v>21</v>
      </c>
      <c r="N18" s="2"/>
      <c r="O18" s="2" t="s">
        <v>221</v>
      </c>
      <c r="P18" s="2" t="s">
        <v>417</v>
      </c>
    </row>
    <row r="19" spans="1:16" hidden="1" x14ac:dyDescent="0.25">
      <c r="A19" s="17" t="s">
        <v>281</v>
      </c>
      <c r="B19" s="27" t="s">
        <v>257</v>
      </c>
      <c r="C19" s="2" t="s">
        <v>23</v>
      </c>
      <c r="D19" s="2" t="str">
        <f>VLOOKUP($C19,Sheet1!$A$2:$D$10,2,0)</f>
        <v>141186-74360</v>
      </c>
      <c r="E19" s="8" t="s">
        <v>85</v>
      </c>
      <c r="F19" s="12">
        <v>46029</v>
      </c>
      <c r="G19" s="13">
        <v>0.35416666666666669</v>
      </c>
      <c r="H19" s="2" t="s">
        <v>71</v>
      </c>
      <c r="I19" s="2" t="s">
        <v>54</v>
      </c>
      <c r="J19" s="2">
        <v>80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2</v>
      </c>
      <c r="O19" s="2" t="s">
        <v>221</v>
      </c>
      <c r="P19" s="2">
        <v>910104658</v>
      </c>
    </row>
    <row r="20" spans="1:16" hidden="1" x14ac:dyDescent="0.25">
      <c r="A20" s="17" t="s">
        <v>282</v>
      </c>
      <c r="B20" s="27" t="s">
        <v>261</v>
      </c>
      <c r="C20" s="2" t="s">
        <v>26</v>
      </c>
      <c r="D20" s="2" t="str">
        <f>VLOOKUP($C20,Sheet1!$A$2:$D$10,2,0)</f>
        <v>116040-92240</v>
      </c>
      <c r="E20" s="8" t="s">
        <v>90</v>
      </c>
      <c r="F20" s="12">
        <v>46029</v>
      </c>
      <c r="G20" s="13">
        <v>0.35416666666666669</v>
      </c>
      <c r="H20" s="2" t="s">
        <v>91</v>
      </c>
      <c r="I20" s="2" t="s">
        <v>54</v>
      </c>
      <c r="J20" s="2">
        <v>42</v>
      </c>
      <c r="K20" s="14">
        <f>VLOOKUP($C20,Sheet1!$A$2:$D$10,4,0)</f>
        <v>6</v>
      </c>
      <c r="L20" s="14" t="str">
        <f>VLOOKUP($C20,Sheet1!$A$2:$E$10,5,0)</f>
        <v>Bin</v>
      </c>
      <c r="M20" s="14">
        <f t="shared" ref="M20:M22" si="2">J20/K20</f>
        <v>7</v>
      </c>
      <c r="N20" s="2"/>
      <c r="O20" s="2" t="s">
        <v>221</v>
      </c>
      <c r="P20" s="2" t="s">
        <v>423</v>
      </c>
    </row>
    <row r="21" spans="1:16" hidden="1" x14ac:dyDescent="0.25">
      <c r="A21" s="17" t="s">
        <v>282</v>
      </c>
      <c r="B21" s="27" t="s">
        <v>267</v>
      </c>
      <c r="C21" s="2" t="s">
        <v>32</v>
      </c>
      <c r="D21" s="2" t="str">
        <f>VLOOKUP($C21,Sheet1!$A$2:$D$10,2,0)</f>
        <v>114010-50820</v>
      </c>
      <c r="E21" s="8" t="s">
        <v>98</v>
      </c>
      <c r="F21" s="12">
        <v>46029</v>
      </c>
      <c r="G21" s="13">
        <v>0.35416666666666669</v>
      </c>
      <c r="H21" s="2" t="s">
        <v>91</v>
      </c>
      <c r="I21" s="2" t="s">
        <v>54</v>
      </c>
      <c r="J21" s="2">
        <v>16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2"/>
        <v>16</v>
      </c>
      <c r="N21" s="2"/>
      <c r="O21" s="2" t="s">
        <v>221</v>
      </c>
      <c r="P21" s="2" t="s">
        <v>418</v>
      </c>
    </row>
    <row r="22" spans="1:16" hidden="1" x14ac:dyDescent="0.25">
      <c r="A22" s="17" t="s">
        <v>282</v>
      </c>
      <c r="B22" s="27" t="s">
        <v>273</v>
      </c>
      <c r="C22" s="2" t="s">
        <v>29</v>
      </c>
      <c r="D22" s="2" t="str">
        <f>VLOOKUP($C22,Sheet1!$A$2:$D$10,2,0)</f>
        <v>114010-50830</v>
      </c>
      <c r="E22" s="8" t="s">
        <v>98</v>
      </c>
      <c r="F22" s="12">
        <v>46029</v>
      </c>
      <c r="G22" s="13">
        <v>0.35416666666666669</v>
      </c>
      <c r="H22" s="2" t="s">
        <v>91</v>
      </c>
      <c r="I22" s="2" t="s">
        <v>54</v>
      </c>
      <c r="J22" s="2">
        <v>26</v>
      </c>
      <c r="K22" s="14">
        <f>VLOOKUP($C22,Sheet1!$A$2:$D$10,4,0)</f>
        <v>1</v>
      </c>
      <c r="L22" s="14" t="str">
        <f>VLOOKUP($C22,Sheet1!$A$2:$E$10,5,0)</f>
        <v>Bin</v>
      </c>
      <c r="M22" s="14">
        <f t="shared" si="2"/>
        <v>26</v>
      </c>
      <c r="N22" s="2"/>
      <c r="O22" s="2" t="s">
        <v>221</v>
      </c>
      <c r="P22" s="2" t="s">
        <v>417</v>
      </c>
    </row>
    <row r="23" spans="1:16" s="11" customFormat="1" hidden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v>91</v>
      </c>
      <c r="N23" s="10">
        <v>6</v>
      </c>
      <c r="O23" s="10"/>
      <c r="P23" s="10"/>
    </row>
    <row r="24" spans="1:16" x14ac:dyDescent="0.25">
      <c r="A24" s="17" t="s">
        <v>283</v>
      </c>
      <c r="B24" s="27" t="s">
        <v>229</v>
      </c>
      <c r="C24" s="2" t="s">
        <v>5</v>
      </c>
      <c r="D24" s="2" t="str">
        <f>VLOOKUP($C24,Sheet1!$A$2:$D$10,2,0)</f>
        <v>141110-14600</v>
      </c>
      <c r="E24" s="8" t="s">
        <v>52</v>
      </c>
      <c r="F24" s="12">
        <v>46029</v>
      </c>
      <c r="G24" s="13">
        <v>0.4375</v>
      </c>
      <c r="H24" s="2" t="s">
        <v>53</v>
      </c>
      <c r="I24" s="2" t="s">
        <v>54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>
        <v>1</v>
      </c>
      <c r="O24" s="2" t="s">
        <v>121</v>
      </c>
      <c r="P24" s="2" t="s">
        <v>416</v>
      </c>
    </row>
    <row r="25" spans="1:16" hidden="1" x14ac:dyDescent="0.25">
      <c r="A25" s="17" t="s">
        <v>283</v>
      </c>
      <c r="B25" s="27" t="s">
        <v>235</v>
      </c>
      <c r="C25" s="2" t="s">
        <v>9</v>
      </c>
      <c r="D25" s="2" t="str">
        <f>VLOOKUP($C25,Sheet1!$A$2:$D$10,2,0)</f>
        <v>141120-14600</v>
      </c>
      <c r="E25" s="8" t="s">
        <v>60</v>
      </c>
      <c r="F25" s="12">
        <v>46029</v>
      </c>
      <c r="G25" s="13">
        <v>0.4375</v>
      </c>
      <c r="H25" s="2" t="s">
        <v>53</v>
      </c>
      <c r="I25" s="2" t="s">
        <v>54</v>
      </c>
      <c r="J25" s="2">
        <v>18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3"/>
      <c r="O25" s="2" t="s">
        <v>121</v>
      </c>
      <c r="P25" s="2" t="s">
        <v>416</v>
      </c>
    </row>
    <row r="26" spans="1:16" hidden="1" x14ac:dyDescent="0.25">
      <c r="A26" s="17" t="s">
        <v>283</v>
      </c>
      <c r="B26" s="27" t="s">
        <v>241</v>
      </c>
      <c r="C26" s="2" t="s">
        <v>12</v>
      </c>
      <c r="D26" s="2" t="str">
        <f>VLOOKUP($C26,Sheet1!$A$2:$D$10,2,0)</f>
        <v>141185-74670</v>
      </c>
      <c r="E26" s="8" t="s">
        <v>66</v>
      </c>
      <c r="F26" s="12">
        <v>46029</v>
      </c>
      <c r="G26" s="13">
        <v>0.4375</v>
      </c>
      <c r="H26" s="2" t="s">
        <v>53</v>
      </c>
      <c r="I26" s="2" t="s">
        <v>54</v>
      </c>
      <c r="J26" s="2">
        <v>40</v>
      </c>
      <c r="K26" s="14">
        <f>VLOOKUP($C26,Sheet1!$A$2:$D$10,4,0)</f>
        <v>40</v>
      </c>
      <c r="L26" s="14" t="str">
        <f>VLOOKUP($C26,Sheet1!$A$2:$E$10,5,0)</f>
        <v>Trolley</v>
      </c>
      <c r="M26" s="14"/>
      <c r="N26" s="2">
        <f>J26/K26</f>
        <v>1</v>
      </c>
      <c r="O26" s="2" t="s">
        <v>121</v>
      </c>
      <c r="P26" s="2">
        <v>910104658</v>
      </c>
    </row>
    <row r="27" spans="1:16" hidden="1" x14ac:dyDescent="0.25">
      <c r="A27" s="17" t="s">
        <v>283</v>
      </c>
      <c r="B27" s="27" t="s">
        <v>246</v>
      </c>
      <c r="C27" s="2" t="s">
        <v>16</v>
      </c>
      <c r="D27" s="2" t="str">
        <f>VLOOKUP($C27,Sheet1!$A$2:$D$10,2,0)</f>
        <v>141140-91211</v>
      </c>
      <c r="E27" s="8" t="s">
        <v>70</v>
      </c>
      <c r="F27" s="12">
        <v>46029</v>
      </c>
      <c r="G27" s="13">
        <v>0.4375</v>
      </c>
      <c r="H27" s="2" t="s">
        <v>71</v>
      </c>
      <c r="I27" s="2" t="s">
        <v>54</v>
      </c>
      <c r="J27" s="2">
        <v>14</v>
      </c>
      <c r="K27" s="14">
        <f>VLOOKUP($C27,Sheet1!$A$2:$D$10,4,0)</f>
        <v>2</v>
      </c>
      <c r="L27" s="14" t="str">
        <f>VLOOKUP($C27,Sheet1!$A$2:$E$10,5,0)</f>
        <v>Bin</v>
      </c>
      <c r="M27" s="14">
        <f t="shared" ref="M27:M31" si="3">J27/K27</f>
        <v>7</v>
      </c>
      <c r="N27" s="2"/>
      <c r="O27" s="2" t="s">
        <v>121</v>
      </c>
      <c r="P27" s="2" t="s">
        <v>417</v>
      </c>
    </row>
    <row r="28" spans="1:16" hidden="1" x14ac:dyDescent="0.25">
      <c r="A28" s="17" t="s">
        <v>283</v>
      </c>
      <c r="B28" s="27" t="s">
        <v>252</v>
      </c>
      <c r="C28" s="2" t="s">
        <v>20</v>
      </c>
      <c r="D28" s="2" t="str">
        <f>VLOOKUP($C28,Sheet1!$A$2:$D$10,2,0)</f>
        <v>141150-91211</v>
      </c>
      <c r="E28" s="8" t="s">
        <v>78</v>
      </c>
      <c r="F28" s="12">
        <v>46029</v>
      </c>
      <c r="G28" s="13">
        <v>0.4375</v>
      </c>
      <c r="H28" s="2" t="s">
        <v>71</v>
      </c>
      <c r="I28" s="2" t="s">
        <v>54</v>
      </c>
      <c r="J28" s="2">
        <v>14</v>
      </c>
      <c r="K28" s="14">
        <f>VLOOKUP($C28,Sheet1!$A$2:$D$10,4,0)</f>
        <v>2</v>
      </c>
      <c r="L28" s="14" t="str">
        <f>VLOOKUP($C28,Sheet1!$A$2:$E$10,5,0)</f>
        <v>Bin</v>
      </c>
      <c r="M28" s="14">
        <f t="shared" si="3"/>
        <v>7</v>
      </c>
      <c r="N28" s="2"/>
      <c r="O28" s="2" t="s">
        <v>121</v>
      </c>
      <c r="P28" s="2" t="s">
        <v>417</v>
      </c>
    </row>
    <row r="29" spans="1:16" hidden="1" x14ac:dyDescent="0.25">
      <c r="A29" s="17" t="s">
        <v>284</v>
      </c>
      <c r="B29" s="27" t="s">
        <v>262</v>
      </c>
      <c r="C29" s="2" t="s">
        <v>26</v>
      </c>
      <c r="D29" s="2" t="str">
        <f>VLOOKUP($C29,Sheet1!$A$2:$D$10,2,0)</f>
        <v>116040-92240</v>
      </c>
      <c r="E29" s="8" t="s">
        <v>90</v>
      </c>
      <c r="F29" s="12">
        <v>46029</v>
      </c>
      <c r="G29" s="13">
        <v>0.4375</v>
      </c>
      <c r="H29" s="2" t="s">
        <v>91</v>
      </c>
      <c r="I29" s="2" t="s">
        <v>54</v>
      </c>
      <c r="J29" s="2">
        <v>18</v>
      </c>
      <c r="K29" s="14">
        <f>VLOOKUP($C29,Sheet1!$A$2:$D$10,4,0)</f>
        <v>6</v>
      </c>
      <c r="L29" s="14" t="str">
        <f>VLOOKUP($C29,Sheet1!$A$2:$E$10,5,0)</f>
        <v>Bin</v>
      </c>
      <c r="M29" s="14">
        <f t="shared" si="3"/>
        <v>3</v>
      </c>
      <c r="N29" s="2"/>
      <c r="O29" s="2" t="s">
        <v>121</v>
      </c>
      <c r="P29" s="2" t="s">
        <v>423</v>
      </c>
    </row>
    <row r="30" spans="1:16" hidden="1" x14ac:dyDescent="0.25">
      <c r="A30" s="17" t="s">
        <v>284</v>
      </c>
      <c r="B30" s="27" t="s">
        <v>268</v>
      </c>
      <c r="C30" s="2" t="s">
        <v>32</v>
      </c>
      <c r="D30" s="2" t="str">
        <f>VLOOKUP($C30,Sheet1!$A$2:$D$10,2,0)</f>
        <v>114010-50820</v>
      </c>
      <c r="E30" s="8" t="s">
        <v>98</v>
      </c>
      <c r="F30" s="12">
        <v>46029</v>
      </c>
      <c r="G30" s="13">
        <v>0.4375</v>
      </c>
      <c r="H30" s="2" t="s">
        <v>91</v>
      </c>
      <c r="I30" s="2" t="s">
        <v>54</v>
      </c>
      <c r="J30" s="2">
        <v>9</v>
      </c>
      <c r="K30" s="14">
        <f>VLOOKUP($C30,Sheet1!$A$2:$D$10,4,0)</f>
        <v>1</v>
      </c>
      <c r="L30" s="14" t="str">
        <f>VLOOKUP($C30,Sheet1!$A$2:$E$10,5,0)</f>
        <v>Bin</v>
      </c>
      <c r="M30" s="14">
        <f t="shared" si="3"/>
        <v>9</v>
      </c>
      <c r="N30" s="2"/>
      <c r="O30" s="2" t="s">
        <v>121</v>
      </c>
      <c r="P30" s="2" t="s">
        <v>418</v>
      </c>
    </row>
    <row r="31" spans="1:16" ht="15.75" hidden="1" thickBot="1" x14ac:dyDescent="0.3">
      <c r="A31" s="17" t="s">
        <v>284</v>
      </c>
      <c r="B31" s="27" t="s">
        <v>274</v>
      </c>
      <c r="C31" s="2" t="s">
        <v>29</v>
      </c>
      <c r="D31" s="2" t="str">
        <f>VLOOKUP($C31,Sheet1!$A$2:$D$10,2,0)</f>
        <v>114010-50830</v>
      </c>
      <c r="E31" s="8" t="s">
        <v>98</v>
      </c>
      <c r="F31" s="12">
        <v>46029</v>
      </c>
      <c r="G31" s="25">
        <v>0.4375</v>
      </c>
      <c r="H31" s="2" t="s">
        <v>91</v>
      </c>
      <c r="I31" s="2" t="s">
        <v>54</v>
      </c>
      <c r="J31" s="2">
        <v>11</v>
      </c>
      <c r="K31" s="14">
        <f>VLOOKUP($C31,Sheet1!$A$2:$D$10,4,0)</f>
        <v>1</v>
      </c>
      <c r="L31" s="14" t="str">
        <f>VLOOKUP($C31,Sheet1!$A$2:$E$10,5,0)</f>
        <v>Bin</v>
      </c>
      <c r="M31" s="14">
        <f t="shared" si="3"/>
        <v>11</v>
      </c>
      <c r="N31" s="2"/>
      <c r="O31" s="2" t="s">
        <v>121</v>
      </c>
      <c r="P31" s="2" t="s">
        <v>417</v>
      </c>
    </row>
    <row r="32" spans="1:16" x14ac:dyDescent="0.25">
      <c r="A32" s="17" t="s">
        <v>285</v>
      </c>
      <c r="B32" s="27" t="s">
        <v>230</v>
      </c>
      <c r="C32" s="2" t="s">
        <v>5</v>
      </c>
      <c r="D32" s="2" t="str">
        <f>VLOOKUP($C32,Sheet1!$A$2:$D$10,2,0)</f>
        <v>141110-14600</v>
      </c>
      <c r="E32" s="8" t="s">
        <v>52</v>
      </c>
      <c r="F32" s="12">
        <v>46029</v>
      </c>
      <c r="G32" s="26">
        <v>0.5625</v>
      </c>
      <c r="H32" s="2" t="s">
        <v>53</v>
      </c>
      <c r="I32" s="2" t="s">
        <v>54</v>
      </c>
      <c r="J32" s="2">
        <v>36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2">
        <v>2</v>
      </c>
      <c r="O32" s="2" t="s">
        <v>121</v>
      </c>
      <c r="P32" s="2" t="s">
        <v>424</v>
      </c>
    </row>
    <row r="33" spans="1:16" hidden="1" x14ac:dyDescent="0.25">
      <c r="A33" s="17" t="s">
        <v>285</v>
      </c>
      <c r="B33" s="27" t="s">
        <v>236</v>
      </c>
      <c r="C33" s="2" t="s">
        <v>9</v>
      </c>
      <c r="D33" s="2" t="str">
        <f>VLOOKUP($C33,Sheet1!$A$2:$D$10,2,0)</f>
        <v>141120-14600</v>
      </c>
      <c r="E33" s="8" t="s">
        <v>60</v>
      </c>
      <c r="F33" s="12">
        <v>46029</v>
      </c>
      <c r="G33" s="23">
        <v>0.5625</v>
      </c>
      <c r="H33" s="2" t="s">
        <v>53</v>
      </c>
      <c r="I33" s="2" t="s">
        <v>54</v>
      </c>
      <c r="J33" s="2">
        <v>36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3"/>
      <c r="O33" s="2" t="s">
        <v>121</v>
      </c>
      <c r="P33" s="2" t="s">
        <v>425</v>
      </c>
    </row>
    <row r="34" spans="1:16" hidden="1" x14ac:dyDescent="0.25">
      <c r="A34" s="17" t="s">
        <v>285</v>
      </c>
      <c r="B34" s="27" t="s">
        <v>242</v>
      </c>
      <c r="C34" s="2" t="s">
        <v>12</v>
      </c>
      <c r="D34" s="2" t="str">
        <f>VLOOKUP($C34,Sheet1!$A$2:$D$10,2,0)</f>
        <v>141185-74670</v>
      </c>
      <c r="E34" s="8" t="s">
        <v>66</v>
      </c>
      <c r="F34" s="12">
        <v>46029</v>
      </c>
      <c r="G34" s="23">
        <v>0.5625</v>
      </c>
      <c r="H34" s="2" t="s">
        <v>53</v>
      </c>
      <c r="I34" s="2" t="s">
        <v>54</v>
      </c>
      <c r="J34" s="2">
        <v>80</v>
      </c>
      <c r="K34" s="14">
        <f>VLOOKUP($C34,Sheet1!$A$2:$D$10,4,0)</f>
        <v>40</v>
      </c>
      <c r="L34" s="14" t="str">
        <f>VLOOKUP($C34,Sheet1!$A$2:$E$10,5,0)</f>
        <v>Trolley</v>
      </c>
      <c r="M34" s="14"/>
      <c r="N34" s="2">
        <f>J34/K34</f>
        <v>2</v>
      </c>
      <c r="O34" s="2" t="s">
        <v>121</v>
      </c>
      <c r="P34" s="2">
        <v>910104658</v>
      </c>
    </row>
    <row r="35" spans="1:16" hidden="1" x14ac:dyDescent="0.25">
      <c r="A35" s="17" t="s">
        <v>285</v>
      </c>
      <c r="B35" s="27" t="s">
        <v>247</v>
      </c>
      <c r="C35" s="2" t="s">
        <v>16</v>
      </c>
      <c r="D35" s="2" t="str">
        <f>VLOOKUP($C35,Sheet1!$A$2:$D$10,2,0)</f>
        <v>141140-91211</v>
      </c>
      <c r="E35" s="8" t="s">
        <v>70</v>
      </c>
      <c r="F35" s="12">
        <v>46029</v>
      </c>
      <c r="G35" s="23">
        <v>0.5625</v>
      </c>
      <c r="H35" s="2" t="s">
        <v>71</v>
      </c>
      <c r="I35" s="2" t="s">
        <v>54</v>
      </c>
      <c r="J35" s="2">
        <v>30</v>
      </c>
      <c r="K35" s="14">
        <f>VLOOKUP($C35,Sheet1!$A$2:$D$10,4,0)</f>
        <v>2</v>
      </c>
      <c r="L35" s="14" t="str">
        <f>VLOOKUP($C35,Sheet1!$A$2:$E$10,5,0)</f>
        <v>Bin</v>
      </c>
      <c r="M35" s="14">
        <f t="shared" ref="M35:M36" si="4">J35/K35</f>
        <v>15</v>
      </c>
      <c r="N35" s="2"/>
      <c r="O35" s="2" t="s">
        <v>121</v>
      </c>
      <c r="P35" s="2" t="s">
        <v>417</v>
      </c>
    </row>
    <row r="36" spans="1:16" hidden="1" x14ac:dyDescent="0.25">
      <c r="A36" s="17" t="s">
        <v>285</v>
      </c>
      <c r="B36" s="27" t="s">
        <v>253</v>
      </c>
      <c r="C36" s="2" t="s">
        <v>20</v>
      </c>
      <c r="D36" s="2" t="str">
        <f>VLOOKUP($C36,Sheet1!$A$2:$D$10,2,0)</f>
        <v>141150-91211</v>
      </c>
      <c r="E36" s="8" t="s">
        <v>78</v>
      </c>
      <c r="F36" s="12">
        <v>46029</v>
      </c>
      <c r="G36" s="23">
        <v>0.5625</v>
      </c>
      <c r="H36" s="2" t="s">
        <v>71</v>
      </c>
      <c r="I36" s="2" t="s">
        <v>54</v>
      </c>
      <c r="J36" s="2">
        <v>30</v>
      </c>
      <c r="K36" s="14">
        <f>VLOOKUP($C36,Sheet1!$A$2:$D$10,4,0)</f>
        <v>2</v>
      </c>
      <c r="L36" s="14" t="str">
        <f>VLOOKUP($C36,Sheet1!$A$2:$E$10,5,0)</f>
        <v>Bin</v>
      </c>
      <c r="M36" s="14">
        <f t="shared" si="4"/>
        <v>15</v>
      </c>
      <c r="N36" s="2"/>
      <c r="O36" s="2" t="s">
        <v>121</v>
      </c>
      <c r="P36" s="2" t="s">
        <v>417</v>
      </c>
    </row>
    <row r="37" spans="1:16" hidden="1" x14ac:dyDescent="0.25">
      <c r="A37" s="17" t="s">
        <v>285</v>
      </c>
      <c r="B37" s="27" t="s">
        <v>258</v>
      </c>
      <c r="C37" s="2" t="s">
        <v>23</v>
      </c>
      <c r="D37" s="2" t="str">
        <f>VLOOKUP($C37,Sheet1!$A$2:$D$10,2,0)</f>
        <v>141186-74360</v>
      </c>
      <c r="E37" s="8" t="s">
        <v>85</v>
      </c>
      <c r="F37" s="12">
        <v>46029</v>
      </c>
      <c r="G37" s="23">
        <v>0.5625</v>
      </c>
      <c r="H37" s="2" t="s">
        <v>71</v>
      </c>
      <c r="I37" s="2" t="s">
        <v>54</v>
      </c>
      <c r="J37" s="2">
        <v>80</v>
      </c>
      <c r="K37" s="14">
        <f>VLOOKUP($C37,Sheet1!$A$2:$D$10,4,0)</f>
        <v>40</v>
      </c>
      <c r="L37" s="14" t="str">
        <f>VLOOKUP($C37,Sheet1!$A$2:$E$10,5,0)</f>
        <v>Trolley</v>
      </c>
      <c r="M37" s="14"/>
      <c r="N37" s="2">
        <f>J37/K37</f>
        <v>2</v>
      </c>
      <c r="O37" s="2" t="s">
        <v>121</v>
      </c>
      <c r="P37" s="2" t="s">
        <v>426</v>
      </c>
    </row>
    <row r="38" spans="1:16" hidden="1" x14ac:dyDescent="0.25">
      <c r="A38" s="17" t="s">
        <v>286</v>
      </c>
      <c r="B38" s="27" t="s">
        <v>263</v>
      </c>
      <c r="C38" s="2" t="s">
        <v>26</v>
      </c>
      <c r="D38" s="2" t="str">
        <f>VLOOKUP($C38,Sheet1!$A$2:$D$10,2,0)</f>
        <v>116040-92240</v>
      </c>
      <c r="E38" s="8" t="s">
        <v>90</v>
      </c>
      <c r="F38" s="12">
        <v>46029</v>
      </c>
      <c r="G38" s="23">
        <v>0.5625</v>
      </c>
      <c r="H38" s="2" t="s">
        <v>91</v>
      </c>
      <c r="I38" s="2" t="s">
        <v>54</v>
      </c>
      <c r="J38" s="2">
        <v>30</v>
      </c>
      <c r="K38" s="14">
        <f>VLOOKUP($C38,Sheet1!$A$2:$D$10,4,0)</f>
        <v>6</v>
      </c>
      <c r="L38" s="14" t="str">
        <f>VLOOKUP($C38,Sheet1!$A$2:$E$10,5,0)</f>
        <v>Bin</v>
      </c>
      <c r="M38" s="14">
        <f t="shared" ref="M38:M40" si="5">J38/K38</f>
        <v>5</v>
      </c>
      <c r="N38" s="2"/>
      <c r="O38" s="2" t="s">
        <v>121</v>
      </c>
      <c r="P38" s="2" t="s">
        <v>423</v>
      </c>
    </row>
    <row r="39" spans="1:16" hidden="1" x14ac:dyDescent="0.25">
      <c r="A39" s="17" t="s">
        <v>286</v>
      </c>
      <c r="B39" s="27" t="s">
        <v>269</v>
      </c>
      <c r="C39" s="2" t="s">
        <v>32</v>
      </c>
      <c r="D39" s="2" t="str">
        <f>VLOOKUP($C39,Sheet1!$A$2:$D$10,2,0)</f>
        <v>114010-50820</v>
      </c>
      <c r="E39" s="8" t="s">
        <v>98</v>
      </c>
      <c r="F39" s="12">
        <v>46029</v>
      </c>
      <c r="G39" s="23">
        <v>0.5625</v>
      </c>
      <c r="H39" s="2" t="s">
        <v>91</v>
      </c>
      <c r="I39" s="2" t="s">
        <v>54</v>
      </c>
      <c r="J39" s="2">
        <v>11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5"/>
        <v>11</v>
      </c>
      <c r="N39" s="2"/>
      <c r="O39" s="2" t="s">
        <v>121</v>
      </c>
      <c r="P39" s="2" t="s">
        <v>418</v>
      </c>
    </row>
    <row r="40" spans="1:16" hidden="1" x14ac:dyDescent="0.25">
      <c r="A40" s="17" t="s">
        <v>286</v>
      </c>
      <c r="B40" s="27" t="s">
        <v>275</v>
      </c>
      <c r="C40" s="2" t="s">
        <v>29</v>
      </c>
      <c r="D40" s="2" t="str">
        <f>VLOOKUP($C40,Sheet1!$A$2:$D$10,2,0)</f>
        <v>114010-50830</v>
      </c>
      <c r="E40" s="8" t="s">
        <v>98</v>
      </c>
      <c r="F40" s="12">
        <v>46029</v>
      </c>
      <c r="G40" s="23">
        <v>0.5625</v>
      </c>
      <c r="H40" s="2" t="s">
        <v>91</v>
      </c>
      <c r="I40" s="2" t="s">
        <v>54</v>
      </c>
      <c r="J40" s="2">
        <v>19</v>
      </c>
      <c r="K40" s="14">
        <f>VLOOKUP($C40,Sheet1!$A$2:$D$10,4,0)</f>
        <v>1</v>
      </c>
      <c r="L40" s="14" t="str">
        <f>VLOOKUP($C40,Sheet1!$A$2:$E$10,5,0)</f>
        <v>Bin</v>
      </c>
      <c r="M40" s="14">
        <f t="shared" si="5"/>
        <v>19</v>
      </c>
      <c r="N40" s="2"/>
      <c r="O40" s="2" t="s">
        <v>121</v>
      </c>
      <c r="P40" s="2" t="s">
        <v>417</v>
      </c>
    </row>
    <row r="41" spans="1:16" s="11" customFormat="1" hidden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>
        <v>102</v>
      </c>
      <c r="N41" s="10">
        <v>8</v>
      </c>
      <c r="O41" s="10"/>
      <c r="P41" s="10"/>
    </row>
    <row r="42" spans="1:16" x14ac:dyDescent="0.25">
      <c r="A42" s="17" t="s">
        <v>287</v>
      </c>
      <c r="B42" s="27" t="s">
        <v>231</v>
      </c>
      <c r="C42" s="2" t="s">
        <v>5</v>
      </c>
      <c r="D42" s="2" t="str">
        <f>VLOOKUP($C42,Sheet1!$A$2:$D$10,2,0)</f>
        <v>141110-14600</v>
      </c>
      <c r="E42" s="8" t="s">
        <v>52</v>
      </c>
      <c r="F42" s="12">
        <v>46029</v>
      </c>
      <c r="G42" s="13">
        <v>0.77083333333333337</v>
      </c>
      <c r="H42" s="2" t="s">
        <v>53</v>
      </c>
      <c r="I42" s="2" t="s">
        <v>54</v>
      </c>
      <c r="J42" s="2">
        <v>18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2">
        <v>1</v>
      </c>
      <c r="O42" s="2" t="s">
        <v>119</v>
      </c>
      <c r="P42" s="2" t="s">
        <v>427</v>
      </c>
    </row>
    <row r="43" spans="1:16" hidden="1" x14ac:dyDescent="0.25">
      <c r="A43" s="17" t="s">
        <v>287</v>
      </c>
      <c r="B43" s="27" t="s">
        <v>237</v>
      </c>
      <c r="C43" s="2" t="s">
        <v>9</v>
      </c>
      <c r="D43" s="2" t="str">
        <f>VLOOKUP($C43,Sheet1!$A$2:$D$10,2,0)</f>
        <v>141120-14600</v>
      </c>
      <c r="E43" s="8" t="s">
        <v>60</v>
      </c>
      <c r="F43" s="12">
        <v>46029</v>
      </c>
      <c r="G43" s="13">
        <v>0.77083333333333337</v>
      </c>
      <c r="H43" s="2" t="s">
        <v>53</v>
      </c>
      <c r="I43" s="2" t="s">
        <v>54</v>
      </c>
      <c r="J43" s="2">
        <v>18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3"/>
      <c r="O43" s="2" t="s">
        <v>119</v>
      </c>
      <c r="P43" s="2" t="s">
        <v>427</v>
      </c>
    </row>
    <row r="44" spans="1:16" hidden="1" x14ac:dyDescent="0.25">
      <c r="A44" s="17" t="s">
        <v>287</v>
      </c>
      <c r="B44" s="27" t="s">
        <v>243</v>
      </c>
      <c r="C44" s="2" t="s">
        <v>12</v>
      </c>
      <c r="D44" s="2" t="str">
        <f>VLOOKUP($C44,Sheet1!$A$2:$D$10,2,0)</f>
        <v>141185-74670</v>
      </c>
      <c r="E44" s="8" t="s">
        <v>66</v>
      </c>
      <c r="F44" s="12">
        <v>46029</v>
      </c>
      <c r="G44" s="13">
        <v>0.77083333333333337</v>
      </c>
      <c r="H44" s="2" t="s">
        <v>53</v>
      </c>
      <c r="I44" s="2" t="s">
        <v>54</v>
      </c>
      <c r="J44" s="2">
        <v>40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1</v>
      </c>
      <c r="O44" s="2" t="s">
        <v>119</v>
      </c>
      <c r="P44" s="2">
        <v>910104658</v>
      </c>
    </row>
    <row r="45" spans="1:16" hidden="1" x14ac:dyDescent="0.25">
      <c r="A45" s="17" t="s">
        <v>287</v>
      </c>
      <c r="B45" s="27" t="s">
        <v>248</v>
      </c>
      <c r="C45" s="2" t="s">
        <v>16</v>
      </c>
      <c r="D45" s="2" t="str">
        <f>VLOOKUP($C45,Sheet1!$A$2:$D$10,2,0)</f>
        <v>141140-91211</v>
      </c>
      <c r="E45" s="8" t="s">
        <v>70</v>
      </c>
      <c r="F45" s="12">
        <v>46029</v>
      </c>
      <c r="G45" s="13">
        <v>0.77083333333333337</v>
      </c>
      <c r="H45" s="2" t="s">
        <v>71</v>
      </c>
      <c r="I45" s="2" t="s">
        <v>54</v>
      </c>
      <c r="J45" s="2">
        <v>20</v>
      </c>
      <c r="K45" s="14">
        <f>VLOOKUP($C45,Sheet1!$A$2:$D$10,4,0)</f>
        <v>2</v>
      </c>
      <c r="L45" s="14" t="str">
        <f>VLOOKUP($C45,Sheet1!$A$2:$E$10,5,0)</f>
        <v>Bin</v>
      </c>
      <c r="M45" s="14">
        <f t="shared" ref="M45:M46" si="6">J45/K45</f>
        <v>10</v>
      </c>
      <c r="N45" s="2"/>
      <c r="O45" s="2" t="s">
        <v>119</v>
      </c>
      <c r="P45" s="2" t="s">
        <v>417</v>
      </c>
    </row>
    <row r="46" spans="1:16" hidden="1" x14ac:dyDescent="0.25">
      <c r="A46" s="17" t="s">
        <v>287</v>
      </c>
      <c r="B46" s="27" t="s">
        <v>254</v>
      </c>
      <c r="C46" s="2" t="s">
        <v>20</v>
      </c>
      <c r="D46" s="2" t="str">
        <f>VLOOKUP($C46,Sheet1!$A$2:$D$10,2,0)</f>
        <v>141150-91211</v>
      </c>
      <c r="E46" s="8" t="s">
        <v>78</v>
      </c>
      <c r="F46" s="12">
        <v>46029</v>
      </c>
      <c r="G46" s="13">
        <v>0.77083333333333337</v>
      </c>
      <c r="H46" s="2" t="s">
        <v>71</v>
      </c>
      <c r="I46" s="2" t="s">
        <v>54</v>
      </c>
      <c r="J46" s="2">
        <v>20</v>
      </c>
      <c r="K46" s="14">
        <f>VLOOKUP($C46,Sheet1!$A$2:$D$10,4,0)</f>
        <v>2</v>
      </c>
      <c r="L46" s="14" t="str">
        <f>VLOOKUP($C46,Sheet1!$A$2:$E$10,5,0)</f>
        <v>Bin</v>
      </c>
      <c r="M46" s="14">
        <f t="shared" si="6"/>
        <v>10</v>
      </c>
      <c r="N46" s="2"/>
      <c r="O46" s="2" t="s">
        <v>119</v>
      </c>
      <c r="P46" s="2" t="s">
        <v>417</v>
      </c>
    </row>
    <row r="47" spans="1:16" hidden="1" x14ac:dyDescent="0.25">
      <c r="A47" s="17" t="s">
        <v>287</v>
      </c>
      <c r="B47" s="27" t="s">
        <v>259</v>
      </c>
      <c r="C47" s="2" t="s">
        <v>23</v>
      </c>
      <c r="D47" s="2" t="str">
        <f>VLOOKUP($C47,Sheet1!$A$2:$D$10,2,0)</f>
        <v>141186-74360</v>
      </c>
      <c r="E47" s="8" t="s">
        <v>85</v>
      </c>
      <c r="F47" s="12">
        <v>46029</v>
      </c>
      <c r="G47" s="13">
        <v>0.77083333333333337</v>
      </c>
      <c r="H47" s="2" t="s">
        <v>71</v>
      </c>
      <c r="I47" s="2" t="s">
        <v>54</v>
      </c>
      <c r="J47" s="2">
        <v>40</v>
      </c>
      <c r="K47" s="14">
        <f>VLOOKUP($C47,Sheet1!$A$2:$D$10,4,0)</f>
        <v>40</v>
      </c>
      <c r="L47" s="14" t="str">
        <f>VLOOKUP($C47,Sheet1!$A$2:$E$10,5,0)</f>
        <v>Trolley</v>
      </c>
      <c r="M47" s="14"/>
      <c r="N47" s="2">
        <f>J47/K47</f>
        <v>1</v>
      </c>
      <c r="O47" s="2" t="s">
        <v>119</v>
      </c>
      <c r="P47" s="2">
        <v>910104658</v>
      </c>
    </row>
    <row r="48" spans="1:16" hidden="1" x14ac:dyDescent="0.25">
      <c r="A48" s="17" t="s">
        <v>288</v>
      </c>
      <c r="B48" s="27" t="s">
        <v>264</v>
      </c>
      <c r="C48" s="2" t="s">
        <v>26</v>
      </c>
      <c r="D48" s="2" t="str">
        <f>VLOOKUP($C48,Sheet1!$A$2:$D$10,2,0)</f>
        <v>116040-92240</v>
      </c>
      <c r="E48" s="8" t="s">
        <v>90</v>
      </c>
      <c r="F48" s="12">
        <v>46029</v>
      </c>
      <c r="G48" s="13">
        <v>0.77083333333333337</v>
      </c>
      <c r="H48" s="2" t="s">
        <v>91</v>
      </c>
      <c r="I48" s="2" t="s">
        <v>54</v>
      </c>
      <c r="J48" s="2">
        <v>24</v>
      </c>
      <c r="K48" s="14">
        <f>VLOOKUP($C48,Sheet1!$A$2:$D$10,4,0)</f>
        <v>6</v>
      </c>
      <c r="L48" s="14" t="str">
        <f>VLOOKUP($C48,Sheet1!$A$2:$E$10,5,0)</f>
        <v>Bin</v>
      </c>
      <c r="M48" s="14">
        <f t="shared" ref="M48:M50" si="7">J48/K48</f>
        <v>4</v>
      </c>
      <c r="N48" s="2"/>
      <c r="O48" s="2" t="s">
        <v>119</v>
      </c>
      <c r="P48" s="2" t="s">
        <v>423</v>
      </c>
    </row>
    <row r="49" spans="1:16" hidden="1" x14ac:dyDescent="0.25">
      <c r="A49" s="17" t="s">
        <v>288</v>
      </c>
      <c r="B49" s="27" t="s">
        <v>270</v>
      </c>
      <c r="C49" s="2" t="s">
        <v>32</v>
      </c>
      <c r="D49" s="2" t="str">
        <f>VLOOKUP($C49,Sheet1!$A$2:$D$10,2,0)</f>
        <v>114010-50820</v>
      </c>
      <c r="E49" s="8" t="s">
        <v>98</v>
      </c>
      <c r="F49" s="12">
        <v>46029</v>
      </c>
      <c r="G49" s="13">
        <v>0.77083333333333337</v>
      </c>
      <c r="H49" s="2" t="s">
        <v>91</v>
      </c>
      <c r="I49" s="2" t="s">
        <v>54</v>
      </c>
      <c r="J49" s="2">
        <v>4</v>
      </c>
      <c r="K49" s="14">
        <f>VLOOKUP($C49,Sheet1!$A$2:$D$10,4,0)</f>
        <v>1</v>
      </c>
      <c r="L49" s="14" t="str">
        <f>VLOOKUP($C49,Sheet1!$A$2:$E$10,5,0)</f>
        <v>Bin</v>
      </c>
      <c r="M49" s="14">
        <f t="shared" si="7"/>
        <v>4</v>
      </c>
      <c r="N49" s="2"/>
      <c r="O49" s="2" t="s">
        <v>119</v>
      </c>
      <c r="P49" s="2" t="s">
        <v>418</v>
      </c>
    </row>
    <row r="50" spans="1:16" ht="15.75" hidden="1" thickBot="1" x14ac:dyDescent="0.3">
      <c r="A50" s="17" t="s">
        <v>288</v>
      </c>
      <c r="B50" s="27" t="s">
        <v>276</v>
      </c>
      <c r="C50" s="2" t="s">
        <v>29</v>
      </c>
      <c r="D50" s="2" t="str">
        <f>VLOOKUP($C50,Sheet1!$A$2:$D$10,2,0)</f>
        <v>114010-50830</v>
      </c>
      <c r="E50" s="8" t="s">
        <v>98</v>
      </c>
      <c r="F50" s="12">
        <v>46029</v>
      </c>
      <c r="G50" s="25">
        <v>0.77083333333333337</v>
      </c>
      <c r="H50" s="2" t="s">
        <v>91</v>
      </c>
      <c r="I50" s="2" t="s">
        <v>54</v>
      </c>
      <c r="J50" s="2">
        <v>13</v>
      </c>
      <c r="K50" s="14">
        <f>VLOOKUP($C50,Sheet1!$A$2:$D$10,4,0)</f>
        <v>1</v>
      </c>
      <c r="L50" s="14" t="str">
        <f>VLOOKUP($C50,Sheet1!$A$2:$E$10,5,0)</f>
        <v>Bin</v>
      </c>
      <c r="M50" s="14">
        <f t="shared" si="7"/>
        <v>13</v>
      </c>
      <c r="N50" s="2"/>
      <c r="O50" s="2" t="s">
        <v>119</v>
      </c>
      <c r="P50" s="2" t="s">
        <v>417</v>
      </c>
    </row>
    <row r="51" spans="1:16" x14ac:dyDescent="0.25">
      <c r="A51" s="17" t="s">
        <v>289</v>
      </c>
      <c r="B51" s="27" t="s">
        <v>232</v>
      </c>
      <c r="C51" s="2" t="s">
        <v>5</v>
      </c>
      <c r="D51" s="2" t="str">
        <f>VLOOKUP($C51,Sheet1!$A$2:$D$10,2,0)</f>
        <v>141110-14600</v>
      </c>
      <c r="E51" s="8" t="s">
        <v>52</v>
      </c>
      <c r="F51" s="12">
        <v>46029</v>
      </c>
      <c r="G51" s="26">
        <v>0.97916666666666663</v>
      </c>
      <c r="H51" s="2" t="s">
        <v>53</v>
      </c>
      <c r="I51" s="2" t="s">
        <v>54</v>
      </c>
      <c r="J51" s="2">
        <v>18</v>
      </c>
      <c r="K51" s="14">
        <f>VLOOKUP($C51,Sheet1!$A$2:$D$10,4,0)</f>
        <v>18</v>
      </c>
      <c r="L51" s="14" t="str">
        <f>VLOOKUP($C51,Sheet1!$A$2:$E$10,5,0)</f>
        <v>Trolley (H)</v>
      </c>
      <c r="M51" s="14"/>
      <c r="N51" s="52">
        <v>1</v>
      </c>
      <c r="O51" s="2" t="s">
        <v>119</v>
      </c>
      <c r="P51" s="2" t="s">
        <v>427</v>
      </c>
    </row>
    <row r="52" spans="1:16" hidden="1" x14ac:dyDescent="0.25">
      <c r="A52" s="17" t="s">
        <v>289</v>
      </c>
      <c r="B52" s="27" t="s">
        <v>238</v>
      </c>
      <c r="C52" s="2" t="s">
        <v>9</v>
      </c>
      <c r="D52" s="2" t="str">
        <f>VLOOKUP($C52,Sheet1!$A$2:$D$10,2,0)</f>
        <v>141120-14600</v>
      </c>
      <c r="E52" s="8" t="s">
        <v>60</v>
      </c>
      <c r="F52" s="12">
        <v>46029</v>
      </c>
      <c r="G52" s="23">
        <v>0.97916666666666663</v>
      </c>
      <c r="H52" s="2" t="s">
        <v>53</v>
      </c>
      <c r="I52" s="2" t="s">
        <v>54</v>
      </c>
      <c r="J52" s="2">
        <v>18</v>
      </c>
      <c r="K52" s="14">
        <f>VLOOKUP($C52,Sheet1!$A$2:$D$10,4,0)</f>
        <v>18</v>
      </c>
      <c r="L52" s="14" t="str">
        <f>VLOOKUP($C52,Sheet1!$A$2:$E$10,5,0)</f>
        <v>Trolley (H)</v>
      </c>
      <c r="M52" s="14"/>
      <c r="N52" s="53"/>
      <c r="O52" s="2" t="s">
        <v>119</v>
      </c>
      <c r="P52" s="2" t="s">
        <v>427</v>
      </c>
    </row>
    <row r="53" spans="1:16" hidden="1" x14ac:dyDescent="0.25">
      <c r="A53" s="17" t="s">
        <v>289</v>
      </c>
      <c r="B53" s="27" t="s">
        <v>249</v>
      </c>
      <c r="C53" s="2" t="s">
        <v>16</v>
      </c>
      <c r="D53" s="2" t="str">
        <f>VLOOKUP($C53,Sheet1!$A$2:$D$10,2,0)</f>
        <v>141140-91211</v>
      </c>
      <c r="E53" s="8" t="s">
        <v>70</v>
      </c>
      <c r="F53" s="12">
        <v>46029</v>
      </c>
      <c r="G53" s="23">
        <v>0.97916666666666663</v>
      </c>
      <c r="H53" s="2" t="s">
        <v>71</v>
      </c>
      <c r="I53" s="2" t="s">
        <v>54</v>
      </c>
      <c r="J53" s="2">
        <v>10</v>
      </c>
      <c r="K53" s="14">
        <f>VLOOKUP($C53,Sheet1!$A$2:$D$10,4,0)</f>
        <v>2</v>
      </c>
      <c r="L53" s="14" t="str">
        <f>VLOOKUP($C53,Sheet1!$A$2:$E$10,5,0)</f>
        <v>Bin</v>
      </c>
      <c r="M53" s="14">
        <f t="shared" ref="M53:M57" si="8">J53/K53</f>
        <v>5</v>
      </c>
      <c r="N53" s="2"/>
      <c r="O53" s="2" t="s">
        <v>119</v>
      </c>
      <c r="P53" s="2" t="s">
        <v>417</v>
      </c>
    </row>
    <row r="54" spans="1:16" hidden="1" x14ac:dyDescent="0.25">
      <c r="A54" s="17" t="s">
        <v>289</v>
      </c>
      <c r="B54" s="27" t="s">
        <v>255</v>
      </c>
      <c r="C54" s="2" t="s">
        <v>20</v>
      </c>
      <c r="D54" s="2" t="str">
        <f>VLOOKUP($C54,Sheet1!$A$2:$D$10,2,0)</f>
        <v>141150-91211</v>
      </c>
      <c r="E54" s="8" t="s">
        <v>78</v>
      </c>
      <c r="F54" s="12">
        <v>46029</v>
      </c>
      <c r="G54" s="23">
        <v>0.97916666666666663</v>
      </c>
      <c r="H54" s="2" t="s">
        <v>71</v>
      </c>
      <c r="I54" s="2" t="s">
        <v>54</v>
      </c>
      <c r="J54" s="2">
        <v>10</v>
      </c>
      <c r="K54" s="14">
        <f>VLOOKUP($C54,Sheet1!$A$2:$D$10,4,0)</f>
        <v>2</v>
      </c>
      <c r="L54" s="14" t="str">
        <f>VLOOKUP($C54,Sheet1!$A$2:$E$10,5,0)</f>
        <v>Bin</v>
      </c>
      <c r="M54" s="14">
        <f t="shared" si="8"/>
        <v>5</v>
      </c>
      <c r="N54" s="2"/>
      <c r="O54" s="2" t="s">
        <v>119</v>
      </c>
      <c r="P54" s="2" t="s">
        <v>417</v>
      </c>
    </row>
    <row r="55" spans="1:16" hidden="1" x14ac:dyDescent="0.25">
      <c r="A55" s="17" t="s">
        <v>290</v>
      </c>
      <c r="B55" s="27" t="s">
        <v>265</v>
      </c>
      <c r="C55" s="2" t="s">
        <v>26</v>
      </c>
      <c r="D55" s="2" t="str">
        <f>VLOOKUP($C55,Sheet1!$A$2:$D$10,2,0)</f>
        <v>116040-92240</v>
      </c>
      <c r="E55" s="8" t="s">
        <v>90</v>
      </c>
      <c r="F55" s="12">
        <v>46029</v>
      </c>
      <c r="G55" s="23">
        <v>0.97916666666666663</v>
      </c>
      <c r="H55" s="2" t="s">
        <v>91</v>
      </c>
      <c r="I55" s="2" t="s">
        <v>54</v>
      </c>
      <c r="J55" s="2">
        <v>6</v>
      </c>
      <c r="K55" s="14">
        <f>VLOOKUP($C55,Sheet1!$A$2:$D$10,4,0)</f>
        <v>6</v>
      </c>
      <c r="L55" s="14" t="str">
        <f>VLOOKUP($C55,Sheet1!$A$2:$E$10,5,0)</f>
        <v>Bin</v>
      </c>
      <c r="M55" s="14">
        <f t="shared" si="8"/>
        <v>1</v>
      </c>
      <c r="N55" s="2"/>
      <c r="O55" s="2" t="s">
        <v>119</v>
      </c>
      <c r="P55" s="2" t="s">
        <v>423</v>
      </c>
    </row>
    <row r="56" spans="1:16" hidden="1" x14ac:dyDescent="0.25">
      <c r="A56" s="17" t="s">
        <v>290</v>
      </c>
      <c r="B56" s="27" t="s">
        <v>271</v>
      </c>
      <c r="C56" s="2" t="s">
        <v>32</v>
      </c>
      <c r="D56" s="2" t="str">
        <f>VLOOKUP($C56,Sheet1!$A$2:$D$10,2,0)</f>
        <v>114010-50820</v>
      </c>
      <c r="E56" s="8" t="s">
        <v>98</v>
      </c>
      <c r="F56" s="12">
        <v>46029</v>
      </c>
      <c r="G56" s="23">
        <v>0.97916666666666663</v>
      </c>
      <c r="H56" s="2" t="s">
        <v>91</v>
      </c>
      <c r="I56" s="2" t="s">
        <v>54</v>
      </c>
      <c r="J56" s="2">
        <v>1</v>
      </c>
      <c r="K56" s="14">
        <f>VLOOKUP($C56,Sheet1!$A$2:$D$10,4,0)</f>
        <v>1</v>
      </c>
      <c r="L56" s="14" t="str">
        <f>VLOOKUP($C56,Sheet1!$A$2:$E$10,5,0)</f>
        <v>Bin</v>
      </c>
      <c r="M56" s="14">
        <f t="shared" si="8"/>
        <v>1</v>
      </c>
      <c r="N56" s="2"/>
      <c r="O56" s="2" t="s">
        <v>119</v>
      </c>
      <c r="P56" s="2" t="s">
        <v>418</v>
      </c>
    </row>
    <row r="57" spans="1:16" hidden="1" x14ac:dyDescent="0.25">
      <c r="A57" s="17" t="s">
        <v>290</v>
      </c>
      <c r="B57" s="27" t="s">
        <v>277</v>
      </c>
      <c r="C57" s="2" t="s">
        <v>29</v>
      </c>
      <c r="D57" s="2" t="str">
        <f>VLOOKUP($C57,Sheet1!$A$2:$D$10,2,0)</f>
        <v>114010-50830</v>
      </c>
      <c r="E57" s="8" t="s">
        <v>98</v>
      </c>
      <c r="F57" s="12">
        <v>46029</v>
      </c>
      <c r="G57" s="23">
        <v>0.97916666666666663</v>
      </c>
      <c r="H57" s="2" t="s">
        <v>91</v>
      </c>
      <c r="I57" s="2" t="s">
        <v>54</v>
      </c>
      <c r="J57" s="2">
        <v>12</v>
      </c>
      <c r="K57" s="14">
        <f>VLOOKUP($C57,Sheet1!$A$2:$D$10,4,0)</f>
        <v>1</v>
      </c>
      <c r="L57" s="14" t="str">
        <f>VLOOKUP($C57,Sheet1!$A$2:$E$10,5,0)</f>
        <v>Bin</v>
      </c>
      <c r="M57" s="14">
        <f t="shared" si="8"/>
        <v>12</v>
      </c>
      <c r="N57" s="2"/>
      <c r="O57" s="2" t="s">
        <v>119</v>
      </c>
      <c r="P57" s="2" t="s">
        <v>417</v>
      </c>
    </row>
    <row r="58" spans="1:16" s="11" customFormat="1" hidden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>
        <v>65</v>
      </c>
      <c r="N58" s="10">
        <v>4</v>
      </c>
      <c r="O58" s="10"/>
      <c r="P58" s="10"/>
    </row>
    <row r="59" spans="1:16" hidden="1" x14ac:dyDescent="0.25">
      <c r="A59" s="2"/>
      <c r="B59" s="2" t="s">
        <v>278</v>
      </c>
      <c r="C59" s="2"/>
      <c r="D59" s="2"/>
      <c r="E59" s="8"/>
      <c r="F59" s="12"/>
      <c r="G59" s="13"/>
      <c r="H59" s="2"/>
      <c r="I59" s="2"/>
      <c r="J59" s="2"/>
      <c r="K59" s="14"/>
      <c r="L59" s="14"/>
      <c r="M59" s="14"/>
      <c r="N59" s="2"/>
      <c r="O59" s="2"/>
      <c r="P59" s="2"/>
    </row>
    <row r="60" spans="1:16" x14ac:dyDescent="0.25">
      <c r="A60" s="2"/>
      <c r="B60" s="2"/>
      <c r="C60" s="2"/>
      <c r="D60" s="2"/>
      <c r="E60" s="8"/>
      <c r="F60" s="12"/>
      <c r="G60" s="13"/>
      <c r="H60" s="2"/>
      <c r="I60" s="2"/>
      <c r="J60" s="2"/>
      <c r="K60" s="14"/>
      <c r="L60" s="14"/>
      <c r="M60" s="14"/>
      <c r="N60" s="2"/>
      <c r="O60" s="2"/>
      <c r="P60" s="2"/>
    </row>
  </sheetData>
  <autoFilter ref="A3:P59" xr:uid="{7D9633A6-C1F9-4D8E-A269-DBD94FBABE99}">
    <filterColumn colId="2">
      <filters>
        <filter val="55101M58U10"/>
      </filters>
    </filterColumn>
  </autoFilter>
  <mergeCells count="9">
    <mergeCell ref="N32:N33"/>
    <mergeCell ref="N42:N43"/>
    <mergeCell ref="N51:N52"/>
    <mergeCell ref="A1:F1"/>
    <mergeCell ref="J1:N1"/>
    <mergeCell ref="L2:N2"/>
    <mergeCell ref="N4:N5"/>
    <mergeCell ref="N14:N15"/>
    <mergeCell ref="N24:N25"/>
  </mergeCells>
  <conditionalFormatting sqref="B2">
    <cfRule type="duplicateValues" dxfId="125" priority="2"/>
    <cfRule type="duplicateValues" dxfId="124" priority="3"/>
  </conditionalFormatting>
  <conditionalFormatting sqref="B4:B12 B14:B22 B24:B40 B42:B57 B59:B60">
    <cfRule type="duplicateValues" dxfId="123" priority="1"/>
  </conditionalFormatting>
  <conditionalFormatting sqref="C2:D2">
    <cfRule type="duplicateValues" dxfId="122" priority="4"/>
    <cfRule type="duplicateValues" dxfId="121" priority="5"/>
  </conditionalFormatting>
  <hyperlinks>
    <hyperlink ref="B59" r:id="rId1" display="http://192.168.1.249/downloads/temp/X539_eNagare_202616.log" xr:uid="{1C4D0EB3-8E85-492B-B5B1-22501571EF8A}"/>
  </hyperlinks>
  <pageMargins left="0.17" right="0.17" top="0.17" bottom="0.17" header="0.17" footer="0.17"/>
  <pageSetup paperSize="9" scale="14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1571-67FD-46D2-8882-50F8EFA2ED9E}">
  <sheetPr filterMode="1">
    <tabColor rgb="FF00B050"/>
    <pageSetUpPr fitToPage="1"/>
  </sheetPr>
  <dimension ref="A1:P68"/>
  <sheetViews>
    <sheetView workbookViewId="0">
      <selection activeCell="J4" sqref="J4:J59"/>
    </sheetView>
  </sheetViews>
  <sheetFormatPr defaultColWidth="99.28515625" defaultRowHeight="15" x14ac:dyDescent="0.25"/>
  <cols>
    <col min="1" max="1" width="15.140625" bestFit="1" customWidth="1"/>
    <col min="2" max="2" width="21.28515625" customWidth="1"/>
    <col min="3" max="3" width="14.140625" bestFit="1" customWidth="1"/>
    <col min="4" max="4" width="14.140625" customWidth="1"/>
    <col min="5" max="5" width="32.5703125" bestFit="1" customWidth="1"/>
    <col min="6" max="6" width="9.2851562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7109375" customWidth="1"/>
    <col min="16" max="16" width="46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55" t="s">
        <v>35</v>
      </c>
      <c r="K1" s="56"/>
      <c r="L1" s="56"/>
      <c r="M1" s="56"/>
      <c r="N1" s="56"/>
      <c r="O1" s="3"/>
      <c r="P1" s="4"/>
    </row>
    <row r="2" spans="1:16" ht="16.5" customHeight="1" x14ac:dyDescent="0.25">
      <c r="A2" s="5" t="s">
        <v>36</v>
      </c>
      <c r="B2" s="6">
        <v>46030</v>
      </c>
      <c r="C2" s="7"/>
      <c r="D2" s="7"/>
      <c r="E2" s="2"/>
      <c r="F2" s="8"/>
      <c r="G2" s="2"/>
      <c r="H2" s="2"/>
      <c r="I2" s="2"/>
      <c r="J2" s="2"/>
      <c r="K2" s="2"/>
      <c r="L2" s="57" t="s">
        <v>37</v>
      </c>
      <c r="M2" s="58"/>
      <c r="N2" s="59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340</v>
      </c>
      <c r="B4" s="2" t="s">
        <v>291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46030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122</v>
      </c>
      <c r="P4" s="2" t="s">
        <v>427</v>
      </c>
    </row>
    <row r="5" spans="1:16" hidden="1" x14ac:dyDescent="0.25">
      <c r="A5" s="17" t="s">
        <v>340</v>
      </c>
      <c r="B5" s="2" t="s">
        <v>296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46030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122</v>
      </c>
      <c r="P5" s="2" t="s">
        <v>427</v>
      </c>
    </row>
    <row r="6" spans="1:16" hidden="1" x14ac:dyDescent="0.25">
      <c r="A6" s="17" t="s">
        <v>340</v>
      </c>
      <c r="B6" s="27" t="s">
        <v>301</v>
      </c>
      <c r="C6" s="2" t="s">
        <v>12</v>
      </c>
      <c r="D6" s="2" t="str">
        <f>VLOOKUP($C6,Sheet1!$A$2:$D$10,2,0)</f>
        <v>141185-74670</v>
      </c>
      <c r="E6" s="8" t="s">
        <v>66</v>
      </c>
      <c r="F6" s="12">
        <v>46030</v>
      </c>
      <c r="G6" s="13">
        <v>0.35416666666666669</v>
      </c>
      <c r="H6" s="2" t="s">
        <v>53</v>
      </c>
      <c r="I6" s="2" t="s">
        <v>54</v>
      </c>
      <c r="J6" s="2">
        <v>120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3</v>
      </c>
      <c r="O6" s="2" t="s">
        <v>122</v>
      </c>
      <c r="P6" s="2">
        <v>910104658</v>
      </c>
    </row>
    <row r="7" spans="1:16" hidden="1" x14ac:dyDescent="0.25">
      <c r="A7" s="17" t="s">
        <v>340</v>
      </c>
      <c r="B7" s="27" t="s">
        <v>306</v>
      </c>
      <c r="C7" s="2" t="s">
        <v>16</v>
      </c>
      <c r="D7" s="2" t="str">
        <f>VLOOKUP($C7,Sheet1!$A$2:$D$10,2,0)</f>
        <v>141140-91211</v>
      </c>
      <c r="E7" s="8" t="s">
        <v>70</v>
      </c>
      <c r="F7" s="12">
        <v>46030</v>
      </c>
      <c r="G7" s="13">
        <v>0.35416666666666669</v>
      </c>
      <c r="H7" s="2" t="s">
        <v>71</v>
      </c>
      <c r="I7" s="2" t="s">
        <v>54</v>
      </c>
      <c r="J7" s="2">
        <v>4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</v>
      </c>
      <c r="N7" s="2"/>
      <c r="O7" s="2" t="s">
        <v>122</v>
      </c>
      <c r="P7" s="2" t="s">
        <v>417</v>
      </c>
    </row>
    <row r="8" spans="1:16" hidden="1" x14ac:dyDescent="0.25">
      <c r="A8" s="17" t="s">
        <v>340</v>
      </c>
      <c r="B8" s="27" t="s">
        <v>307</v>
      </c>
      <c r="C8" s="2" t="s">
        <v>16</v>
      </c>
      <c r="D8" s="2" t="str">
        <f>VLOOKUP($C8,Sheet1!$A$2:$D$10,2,0)</f>
        <v>141140-91211</v>
      </c>
      <c r="E8" s="8" t="s">
        <v>70</v>
      </c>
      <c r="F8" s="12">
        <v>46030</v>
      </c>
      <c r="G8" s="13">
        <v>0.35416666666666669</v>
      </c>
      <c r="H8" s="2" t="s">
        <v>71</v>
      </c>
      <c r="I8" s="2" t="s">
        <v>54</v>
      </c>
      <c r="J8" s="2">
        <v>60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:M10" si="0">J8/K8</f>
        <v>30</v>
      </c>
      <c r="N8" s="2"/>
      <c r="O8" s="2" t="s">
        <v>122</v>
      </c>
      <c r="P8" s="2" t="s">
        <v>417</v>
      </c>
    </row>
    <row r="9" spans="1:16" hidden="1" x14ac:dyDescent="0.25">
      <c r="A9" s="17" t="s">
        <v>340</v>
      </c>
      <c r="B9" s="27" t="s">
        <v>312</v>
      </c>
      <c r="C9" s="2" t="s">
        <v>20</v>
      </c>
      <c r="D9" s="2" t="str">
        <f>VLOOKUP($C9,Sheet1!$A$2:$D$10,2,0)</f>
        <v>141150-91211</v>
      </c>
      <c r="E9" s="8" t="s">
        <v>78</v>
      </c>
      <c r="F9" s="12">
        <v>46030</v>
      </c>
      <c r="G9" s="13">
        <v>0.35416666666666669</v>
      </c>
      <c r="H9" s="2" t="s">
        <v>71</v>
      </c>
      <c r="I9" s="2" t="s">
        <v>54</v>
      </c>
      <c r="J9" s="2">
        <v>4</v>
      </c>
      <c r="K9" s="14">
        <f>VLOOKUP($C9,Sheet1!$A$2:$D$10,4,0)</f>
        <v>2</v>
      </c>
      <c r="L9" s="14" t="str">
        <f>VLOOKUP($C9,Sheet1!$A$2:$E$10,5,0)</f>
        <v>Bin</v>
      </c>
      <c r="M9" s="14">
        <f t="shared" si="0"/>
        <v>2</v>
      </c>
      <c r="N9" s="2"/>
      <c r="O9" s="2" t="s">
        <v>122</v>
      </c>
      <c r="P9" s="2" t="s">
        <v>417</v>
      </c>
    </row>
    <row r="10" spans="1:16" hidden="1" x14ac:dyDescent="0.25">
      <c r="A10" s="17" t="s">
        <v>340</v>
      </c>
      <c r="B10" s="27" t="s">
        <v>313</v>
      </c>
      <c r="C10" s="2" t="s">
        <v>20</v>
      </c>
      <c r="D10" s="2" t="str">
        <f>VLOOKUP($C10,Sheet1!$A$2:$D$10,2,0)</f>
        <v>141150-91211</v>
      </c>
      <c r="E10" s="8" t="s">
        <v>78</v>
      </c>
      <c r="F10" s="12">
        <v>46030</v>
      </c>
      <c r="G10" s="13">
        <v>0.35416666666666669</v>
      </c>
      <c r="H10" s="2" t="s">
        <v>71</v>
      </c>
      <c r="I10" s="2" t="s">
        <v>54</v>
      </c>
      <c r="J10" s="2">
        <v>60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30</v>
      </c>
      <c r="N10" s="2"/>
      <c r="O10" s="2" t="s">
        <v>122</v>
      </c>
      <c r="P10" s="2" t="s">
        <v>417</v>
      </c>
    </row>
    <row r="11" spans="1:16" hidden="1" x14ac:dyDescent="0.25">
      <c r="A11" s="17" t="s">
        <v>340</v>
      </c>
      <c r="B11" s="27" t="s">
        <v>318</v>
      </c>
      <c r="C11" s="2" t="s">
        <v>23</v>
      </c>
      <c r="D11" s="2" t="str">
        <f>VLOOKUP($C11,Sheet1!$A$2:$D$10,2,0)</f>
        <v>141186-74360</v>
      </c>
      <c r="E11" s="8" t="s">
        <v>85</v>
      </c>
      <c r="F11" s="12">
        <v>46030</v>
      </c>
      <c r="G11" s="13">
        <v>0.35416666666666669</v>
      </c>
      <c r="H11" s="2" t="s">
        <v>71</v>
      </c>
      <c r="I11" s="2" t="s">
        <v>54</v>
      </c>
      <c r="J11" s="2">
        <v>40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v>1</v>
      </c>
      <c r="O11" s="2" t="s">
        <v>122</v>
      </c>
      <c r="P11" s="2">
        <v>910104658</v>
      </c>
    </row>
    <row r="12" spans="1:16" hidden="1" x14ac:dyDescent="0.25">
      <c r="A12" s="17" t="s">
        <v>340</v>
      </c>
      <c r="B12" s="27" t="s">
        <v>320</v>
      </c>
      <c r="C12" s="2" t="s">
        <v>23</v>
      </c>
      <c r="D12" s="2" t="str">
        <f>VLOOKUP($C12,Sheet1!$A$2:$D$10,2,0)</f>
        <v>141186-74360</v>
      </c>
      <c r="E12" s="8" t="s">
        <v>85</v>
      </c>
      <c r="F12" s="12">
        <v>46030</v>
      </c>
      <c r="G12" s="13">
        <v>0.35416666666666669</v>
      </c>
      <c r="H12" s="2" t="s">
        <v>71</v>
      </c>
      <c r="I12" s="2" t="s">
        <v>54</v>
      </c>
      <c r="J12" s="2">
        <v>40</v>
      </c>
      <c r="K12" s="14">
        <f>VLOOKUP($C12,Sheet1!$A$2:$D$10,4,0)</f>
        <v>40</v>
      </c>
      <c r="L12" s="14" t="str">
        <f>VLOOKUP($C12,Sheet1!$A$2:$E$10,5,0)</f>
        <v>Trolley</v>
      </c>
      <c r="M12" s="14"/>
      <c r="N12" s="2">
        <v>1</v>
      </c>
      <c r="O12" s="2" t="s">
        <v>122</v>
      </c>
      <c r="P12" s="2">
        <v>910104658</v>
      </c>
    </row>
    <row r="13" spans="1:16" hidden="1" x14ac:dyDescent="0.25">
      <c r="A13" s="17" t="s">
        <v>341</v>
      </c>
      <c r="B13" s="27" t="s">
        <v>325</v>
      </c>
      <c r="C13" s="2" t="s">
        <v>26</v>
      </c>
      <c r="D13" s="2" t="str">
        <f>VLOOKUP($C13,Sheet1!$A$2:$D$10,2,0)</f>
        <v>116040-92240</v>
      </c>
      <c r="E13" s="8" t="s">
        <v>90</v>
      </c>
      <c r="F13" s="12">
        <v>46030</v>
      </c>
      <c r="G13" s="13">
        <v>0.35416666666666669</v>
      </c>
      <c r="H13" s="2" t="s">
        <v>91</v>
      </c>
      <c r="I13" s="2" t="s">
        <v>54</v>
      </c>
      <c r="J13" s="2">
        <v>36</v>
      </c>
      <c r="K13" s="14">
        <f>VLOOKUP($C13,Sheet1!$A$2:$D$10,4,0)</f>
        <v>6</v>
      </c>
      <c r="L13" s="14" t="str">
        <f>VLOOKUP($C13,Sheet1!$A$2:$E$10,5,0)</f>
        <v>Bin</v>
      </c>
      <c r="M13" s="14">
        <f>J13/K13</f>
        <v>6</v>
      </c>
      <c r="N13" s="2"/>
      <c r="O13" s="2" t="s">
        <v>122</v>
      </c>
      <c r="P13" s="2" t="s">
        <v>423</v>
      </c>
    </row>
    <row r="14" spans="1:16" hidden="1" x14ac:dyDescent="0.25">
      <c r="A14" s="17" t="s">
        <v>341</v>
      </c>
      <c r="B14" s="27" t="s">
        <v>331</v>
      </c>
      <c r="C14" s="2" t="s">
        <v>32</v>
      </c>
      <c r="D14" s="2" t="str">
        <f>VLOOKUP($C14,Sheet1!$A$2:$D$10,2,0)</f>
        <v>114010-50820</v>
      </c>
      <c r="E14" s="8" t="s">
        <v>98</v>
      </c>
      <c r="F14" s="12">
        <v>46030</v>
      </c>
      <c r="G14" s="13">
        <v>0.35416666666666669</v>
      </c>
      <c r="H14" s="2" t="s">
        <v>91</v>
      </c>
      <c r="I14" s="2" t="s">
        <v>54</v>
      </c>
      <c r="J14" s="2">
        <v>13</v>
      </c>
      <c r="K14" s="14">
        <f>VLOOKUP($C14,Sheet1!$A$2:$D$10,4,0)</f>
        <v>1</v>
      </c>
      <c r="L14" s="14" t="str">
        <f>VLOOKUP($C14,Sheet1!$A$2:$E$10,5,0)</f>
        <v>Bin</v>
      </c>
      <c r="M14" s="14">
        <f>J14/K14</f>
        <v>13</v>
      </c>
      <c r="N14" s="2"/>
      <c r="O14" s="2" t="s">
        <v>122</v>
      </c>
      <c r="P14" s="2" t="s">
        <v>428</v>
      </c>
    </row>
    <row r="15" spans="1:16" hidden="1" x14ac:dyDescent="0.25">
      <c r="A15" s="17" t="s">
        <v>341</v>
      </c>
      <c r="B15" s="27" t="s">
        <v>336</v>
      </c>
      <c r="C15" s="2" t="s">
        <v>29</v>
      </c>
      <c r="D15" s="2" t="str">
        <f>VLOOKUP($C15,Sheet1!$A$2:$D$10,2,0)</f>
        <v>114010-50830</v>
      </c>
      <c r="E15" s="8" t="s">
        <v>98</v>
      </c>
      <c r="F15" s="12">
        <v>46030</v>
      </c>
      <c r="G15" s="13">
        <v>0.35416666666666669</v>
      </c>
      <c r="H15" s="2" t="s">
        <v>91</v>
      </c>
      <c r="I15" s="2" t="s">
        <v>54</v>
      </c>
      <c r="J15" s="2">
        <v>23</v>
      </c>
      <c r="K15" s="14">
        <f>VLOOKUP($C15,Sheet1!$A$2:$D$10,4,0)</f>
        <v>1</v>
      </c>
      <c r="L15" s="14" t="str">
        <f>VLOOKUP($C15,Sheet1!$A$2:$E$10,5,0)</f>
        <v>Bin</v>
      </c>
      <c r="M15" s="14">
        <f>J15/K15</f>
        <v>23</v>
      </c>
      <c r="N15" s="2"/>
      <c r="O15" s="2" t="s">
        <v>122</v>
      </c>
      <c r="P15" s="2" t="s">
        <v>417</v>
      </c>
    </row>
    <row r="16" spans="1:16" s="11" customFormat="1" hidden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v>106</v>
      </c>
      <c r="N16" s="10">
        <v>8</v>
      </c>
      <c r="O16" s="10"/>
      <c r="P16" s="10"/>
    </row>
    <row r="17" spans="1:16" x14ac:dyDescent="0.25">
      <c r="A17" s="17" t="s">
        <v>342</v>
      </c>
      <c r="B17" s="27" t="s">
        <v>292</v>
      </c>
      <c r="C17" s="2" t="s">
        <v>5</v>
      </c>
      <c r="D17" s="2" t="str">
        <f>VLOOKUP($C17,Sheet1!$A$2:$D$10,2,0)</f>
        <v>141110-14600</v>
      </c>
      <c r="E17" s="8" t="s">
        <v>52</v>
      </c>
      <c r="F17" s="12">
        <v>46030</v>
      </c>
      <c r="G17" s="13">
        <v>0.35416666666666669</v>
      </c>
      <c r="H17" s="2" t="s">
        <v>53</v>
      </c>
      <c r="I17" s="2" t="s">
        <v>54</v>
      </c>
      <c r="J17" s="2">
        <v>36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2">
        <v>2</v>
      </c>
      <c r="O17" s="2" t="s">
        <v>121</v>
      </c>
      <c r="P17" s="2" t="s">
        <v>427</v>
      </c>
    </row>
    <row r="18" spans="1:16" hidden="1" x14ac:dyDescent="0.25">
      <c r="A18" s="17" t="s">
        <v>342</v>
      </c>
      <c r="B18" s="27" t="s">
        <v>297</v>
      </c>
      <c r="C18" s="2" t="s">
        <v>9</v>
      </c>
      <c r="D18" s="2" t="str">
        <f>VLOOKUP($C18,Sheet1!$A$2:$D$10,2,0)</f>
        <v>141120-14600</v>
      </c>
      <c r="E18" s="8" t="s">
        <v>60</v>
      </c>
      <c r="F18" s="12">
        <v>46030</v>
      </c>
      <c r="G18" s="13">
        <v>0.35416666666666669</v>
      </c>
      <c r="H18" s="2" t="s">
        <v>53</v>
      </c>
      <c r="I18" s="2" t="s">
        <v>54</v>
      </c>
      <c r="J18" s="2">
        <v>36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3"/>
      <c r="O18" s="2" t="s">
        <v>121</v>
      </c>
      <c r="P18" s="2" t="s">
        <v>427</v>
      </c>
    </row>
    <row r="19" spans="1:16" x14ac:dyDescent="0.25">
      <c r="A19" s="17" t="s">
        <v>342</v>
      </c>
      <c r="B19" s="2" t="s">
        <v>291</v>
      </c>
      <c r="C19" s="27" t="s">
        <v>5</v>
      </c>
      <c r="D19" s="2" t="str">
        <f>VLOOKUP($C19,Sheet1!$A$2:$D$10,2,0)</f>
        <v>141110-14600</v>
      </c>
      <c r="E19" s="8" t="s">
        <v>52</v>
      </c>
      <c r="F19" s="12">
        <v>46030</v>
      </c>
      <c r="G19" s="13">
        <v>0.35416666666666669</v>
      </c>
      <c r="H19" s="2" t="s">
        <v>53</v>
      </c>
      <c r="I19" s="2" t="s">
        <v>54</v>
      </c>
      <c r="J19" s="2">
        <v>18</v>
      </c>
      <c r="K19" s="14">
        <f>VLOOKUP($C19,Sheet1!$A$2:$D$10,4,0)</f>
        <v>18</v>
      </c>
      <c r="L19" s="14" t="str">
        <f>VLOOKUP($C19,Sheet1!$A$2:$E$10,5,0)</f>
        <v>Trolley (H)</v>
      </c>
      <c r="M19" s="14"/>
      <c r="N19" s="52">
        <v>1</v>
      </c>
      <c r="O19" s="2" t="s">
        <v>121</v>
      </c>
      <c r="P19" s="2" t="s">
        <v>427</v>
      </c>
    </row>
    <row r="20" spans="1:16" hidden="1" x14ac:dyDescent="0.25">
      <c r="A20" s="17" t="s">
        <v>342</v>
      </c>
      <c r="B20" s="2" t="s">
        <v>296</v>
      </c>
      <c r="C20" s="27" t="s">
        <v>9</v>
      </c>
      <c r="D20" s="2" t="str">
        <f>VLOOKUP($C20,Sheet1!$A$2:$D$10,2,0)</f>
        <v>141120-14600</v>
      </c>
      <c r="E20" s="8" t="s">
        <v>60</v>
      </c>
      <c r="F20" s="12">
        <v>46030</v>
      </c>
      <c r="G20" s="13">
        <v>0.35416666666666669</v>
      </c>
      <c r="H20" s="2" t="s">
        <v>53</v>
      </c>
      <c r="I20" s="2" t="s">
        <v>54</v>
      </c>
      <c r="J20" s="2">
        <v>18</v>
      </c>
      <c r="K20" s="14">
        <f>VLOOKUP($C20,Sheet1!$A$2:$D$10,4,0)</f>
        <v>18</v>
      </c>
      <c r="L20" s="14" t="str">
        <f>VLOOKUP($C20,Sheet1!$A$2:$E$10,5,0)</f>
        <v>Trolley (H)</v>
      </c>
      <c r="M20" s="14"/>
      <c r="N20" s="53"/>
      <c r="O20" s="2" t="s">
        <v>121</v>
      </c>
      <c r="P20" s="2" t="s">
        <v>427</v>
      </c>
    </row>
    <row r="21" spans="1:16" hidden="1" x14ac:dyDescent="0.25">
      <c r="A21" s="17" t="s">
        <v>342</v>
      </c>
      <c r="B21" s="27" t="s">
        <v>302</v>
      </c>
      <c r="C21" s="2" t="s">
        <v>12</v>
      </c>
      <c r="D21" s="2" t="str">
        <f>VLOOKUP($C21,Sheet1!$A$2:$D$10,2,0)</f>
        <v>141185-74670</v>
      </c>
      <c r="E21" s="8" t="s">
        <v>66</v>
      </c>
      <c r="F21" s="12">
        <v>46030</v>
      </c>
      <c r="G21" s="13">
        <v>0.35416666666666669</v>
      </c>
      <c r="H21" s="2" t="s">
        <v>53</v>
      </c>
      <c r="I21" s="2" t="s">
        <v>54</v>
      </c>
      <c r="J21" s="2">
        <v>80</v>
      </c>
      <c r="K21" s="14">
        <f>VLOOKUP($C21,Sheet1!$A$2:$D$10,4,0)</f>
        <v>40</v>
      </c>
      <c r="L21" s="14" t="str">
        <f>VLOOKUP($C21,Sheet1!$A$2:$E$10,5,0)</f>
        <v>Trolley</v>
      </c>
      <c r="M21" s="14"/>
      <c r="N21" s="2">
        <f>J21/K21</f>
        <v>2</v>
      </c>
      <c r="O21" s="2" t="s">
        <v>121</v>
      </c>
      <c r="P21" s="2">
        <v>910104658</v>
      </c>
    </row>
    <row r="22" spans="1:16" hidden="1" x14ac:dyDescent="0.25">
      <c r="A22" s="17" t="s">
        <v>342</v>
      </c>
      <c r="B22" s="27" t="s">
        <v>308</v>
      </c>
      <c r="C22" s="2" t="s">
        <v>16</v>
      </c>
      <c r="D22" s="2" t="str">
        <f>VLOOKUP($C22,Sheet1!$A$2:$D$10,2,0)</f>
        <v>141140-91211</v>
      </c>
      <c r="E22" s="8" t="s">
        <v>70</v>
      </c>
      <c r="F22" s="12">
        <v>46030</v>
      </c>
      <c r="G22" s="13">
        <v>0.35416666666666669</v>
      </c>
      <c r="H22" s="2" t="s">
        <v>71</v>
      </c>
      <c r="I22" s="2" t="s">
        <v>54</v>
      </c>
      <c r="J22" s="2">
        <v>36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18</v>
      </c>
      <c r="N22" s="2"/>
      <c r="O22" s="2" t="s">
        <v>121</v>
      </c>
      <c r="P22" s="2" t="s">
        <v>417</v>
      </c>
    </row>
    <row r="23" spans="1:16" hidden="1" x14ac:dyDescent="0.25">
      <c r="A23" s="17" t="s">
        <v>342</v>
      </c>
      <c r="B23" s="27" t="s">
        <v>314</v>
      </c>
      <c r="C23" s="2" t="s">
        <v>20</v>
      </c>
      <c r="D23" s="2" t="str">
        <f>VLOOKUP($C23,Sheet1!$A$2:$D$10,2,0)</f>
        <v>141150-91211</v>
      </c>
      <c r="E23" s="8" t="s">
        <v>78</v>
      </c>
      <c r="F23" s="12">
        <v>46030</v>
      </c>
      <c r="G23" s="13">
        <v>0.35416666666666669</v>
      </c>
      <c r="H23" s="2" t="s">
        <v>71</v>
      </c>
      <c r="I23" s="2" t="s">
        <v>54</v>
      </c>
      <c r="J23" s="2">
        <v>36</v>
      </c>
      <c r="K23" s="14">
        <f>VLOOKUP($C23,Sheet1!$A$2:$D$10,4,0)</f>
        <v>2</v>
      </c>
      <c r="L23" s="14" t="str">
        <f>VLOOKUP($C23,Sheet1!$A$2:$E$10,5,0)</f>
        <v>Bin</v>
      </c>
      <c r="M23" s="14">
        <f>J23/K23</f>
        <v>18</v>
      </c>
      <c r="N23" s="2"/>
      <c r="O23" s="2" t="s">
        <v>121</v>
      </c>
      <c r="P23" s="2" t="s">
        <v>429</v>
      </c>
    </row>
    <row r="24" spans="1:16" hidden="1" x14ac:dyDescent="0.25">
      <c r="A24" s="17" t="s">
        <v>342</v>
      </c>
      <c r="B24" s="27" t="s">
        <v>319</v>
      </c>
      <c r="C24" s="2" t="s">
        <v>23</v>
      </c>
      <c r="D24" s="2" t="str">
        <f>VLOOKUP($C24,Sheet1!$A$2:$D$10,2,0)</f>
        <v>141186-74360</v>
      </c>
      <c r="E24" s="8" t="s">
        <v>85</v>
      </c>
      <c r="F24" s="12">
        <v>46030</v>
      </c>
      <c r="G24" s="13">
        <v>0.35416666666666669</v>
      </c>
      <c r="H24" s="2" t="s">
        <v>71</v>
      </c>
      <c r="I24" s="2" t="s">
        <v>54</v>
      </c>
      <c r="J24" s="2">
        <v>120</v>
      </c>
      <c r="K24" s="14">
        <f>VLOOKUP($C24,Sheet1!$A$2:$D$10,4,0)</f>
        <v>40</v>
      </c>
      <c r="L24" s="14" t="str">
        <f>VLOOKUP($C24,Sheet1!$A$2:$E$10,5,0)</f>
        <v>Trolley</v>
      </c>
      <c r="M24" s="14"/>
      <c r="N24" s="2">
        <v>3</v>
      </c>
      <c r="O24" s="2" t="s">
        <v>121</v>
      </c>
      <c r="P24" s="2" t="s">
        <v>430</v>
      </c>
    </row>
    <row r="25" spans="1:16" hidden="1" x14ac:dyDescent="0.25">
      <c r="A25" s="17" t="s">
        <v>343</v>
      </c>
      <c r="B25" s="27" t="s">
        <v>324</v>
      </c>
      <c r="C25" s="2" t="s">
        <v>26</v>
      </c>
      <c r="D25" s="2" t="str">
        <f>VLOOKUP($C25,Sheet1!$A$2:$D$10,2,0)</f>
        <v>116040-92240</v>
      </c>
      <c r="E25" s="8" t="s">
        <v>90</v>
      </c>
      <c r="F25" s="12">
        <v>46030</v>
      </c>
      <c r="G25" s="13">
        <v>0.35416666666666669</v>
      </c>
      <c r="H25" s="2" t="s">
        <v>91</v>
      </c>
      <c r="I25" s="2" t="s">
        <v>54</v>
      </c>
      <c r="J25" s="2">
        <v>60</v>
      </c>
      <c r="K25" s="14">
        <f>VLOOKUP($C25,Sheet1!$A$2:$D$10,4,0)</f>
        <v>6</v>
      </c>
      <c r="L25" s="14" t="str">
        <f>VLOOKUP($C25,Sheet1!$A$2:$E$10,5,0)</f>
        <v>Bin</v>
      </c>
      <c r="M25" s="14">
        <f t="shared" ref="M25:M28" si="1">J25/K25</f>
        <v>10</v>
      </c>
      <c r="N25" s="2"/>
      <c r="O25" s="2" t="s">
        <v>121</v>
      </c>
      <c r="P25" s="2" t="s">
        <v>423</v>
      </c>
    </row>
    <row r="26" spans="1:16" hidden="1" x14ac:dyDescent="0.25">
      <c r="A26" s="17" t="s">
        <v>343</v>
      </c>
      <c r="B26" s="27" t="s">
        <v>329</v>
      </c>
      <c r="C26" s="2" t="s">
        <v>32</v>
      </c>
      <c r="D26" s="2" t="str">
        <f>VLOOKUP($C26,Sheet1!$A$2:$D$10,2,0)</f>
        <v>114010-50820</v>
      </c>
      <c r="E26" s="8" t="s">
        <v>98</v>
      </c>
      <c r="F26" s="12">
        <v>46030</v>
      </c>
      <c r="G26" s="13">
        <v>0.35416666666666669</v>
      </c>
      <c r="H26" s="2" t="s">
        <v>91</v>
      </c>
      <c r="I26" s="2" t="s">
        <v>54</v>
      </c>
      <c r="J26" s="2">
        <v>3</v>
      </c>
      <c r="K26" s="14">
        <f>VLOOKUP($C26,Sheet1!$A$2:$D$10,4,0)</f>
        <v>1</v>
      </c>
      <c r="L26" s="14" t="str">
        <f>VLOOKUP($C26,Sheet1!$A$2:$E$10,5,0)</f>
        <v>Bin</v>
      </c>
      <c r="M26" s="14">
        <f t="shared" si="1"/>
        <v>3</v>
      </c>
      <c r="N26" s="2"/>
      <c r="O26" s="2" t="s">
        <v>121</v>
      </c>
      <c r="P26" s="2" t="s">
        <v>418</v>
      </c>
    </row>
    <row r="27" spans="1:16" hidden="1" x14ac:dyDescent="0.25">
      <c r="A27" s="17" t="s">
        <v>343</v>
      </c>
      <c r="B27" s="27" t="s">
        <v>330</v>
      </c>
      <c r="C27" s="2" t="s">
        <v>32</v>
      </c>
      <c r="D27" s="2" t="str">
        <f>VLOOKUP($C27,Sheet1!$A$2:$D$10,2,0)</f>
        <v>114010-50820</v>
      </c>
      <c r="E27" s="8" t="s">
        <v>98</v>
      </c>
      <c r="F27" s="12">
        <v>46030</v>
      </c>
      <c r="G27" s="13">
        <v>0.35416666666666669</v>
      </c>
      <c r="H27" s="2" t="s">
        <v>91</v>
      </c>
      <c r="I27" s="2" t="s">
        <v>54</v>
      </c>
      <c r="J27" s="2">
        <v>17</v>
      </c>
      <c r="K27" s="14">
        <f>VLOOKUP($C27,Sheet1!$A$2:$D$10,4,0)</f>
        <v>1</v>
      </c>
      <c r="L27" s="14" t="str">
        <f>VLOOKUP($C27,Sheet1!$A$2:$E$10,5,0)</f>
        <v>Bin</v>
      </c>
      <c r="M27" s="14">
        <f t="shared" si="1"/>
        <v>17</v>
      </c>
      <c r="N27" s="2"/>
      <c r="O27" s="2" t="s">
        <v>121</v>
      </c>
      <c r="P27" s="2" t="s">
        <v>418</v>
      </c>
    </row>
    <row r="28" spans="1:16" hidden="1" x14ac:dyDescent="0.25">
      <c r="A28" s="17" t="s">
        <v>343</v>
      </c>
      <c r="B28" s="27" t="s">
        <v>335</v>
      </c>
      <c r="C28" s="2" t="s">
        <v>29</v>
      </c>
      <c r="D28" s="2" t="str">
        <f>VLOOKUP($C28,Sheet1!$A$2:$D$10,2,0)</f>
        <v>114010-50830</v>
      </c>
      <c r="E28" s="8" t="s">
        <v>98</v>
      </c>
      <c r="F28" s="12">
        <v>46030</v>
      </c>
      <c r="G28" s="13">
        <v>0.35416666666666669</v>
      </c>
      <c r="H28" s="2" t="s">
        <v>91</v>
      </c>
      <c r="I28" s="2" t="s">
        <v>54</v>
      </c>
      <c r="J28" s="2">
        <v>44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si="1"/>
        <v>44</v>
      </c>
      <c r="N28" s="2"/>
      <c r="O28" s="2" t="s">
        <v>121</v>
      </c>
      <c r="P28" s="2" t="s">
        <v>431</v>
      </c>
    </row>
    <row r="29" spans="1:16" s="11" customFormat="1" hidden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>
        <v>110</v>
      </c>
      <c r="N29" s="10">
        <v>8</v>
      </c>
      <c r="O29" s="10"/>
      <c r="P29" s="10"/>
    </row>
    <row r="30" spans="1:16" x14ac:dyDescent="0.25">
      <c r="A30" s="17" t="s">
        <v>344</v>
      </c>
      <c r="B30" s="27" t="s">
        <v>293</v>
      </c>
      <c r="C30" s="2" t="s">
        <v>5</v>
      </c>
      <c r="D30" s="2" t="str">
        <f>VLOOKUP($C30,Sheet1!$A$2:$D$10,2,0)</f>
        <v>141110-14600</v>
      </c>
      <c r="E30" s="8" t="s">
        <v>52</v>
      </c>
      <c r="F30" s="12">
        <v>46030</v>
      </c>
      <c r="G30" s="13">
        <v>0.5625</v>
      </c>
      <c r="H30" s="2" t="s">
        <v>53</v>
      </c>
      <c r="I30" s="2" t="s">
        <v>54</v>
      </c>
      <c r="J30" s="2">
        <v>36</v>
      </c>
      <c r="K30" s="14">
        <f>VLOOKUP($C30,Sheet1!$A$2:$D$10,4,0)</f>
        <v>18</v>
      </c>
      <c r="L30" s="14" t="str">
        <f>VLOOKUP($C30,Sheet1!$A$2:$E$10,5,0)</f>
        <v>Trolley (H)</v>
      </c>
      <c r="M30" s="14"/>
      <c r="N30" s="52">
        <v>2</v>
      </c>
      <c r="O30" s="2" t="s">
        <v>359</v>
      </c>
      <c r="P30" s="2" t="s">
        <v>427</v>
      </c>
    </row>
    <row r="31" spans="1:16" hidden="1" x14ac:dyDescent="0.25">
      <c r="A31" s="17" t="s">
        <v>344</v>
      </c>
      <c r="B31" s="27" t="s">
        <v>298</v>
      </c>
      <c r="C31" s="2" t="s">
        <v>9</v>
      </c>
      <c r="D31" s="2" t="str">
        <f>VLOOKUP($C31,Sheet1!$A$2:$D$10,2,0)</f>
        <v>141120-14600</v>
      </c>
      <c r="E31" s="8" t="s">
        <v>60</v>
      </c>
      <c r="F31" s="12">
        <v>46030</v>
      </c>
      <c r="G31" s="13">
        <v>0.5625</v>
      </c>
      <c r="H31" s="2" t="s">
        <v>53</v>
      </c>
      <c r="I31" s="2" t="s">
        <v>54</v>
      </c>
      <c r="J31" s="2">
        <v>36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3"/>
      <c r="O31" s="2" t="s">
        <v>359</v>
      </c>
      <c r="P31" s="2" t="s">
        <v>427</v>
      </c>
    </row>
    <row r="32" spans="1:16" hidden="1" x14ac:dyDescent="0.25">
      <c r="A32" s="17" t="s">
        <v>344</v>
      </c>
      <c r="B32" s="27" t="s">
        <v>303</v>
      </c>
      <c r="C32" s="2" t="s">
        <v>12</v>
      </c>
      <c r="D32" s="2" t="str">
        <f>VLOOKUP($C32,Sheet1!$A$2:$D$10,2,0)</f>
        <v>141185-74670</v>
      </c>
      <c r="E32" s="8" t="s">
        <v>66</v>
      </c>
      <c r="F32" s="12">
        <v>46030</v>
      </c>
      <c r="G32" s="13">
        <v>0.5625</v>
      </c>
      <c r="H32" s="2" t="s">
        <v>53</v>
      </c>
      <c r="I32" s="2" t="s">
        <v>54</v>
      </c>
      <c r="J32" s="2">
        <v>80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>J32/K32</f>
        <v>2</v>
      </c>
      <c r="O32" s="2" t="s">
        <v>359</v>
      </c>
      <c r="P32" s="2">
        <v>910104658</v>
      </c>
    </row>
    <row r="33" spans="1:16" hidden="1" x14ac:dyDescent="0.25">
      <c r="A33" s="17" t="s">
        <v>344</v>
      </c>
      <c r="B33" s="27" t="s">
        <v>309</v>
      </c>
      <c r="C33" s="2" t="s">
        <v>16</v>
      </c>
      <c r="D33" s="2" t="str">
        <f>VLOOKUP($C33,Sheet1!$A$2:$D$10,2,0)</f>
        <v>141140-91211</v>
      </c>
      <c r="E33" s="8" t="s">
        <v>70</v>
      </c>
      <c r="F33" s="12">
        <v>46030</v>
      </c>
      <c r="G33" s="13">
        <v>0.5625</v>
      </c>
      <c r="H33" s="2" t="s">
        <v>71</v>
      </c>
      <c r="I33" s="2" t="s">
        <v>54</v>
      </c>
      <c r="J33" s="2">
        <v>44</v>
      </c>
      <c r="K33" s="14">
        <f>VLOOKUP($C33,Sheet1!$A$2:$D$10,4,0)</f>
        <v>2</v>
      </c>
      <c r="L33" s="14" t="str">
        <f>VLOOKUP($C33,Sheet1!$A$2:$E$10,5,0)</f>
        <v>Bin</v>
      </c>
      <c r="M33" s="14">
        <f t="shared" ref="M33:M34" si="2">J33/K33</f>
        <v>22</v>
      </c>
      <c r="N33" s="2"/>
      <c r="O33" s="2" t="s">
        <v>359</v>
      </c>
      <c r="P33" s="2" t="s">
        <v>417</v>
      </c>
    </row>
    <row r="34" spans="1:16" hidden="1" x14ac:dyDescent="0.25">
      <c r="A34" s="17" t="s">
        <v>344</v>
      </c>
      <c r="B34" s="27" t="s">
        <v>315</v>
      </c>
      <c r="C34" s="2" t="s">
        <v>20</v>
      </c>
      <c r="D34" s="2" t="str">
        <f>VLOOKUP($C34,Sheet1!$A$2:$D$10,2,0)</f>
        <v>141150-91211</v>
      </c>
      <c r="E34" s="8" t="s">
        <v>78</v>
      </c>
      <c r="F34" s="12">
        <v>46030</v>
      </c>
      <c r="G34" s="13">
        <v>0.5625</v>
      </c>
      <c r="H34" s="2" t="s">
        <v>71</v>
      </c>
      <c r="I34" s="2" t="s">
        <v>54</v>
      </c>
      <c r="J34" s="2">
        <v>44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si="2"/>
        <v>22</v>
      </c>
      <c r="N34" s="2"/>
      <c r="O34" s="2" t="s">
        <v>359</v>
      </c>
      <c r="P34" s="2" t="s">
        <v>429</v>
      </c>
    </row>
    <row r="35" spans="1:16" hidden="1" x14ac:dyDescent="0.25">
      <c r="A35" s="17" t="s">
        <v>344</v>
      </c>
      <c r="B35" s="27" t="s">
        <v>321</v>
      </c>
      <c r="C35" s="2" t="s">
        <v>23</v>
      </c>
      <c r="D35" s="2" t="str">
        <f>VLOOKUP($C35,Sheet1!$A$2:$D$10,2,0)</f>
        <v>141186-74360</v>
      </c>
      <c r="E35" s="8" t="s">
        <v>85</v>
      </c>
      <c r="F35" s="12">
        <v>46030</v>
      </c>
      <c r="G35" s="13">
        <v>0.5625</v>
      </c>
      <c r="H35" s="2" t="s">
        <v>71</v>
      </c>
      <c r="I35" s="2" t="s">
        <v>54</v>
      </c>
      <c r="J35" s="2">
        <v>80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>J35/K35</f>
        <v>2</v>
      </c>
      <c r="O35" s="2" t="s">
        <v>359</v>
      </c>
      <c r="P35" s="2" t="s">
        <v>478</v>
      </c>
    </row>
    <row r="36" spans="1:16" hidden="1" x14ac:dyDescent="0.25">
      <c r="A36" s="17" t="s">
        <v>345</v>
      </c>
      <c r="B36" s="27" t="s">
        <v>326</v>
      </c>
      <c r="C36" s="2" t="s">
        <v>26</v>
      </c>
      <c r="D36" s="2" t="str">
        <f>VLOOKUP($C36,Sheet1!$A$2:$D$10,2,0)</f>
        <v>116040-92240</v>
      </c>
      <c r="E36" s="8" t="s">
        <v>90</v>
      </c>
      <c r="F36" s="12">
        <v>46030</v>
      </c>
      <c r="G36" s="13">
        <v>0.5625</v>
      </c>
      <c r="H36" s="2" t="s">
        <v>91</v>
      </c>
      <c r="I36" s="2" t="s">
        <v>54</v>
      </c>
      <c r="J36" s="2">
        <v>48</v>
      </c>
      <c r="K36" s="14">
        <f>VLOOKUP($C36,Sheet1!$A$2:$D$10,4,0)</f>
        <v>6</v>
      </c>
      <c r="L36" s="14" t="str">
        <f>VLOOKUP($C36,Sheet1!$A$2:$E$10,5,0)</f>
        <v>Bin</v>
      </c>
      <c r="M36" s="14">
        <f t="shared" ref="M36:M38" si="3">J36/K36</f>
        <v>8</v>
      </c>
      <c r="N36" s="2"/>
      <c r="O36" s="2" t="s">
        <v>359</v>
      </c>
      <c r="P36" s="2" t="s">
        <v>423</v>
      </c>
    </row>
    <row r="37" spans="1:16" hidden="1" x14ac:dyDescent="0.25">
      <c r="A37" s="17" t="s">
        <v>345</v>
      </c>
      <c r="B37" s="27" t="s">
        <v>332</v>
      </c>
      <c r="C37" s="2" t="s">
        <v>32</v>
      </c>
      <c r="D37" s="2" t="str">
        <f>VLOOKUP($C37,Sheet1!$A$2:$D$10,2,0)</f>
        <v>114010-50820</v>
      </c>
      <c r="E37" s="8" t="s">
        <v>98</v>
      </c>
      <c r="F37" s="12">
        <v>46030</v>
      </c>
      <c r="G37" s="13">
        <v>0.5625</v>
      </c>
      <c r="H37" s="2" t="s">
        <v>91</v>
      </c>
      <c r="I37" s="2" t="s">
        <v>54</v>
      </c>
      <c r="J37" s="2">
        <v>17</v>
      </c>
      <c r="K37" s="14">
        <f>VLOOKUP($C37,Sheet1!$A$2:$D$10,4,0)</f>
        <v>1</v>
      </c>
      <c r="L37" s="14" t="str">
        <f>VLOOKUP($C37,Sheet1!$A$2:$E$10,5,0)</f>
        <v>Bin</v>
      </c>
      <c r="M37" s="14">
        <f t="shared" si="3"/>
        <v>17</v>
      </c>
      <c r="N37" s="2"/>
      <c r="O37" s="2" t="s">
        <v>359</v>
      </c>
      <c r="P37" s="2" t="s">
        <v>418</v>
      </c>
    </row>
    <row r="38" spans="1:16" hidden="1" x14ac:dyDescent="0.25">
      <c r="A38" s="17" t="s">
        <v>345</v>
      </c>
      <c r="B38" s="27" t="s">
        <v>337</v>
      </c>
      <c r="C38" s="2" t="s">
        <v>29</v>
      </c>
      <c r="D38" s="2" t="str">
        <f>VLOOKUP($C38,Sheet1!$A$2:$D$10,2,0)</f>
        <v>114010-50830</v>
      </c>
      <c r="E38" s="8" t="s">
        <v>98</v>
      </c>
      <c r="F38" s="12">
        <v>46030</v>
      </c>
      <c r="G38" s="13">
        <v>0.5625</v>
      </c>
      <c r="H38" s="2" t="s">
        <v>91</v>
      </c>
      <c r="I38" s="2" t="s">
        <v>54</v>
      </c>
      <c r="J38" s="2">
        <v>26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3"/>
        <v>26</v>
      </c>
      <c r="N38" s="2"/>
      <c r="O38" s="2" t="s">
        <v>359</v>
      </c>
      <c r="P38" s="2" t="s">
        <v>428</v>
      </c>
    </row>
    <row r="39" spans="1:16" s="11" customFormat="1" hidden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95</v>
      </c>
      <c r="N39" s="10">
        <v>6</v>
      </c>
      <c r="O39" s="10"/>
      <c r="P39" s="10"/>
    </row>
    <row r="40" spans="1:16" x14ac:dyDescent="0.25">
      <c r="A40" s="17" t="s">
        <v>360</v>
      </c>
      <c r="B40" s="27" t="s">
        <v>351</v>
      </c>
      <c r="C40" s="2" t="s">
        <v>5</v>
      </c>
      <c r="D40" s="2" t="str">
        <f>VLOOKUP($C40,Sheet1!$A$2:$D$10,2,0)</f>
        <v>141110-14600</v>
      </c>
      <c r="E40" s="8"/>
      <c r="F40" s="12">
        <v>46030</v>
      </c>
      <c r="G40" s="23" t="s">
        <v>652</v>
      </c>
      <c r="H40" s="2" t="s">
        <v>350</v>
      </c>
      <c r="I40" s="2"/>
      <c r="J40" s="2">
        <v>27</v>
      </c>
      <c r="K40" s="14">
        <f>VLOOKUP($C40,Sheet1!$A$2:$D$10,4,0)</f>
        <v>18</v>
      </c>
      <c r="L40" s="14" t="str">
        <f>VLOOKUP($C40,Sheet1!$A$2:$E$10,5,0)</f>
        <v>Trolley (H)</v>
      </c>
      <c r="M40" s="14"/>
      <c r="N40" s="52">
        <v>2</v>
      </c>
      <c r="O40" s="2" t="s">
        <v>119</v>
      </c>
      <c r="P40" s="2" t="s">
        <v>479</v>
      </c>
    </row>
    <row r="41" spans="1:16" hidden="1" x14ac:dyDescent="0.25">
      <c r="A41" s="17" t="s">
        <v>360</v>
      </c>
      <c r="B41" s="27" t="s">
        <v>352</v>
      </c>
      <c r="C41" s="2" t="s">
        <v>9</v>
      </c>
      <c r="D41" s="2" t="str">
        <f>VLOOKUP($C41,Sheet1!$A$2:$D$10,2,0)</f>
        <v>141120-14600</v>
      </c>
      <c r="E41" s="8"/>
      <c r="F41" s="12">
        <v>46030</v>
      </c>
      <c r="G41" s="23" t="s">
        <v>652</v>
      </c>
      <c r="H41" s="2" t="s">
        <v>350</v>
      </c>
      <c r="I41" s="2"/>
      <c r="J41" s="2">
        <v>27</v>
      </c>
      <c r="K41" s="14">
        <f>VLOOKUP($C41,Sheet1!$A$2:$D$10,4,0)</f>
        <v>18</v>
      </c>
      <c r="L41" s="14" t="str">
        <f>VLOOKUP($C41,Sheet1!$A$2:$E$10,5,0)</f>
        <v>Trolley (H)</v>
      </c>
      <c r="M41" s="14"/>
      <c r="N41" s="53"/>
      <c r="O41" s="2" t="s">
        <v>119</v>
      </c>
      <c r="P41" s="2" t="s">
        <v>479</v>
      </c>
    </row>
    <row r="42" spans="1:16" hidden="1" x14ac:dyDescent="0.25">
      <c r="A42" s="17" t="s">
        <v>360</v>
      </c>
      <c r="B42" s="27" t="s">
        <v>353</v>
      </c>
      <c r="C42" s="2" t="s">
        <v>12</v>
      </c>
      <c r="D42" s="2" t="str">
        <f>VLOOKUP($C42,Sheet1!$A$2:$D$10,2,0)</f>
        <v>141185-74670</v>
      </c>
      <c r="E42" s="8"/>
      <c r="F42" s="12">
        <v>46030</v>
      </c>
      <c r="G42" s="23" t="s">
        <v>652</v>
      </c>
      <c r="H42" s="2" t="s">
        <v>350</v>
      </c>
      <c r="I42" s="2"/>
      <c r="J42" s="2">
        <v>54</v>
      </c>
      <c r="K42" s="14">
        <f>VLOOKUP($C42,Sheet1!$A$2:$D$10,4,0)</f>
        <v>40</v>
      </c>
      <c r="L42" s="14" t="str">
        <f>VLOOKUP($C42,Sheet1!$A$2:$E$10,5,0)</f>
        <v>Trolley</v>
      </c>
      <c r="M42" s="14"/>
      <c r="N42" s="2">
        <v>2</v>
      </c>
      <c r="O42" s="2" t="s">
        <v>119</v>
      </c>
      <c r="P42" s="2">
        <v>90104677</v>
      </c>
    </row>
    <row r="43" spans="1:16" hidden="1" x14ac:dyDescent="0.25">
      <c r="A43" s="17" t="s">
        <v>360</v>
      </c>
      <c r="B43" s="27" t="s">
        <v>354</v>
      </c>
      <c r="C43" s="2" t="s">
        <v>16</v>
      </c>
      <c r="D43" s="2" t="str">
        <f>VLOOKUP($C43,Sheet1!$A$2:$D$10,2,0)</f>
        <v>141140-91211</v>
      </c>
      <c r="E43" s="8"/>
      <c r="F43" s="12">
        <v>46030</v>
      </c>
      <c r="G43" s="23" t="s">
        <v>652</v>
      </c>
      <c r="H43" s="2" t="s">
        <v>350</v>
      </c>
      <c r="I43" s="2"/>
      <c r="J43" s="2">
        <v>27</v>
      </c>
      <c r="K43" s="14">
        <f>VLOOKUP($C43,Sheet1!$A$2:$D$10,4,0)</f>
        <v>2</v>
      </c>
      <c r="L43" s="14" t="str">
        <f>VLOOKUP($C43,Sheet1!$A$2:$E$10,5,0)</f>
        <v>Bin</v>
      </c>
      <c r="M43" s="14">
        <v>14</v>
      </c>
      <c r="N43" s="2"/>
      <c r="O43" s="2" t="s">
        <v>119</v>
      </c>
      <c r="P43" s="2" t="s">
        <v>429</v>
      </c>
    </row>
    <row r="44" spans="1:16" hidden="1" x14ac:dyDescent="0.25">
      <c r="A44" s="17" t="s">
        <v>360</v>
      </c>
      <c r="B44" s="27" t="s">
        <v>355</v>
      </c>
      <c r="C44" s="2" t="s">
        <v>20</v>
      </c>
      <c r="D44" s="2" t="str">
        <f>VLOOKUP($C44,Sheet1!$A$2:$D$10,2,0)</f>
        <v>141150-91211</v>
      </c>
      <c r="E44" s="8"/>
      <c r="F44" s="12">
        <v>46030</v>
      </c>
      <c r="G44" s="23" t="s">
        <v>652</v>
      </c>
      <c r="H44" s="2" t="s">
        <v>350</v>
      </c>
      <c r="I44" s="2"/>
      <c r="J44" s="2">
        <v>27</v>
      </c>
      <c r="K44" s="14">
        <f>VLOOKUP($C44,Sheet1!$A$2:$D$10,4,0)</f>
        <v>2</v>
      </c>
      <c r="L44" s="14" t="str">
        <f>VLOOKUP($C44,Sheet1!$A$2:$E$10,5,0)</f>
        <v>Bin</v>
      </c>
      <c r="M44" s="14">
        <v>14</v>
      </c>
      <c r="N44" s="2"/>
      <c r="O44" s="2" t="s">
        <v>119</v>
      </c>
      <c r="P44" s="2" t="s">
        <v>429</v>
      </c>
    </row>
    <row r="45" spans="1:16" hidden="1" x14ac:dyDescent="0.25">
      <c r="A45" s="17" t="s">
        <v>360</v>
      </c>
      <c r="B45" s="27" t="s">
        <v>356</v>
      </c>
      <c r="C45" s="2" t="s">
        <v>23</v>
      </c>
      <c r="D45" s="2" t="str">
        <f>VLOOKUP($C45,Sheet1!$A$2:$D$10,2,0)</f>
        <v>141186-74360</v>
      </c>
      <c r="E45" s="8"/>
      <c r="F45" s="12">
        <v>46030</v>
      </c>
      <c r="G45" s="23" t="s">
        <v>652</v>
      </c>
      <c r="H45" s="2" t="s">
        <v>350</v>
      </c>
      <c r="I45" s="2"/>
      <c r="J45" s="2">
        <v>54</v>
      </c>
      <c r="K45" s="14">
        <f>VLOOKUP($C45,Sheet1!$A$2:$D$10,4,0)</f>
        <v>40</v>
      </c>
      <c r="L45" s="14" t="str">
        <f>VLOOKUP($C45,Sheet1!$A$2:$E$10,5,0)</f>
        <v>Trolley</v>
      </c>
      <c r="M45" s="14"/>
      <c r="N45" s="2">
        <v>2</v>
      </c>
      <c r="O45" s="2" t="s">
        <v>119</v>
      </c>
      <c r="P45" s="2" t="s">
        <v>480</v>
      </c>
    </row>
    <row r="46" spans="1:16" hidden="1" x14ac:dyDescent="0.25">
      <c r="A46" s="17" t="s">
        <v>361</v>
      </c>
      <c r="B46" s="27" t="s">
        <v>357</v>
      </c>
      <c r="C46" s="2" t="s">
        <v>26</v>
      </c>
      <c r="D46" s="2" t="str">
        <f>VLOOKUP($C46,Sheet1!$A$2:$D$10,2,0)</f>
        <v>116040-92240</v>
      </c>
      <c r="E46" s="8"/>
      <c r="F46" s="12">
        <v>46030</v>
      </c>
      <c r="G46" s="23" t="s">
        <v>652</v>
      </c>
      <c r="H46" s="2" t="s">
        <v>350</v>
      </c>
      <c r="I46" s="2"/>
      <c r="J46" s="2">
        <v>27</v>
      </c>
      <c r="K46" s="14">
        <f>VLOOKUP($C46,Sheet1!$A$2:$D$10,4,0)</f>
        <v>6</v>
      </c>
      <c r="L46" s="14" t="str">
        <f>VLOOKUP($C46,Sheet1!$A$2:$E$10,5,0)</f>
        <v>Bin</v>
      </c>
      <c r="M46" s="14">
        <v>5</v>
      </c>
      <c r="N46" s="2"/>
      <c r="O46" s="2" t="s">
        <v>119</v>
      </c>
      <c r="P46" s="2" t="s">
        <v>423</v>
      </c>
    </row>
    <row r="47" spans="1:16" hidden="1" x14ac:dyDescent="0.25">
      <c r="A47" s="17" t="s">
        <v>361</v>
      </c>
      <c r="B47" s="27" t="s">
        <v>358</v>
      </c>
      <c r="C47" s="2" t="s">
        <v>32</v>
      </c>
      <c r="D47" s="2" t="str">
        <f>VLOOKUP($C47,Sheet1!$A$2:$D$10,2,0)</f>
        <v>114010-50820</v>
      </c>
      <c r="E47" s="8"/>
      <c r="F47" s="12">
        <v>46030</v>
      </c>
      <c r="G47" s="23" t="s">
        <v>652</v>
      </c>
      <c r="H47" s="2" t="s">
        <v>350</v>
      </c>
      <c r="I47" s="2"/>
      <c r="J47" s="2">
        <v>27</v>
      </c>
      <c r="K47" s="14">
        <f>VLOOKUP($C47,Sheet1!$A$2:$D$10,4,0)</f>
        <v>1</v>
      </c>
      <c r="L47" s="14" t="str">
        <f>VLOOKUP($C47,Sheet1!$A$2:$E$10,5,0)</f>
        <v>Bin</v>
      </c>
      <c r="M47" s="14">
        <v>27</v>
      </c>
      <c r="N47" s="2"/>
      <c r="O47" s="2" t="s">
        <v>119</v>
      </c>
      <c r="P47" s="2" t="s">
        <v>419</v>
      </c>
    </row>
    <row r="48" spans="1:16" s="11" customFormat="1" hidden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>
        <v>60</v>
      </c>
      <c r="N48" s="10">
        <v>6</v>
      </c>
      <c r="O48" s="10"/>
      <c r="P48" s="10"/>
    </row>
    <row r="49" spans="1:16" x14ac:dyDescent="0.25">
      <c r="A49" s="17" t="s">
        <v>346</v>
      </c>
      <c r="B49" s="27" t="s">
        <v>294</v>
      </c>
      <c r="C49" s="2" t="s">
        <v>5</v>
      </c>
      <c r="D49" s="2" t="str">
        <f>VLOOKUP($C49,Sheet1!$A$2:$D$10,2,0)</f>
        <v>141110-14600</v>
      </c>
      <c r="E49" s="8" t="s">
        <v>52</v>
      </c>
      <c r="F49" s="12">
        <v>46030</v>
      </c>
      <c r="G49" s="13">
        <v>0.77083333333333337</v>
      </c>
      <c r="H49" s="2" t="s">
        <v>53</v>
      </c>
      <c r="I49" s="2" t="s">
        <v>54</v>
      </c>
      <c r="J49" s="2">
        <v>36</v>
      </c>
      <c r="K49" s="14">
        <f>VLOOKUP($C49,Sheet1!$A$2:$D$10,4,0)</f>
        <v>18</v>
      </c>
      <c r="L49" s="14" t="str">
        <f>VLOOKUP($C49,Sheet1!$A$2:$E$10,5,0)</f>
        <v>Trolley (H)</v>
      </c>
      <c r="M49" s="14"/>
      <c r="N49" s="52">
        <v>2</v>
      </c>
      <c r="O49" s="2" t="s">
        <v>122</v>
      </c>
      <c r="P49" s="2" t="s">
        <v>427</v>
      </c>
    </row>
    <row r="50" spans="1:16" hidden="1" x14ac:dyDescent="0.25">
      <c r="A50" s="17" t="s">
        <v>346</v>
      </c>
      <c r="B50" s="27" t="s">
        <v>299</v>
      </c>
      <c r="C50" s="2" t="s">
        <v>9</v>
      </c>
      <c r="D50" s="2" t="str">
        <f>VLOOKUP($C50,Sheet1!$A$2:$D$10,2,0)</f>
        <v>141120-14600</v>
      </c>
      <c r="E50" s="8" t="s">
        <v>60</v>
      </c>
      <c r="F50" s="12">
        <v>46030</v>
      </c>
      <c r="G50" s="13">
        <v>0.77083333333333337</v>
      </c>
      <c r="H50" s="2" t="s">
        <v>53</v>
      </c>
      <c r="I50" s="2" t="s">
        <v>54</v>
      </c>
      <c r="J50" s="2">
        <v>36</v>
      </c>
      <c r="K50" s="14">
        <f>VLOOKUP($C50,Sheet1!$A$2:$D$10,4,0)</f>
        <v>18</v>
      </c>
      <c r="L50" s="14" t="str">
        <f>VLOOKUP($C50,Sheet1!$A$2:$E$10,5,0)</f>
        <v>Trolley (H)</v>
      </c>
      <c r="M50" s="14"/>
      <c r="N50" s="53"/>
      <c r="O50" s="2" t="s">
        <v>122</v>
      </c>
      <c r="P50" s="2" t="s">
        <v>427</v>
      </c>
    </row>
    <row r="51" spans="1:16" hidden="1" x14ac:dyDescent="0.25">
      <c r="A51" s="17" t="s">
        <v>346</v>
      </c>
      <c r="B51" s="27" t="s">
        <v>304</v>
      </c>
      <c r="C51" s="2" t="s">
        <v>12</v>
      </c>
      <c r="D51" s="2" t="str">
        <f>VLOOKUP($C51,Sheet1!$A$2:$D$10,2,0)</f>
        <v>141185-74670</v>
      </c>
      <c r="E51" s="8" t="s">
        <v>66</v>
      </c>
      <c r="F51" s="12">
        <v>46030</v>
      </c>
      <c r="G51" s="13">
        <v>0.77083333333333337</v>
      </c>
      <c r="H51" s="2" t="s">
        <v>53</v>
      </c>
      <c r="I51" s="2" t="s">
        <v>54</v>
      </c>
      <c r="J51" s="2">
        <v>80</v>
      </c>
      <c r="K51" s="14">
        <f>VLOOKUP($C51,Sheet1!$A$2:$D$10,4,0)</f>
        <v>40</v>
      </c>
      <c r="L51" s="14" t="str">
        <f>VLOOKUP($C51,Sheet1!$A$2:$E$10,5,0)</f>
        <v>Trolley</v>
      </c>
      <c r="M51" s="14"/>
      <c r="N51" s="2">
        <f>J51/K51</f>
        <v>2</v>
      </c>
      <c r="O51" s="2" t="s">
        <v>122</v>
      </c>
      <c r="P51" s="2">
        <v>910104658</v>
      </c>
    </row>
    <row r="52" spans="1:16" hidden="1" x14ac:dyDescent="0.25">
      <c r="A52" s="17" t="s">
        <v>346</v>
      </c>
      <c r="B52" s="27" t="s">
        <v>310</v>
      </c>
      <c r="C52" s="2" t="s">
        <v>16</v>
      </c>
      <c r="D52" s="2" t="str">
        <f>VLOOKUP($C52,Sheet1!$A$2:$D$10,2,0)</f>
        <v>141140-91211</v>
      </c>
      <c r="E52" s="8" t="s">
        <v>70</v>
      </c>
      <c r="F52" s="12">
        <v>46030</v>
      </c>
      <c r="G52" s="13">
        <v>0.77083333333333337</v>
      </c>
      <c r="H52" s="2" t="s">
        <v>71</v>
      </c>
      <c r="I52" s="2" t="s">
        <v>54</v>
      </c>
      <c r="J52" s="2">
        <v>40</v>
      </c>
      <c r="K52" s="14">
        <f>VLOOKUP($C52,Sheet1!$A$2:$D$10,4,0)</f>
        <v>2</v>
      </c>
      <c r="L52" s="14" t="str">
        <f>VLOOKUP($C52,Sheet1!$A$2:$E$10,5,0)</f>
        <v>Bin</v>
      </c>
      <c r="M52" s="14">
        <f t="shared" ref="M52:M53" si="4">J52/K52</f>
        <v>20</v>
      </c>
      <c r="N52" s="2"/>
      <c r="O52" s="2" t="s">
        <v>122</v>
      </c>
      <c r="P52" s="2" t="s">
        <v>429</v>
      </c>
    </row>
    <row r="53" spans="1:16" hidden="1" x14ac:dyDescent="0.25">
      <c r="A53" s="17" t="s">
        <v>346</v>
      </c>
      <c r="B53" s="27" t="s">
        <v>316</v>
      </c>
      <c r="C53" s="2" t="s">
        <v>20</v>
      </c>
      <c r="D53" s="2" t="str">
        <f>VLOOKUP($C53,Sheet1!$A$2:$D$10,2,0)</f>
        <v>141150-91211</v>
      </c>
      <c r="E53" s="8" t="s">
        <v>78</v>
      </c>
      <c r="F53" s="12">
        <v>46030</v>
      </c>
      <c r="G53" s="13">
        <v>0.77083333333333337</v>
      </c>
      <c r="H53" s="2" t="s">
        <v>71</v>
      </c>
      <c r="I53" s="2" t="s">
        <v>54</v>
      </c>
      <c r="J53" s="2">
        <v>40</v>
      </c>
      <c r="K53" s="14">
        <f>VLOOKUP($C53,Sheet1!$A$2:$D$10,4,0)</f>
        <v>2</v>
      </c>
      <c r="L53" s="14" t="str">
        <f>VLOOKUP($C53,Sheet1!$A$2:$E$10,5,0)</f>
        <v>Bin</v>
      </c>
      <c r="M53" s="14">
        <f t="shared" si="4"/>
        <v>20</v>
      </c>
      <c r="N53" s="2"/>
      <c r="O53" s="2" t="s">
        <v>122</v>
      </c>
      <c r="P53" s="2" t="s">
        <v>429</v>
      </c>
    </row>
    <row r="54" spans="1:16" hidden="1" x14ac:dyDescent="0.25">
      <c r="A54" s="17" t="s">
        <v>346</v>
      </c>
      <c r="B54" s="27" t="s">
        <v>322</v>
      </c>
      <c r="C54" s="2" t="s">
        <v>23</v>
      </c>
      <c r="D54" s="2" t="str">
        <f>VLOOKUP($C54,Sheet1!$A$2:$D$10,2,0)</f>
        <v>141186-74360</v>
      </c>
      <c r="E54" s="8" t="s">
        <v>85</v>
      </c>
      <c r="F54" s="12">
        <v>46030</v>
      </c>
      <c r="G54" s="13">
        <v>0.77083333333333337</v>
      </c>
      <c r="H54" s="2" t="s">
        <v>71</v>
      </c>
      <c r="I54" s="2" t="s">
        <v>54</v>
      </c>
      <c r="J54" s="2">
        <v>80</v>
      </c>
      <c r="K54" s="14">
        <f>VLOOKUP($C54,Sheet1!$A$2:$D$10,4,0)</f>
        <v>40</v>
      </c>
      <c r="L54" s="14" t="str">
        <f>VLOOKUP($C54,Sheet1!$A$2:$E$10,5,0)</f>
        <v>Trolley</v>
      </c>
      <c r="M54" s="14"/>
      <c r="N54" s="2">
        <f>J54/K54</f>
        <v>2</v>
      </c>
      <c r="O54" s="2" t="s">
        <v>122</v>
      </c>
      <c r="P54" s="2" t="s">
        <v>492</v>
      </c>
    </row>
    <row r="55" spans="1:16" hidden="1" x14ac:dyDescent="0.25">
      <c r="A55" s="17" t="s">
        <v>347</v>
      </c>
      <c r="B55" s="27" t="s">
        <v>327</v>
      </c>
      <c r="C55" s="2" t="s">
        <v>26</v>
      </c>
      <c r="D55" s="2" t="str">
        <f>VLOOKUP($C55,Sheet1!$A$2:$D$10,2,0)</f>
        <v>116040-92240</v>
      </c>
      <c r="E55" s="8" t="s">
        <v>90</v>
      </c>
      <c r="F55" s="12">
        <v>46030</v>
      </c>
      <c r="G55" s="13">
        <v>0.77083333333333337</v>
      </c>
      <c r="H55" s="2" t="s">
        <v>91</v>
      </c>
      <c r="I55" s="2" t="s">
        <v>54</v>
      </c>
      <c r="J55" s="2">
        <v>36</v>
      </c>
      <c r="K55" s="14">
        <f>VLOOKUP($C55,Sheet1!$A$2:$D$10,4,0)</f>
        <v>6</v>
      </c>
      <c r="L55" s="14" t="str">
        <f>VLOOKUP($C55,Sheet1!$A$2:$E$10,5,0)</f>
        <v>Bin</v>
      </c>
      <c r="M55" s="14">
        <f t="shared" ref="M55:M57" si="5">J55/K55</f>
        <v>6</v>
      </c>
      <c r="N55" s="2"/>
      <c r="O55" s="2" t="s">
        <v>122</v>
      </c>
      <c r="P55" s="2" t="s">
        <v>423</v>
      </c>
    </row>
    <row r="56" spans="1:16" hidden="1" x14ac:dyDescent="0.25">
      <c r="A56" s="17" t="s">
        <v>347</v>
      </c>
      <c r="B56" s="27" t="s">
        <v>333</v>
      </c>
      <c r="C56" s="2" t="s">
        <v>32</v>
      </c>
      <c r="D56" s="2" t="str">
        <f>VLOOKUP($C56,Sheet1!$A$2:$D$10,2,0)</f>
        <v>114010-50820</v>
      </c>
      <c r="E56" s="8" t="s">
        <v>98</v>
      </c>
      <c r="F56" s="12">
        <v>46030</v>
      </c>
      <c r="G56" s="13">
        <v>0.77083333333333337</v>
      </c>
      <c r="H56" s="2" t="s">
        <v>91</v>
      </c>
      <c r="I56" s="2" t="s">
        <v>54</v>
      </c>
      <c r="J56" s="2">
        <v>16</v>
      </c>
      <c r="K56" s="14">
        <f>VLOOKUP($C56,Sheet1!$A$2:$D$10,4,0)</f>
        <v>1</v>
      </c>
      <c r="L56" s="14" t="str">
        <f>VLOOKUP($C56,Sheet1!$A$2:$E$10,5,0)</f>
        <v>Bin</v>
      </c>
      <c r="M56" s="14">
        <f t="shared" si="5"/>
        <v>16</v>
      </c>
      <c r="N56" s="2"/>
      <c r="O56" s="2" t="s">
        <v>122</v>
      </c>
      <c r="P56" s="2" t="s">
        <v>419</v>
      </c>
    </row>
    <row r="57" spans="1:16" hidden="1" x14ac:dyDescent="0.25">
      <c r="A57" s="17" t="s">
        <v>347</v>
      </c>
      <c r="B57" s="27" t="s">
        <v>338</v>
      </c>
      <c r="C57" s="2" t="s">
        <v>29</v>
      </c>
      <c r="D57" s="2" t="str">
        <f>VLOOKUP($C57,Sheet1!$A$2:$D$10,2,0)</f>
        <v>114010-50830</v>
      </c>
      <c r="E57" s="8" t="s">
        <v>98</v>
      </c>
      <c r="F57" s="12">
        <v>46030</v>
      </c>
      <c r="G57" s="13">
        <v>0.77083333333333337</v>
      </c>
      <c r="H57" s="2" t="s">
        <v>91</v>
      </c>
      <c r="I57" s="2" t="s">
        <v>54</v>
      </c>
      <c r="J57" s="2">
        <v>27</v>
      </c>
      <c r="K57" s="14">
        <f>VLOOKUP($C57,Sheet1!$A$2:$D$10,4,0)</f>
        <v>1</v>
      </c>
      <c r="L57" s="14" t="str">
        <f>VLOOKUP($C57,Sheet1!$A$2:$E$10,5,0)</f>
        <v>Bin</v>
      </c>
      <c r="M57" s="14">
        <f t="shared" si="5"/>
        <v>27</v>
      </c>
      <c r="N57" s="2"/>
      <c r="O57" s="2" t="s">
        <v>122</v>
      </c>
      <c r="P57" s="2" t="s">
        <v>428</v>
      </c>
    </row>
    <row r="58" spans="1:16" s="11" customFormat="1" hidden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>
        <v>89</v>
      </c>
      <c r="N58" s="10">
        <v>6</v>
      </c>
      <c r="O58" s="10"/>
      <c r="P58" s="10"/>
    </row>
    <row r="59" spans="1:16" x14ac:dyDescent="0.25">
      <c r="A59" s="17" t="s">
        <v>348</v>
      </c>
      <c r="B59" s="27" t="s">
        <v>295</v>
      </c>
      <c r="C59" s="2" t="s">
        <v>5</v>
      </c>
      <c r="D59" s="2" t="str">
        <f>VLOOKUP($C59,Sheet1!$A$2:$D$10,2,0)</f>
        <v>141110-14600</v>
      </c>
      <c r="E59" s="8" t="s">
        <v>52</v>
      </c>
      <c r="F59" s="12">
        <v>46030</v>
      </c>
      <c r="G59" s="13">
        <v>0.97916666666666663</v>
      </c>
      <c r="H59" s="2" t="s">
        <v>53</v>
      </c>
      <c r="I59" s="2" t="s">
        <v>54</v>
      </c>
      <c r="J59" s="2">
        <v>54</v>
      </c>
      <c r="K59" s="14">
        <f>VLOOKUP($C59,Sheet1!$A$2:$D$10,4,0)</f>
        <v>18</v>
      </c>
      <c r="L59" s="14" t="str">
        <f>VLOOKUP($C59,Sheet1!$A$2:$E$10,5,0)</f>
        <v>Trolley (H)</v>
      </c>
      <c r="M59" s="14"/>
      <c r="N59" s="52">
        <v>3</v>
      </c>
      <c r="O59" s="2" t="s">
        <v>121</v>
      </c>
      <c r="P59" s="2" t="s">
        <v>427</v>
      </c>
    </row>
    <row r="60" spans="1:16" hidden="1" x14ac:dyDescent="0.25">
      <c r="A60" s="17" t="s">
        <v>348</v>
      </c>
      <c r="B60" s="27" t="s">
        <v>300</v>
      </c>
      <c r="C60" s="2" t="s">
        <v>9</v>
      </c>
      <c r="D60" s="2" t="str">
        <f>VLOOKUP($C60,Sheet1!$A$2:$D$10,2,0)</f>
        <v>141120-14600</v>
      </c>
      <c r="E60" s="8" t="s">
        <v>60</v>
      </c>
      <c r="F60" s="12">
        <v>46030</v>
      </c>
      <c r="G60" s="13">
        <v>0.97916666666666663</v>
      </c>
      <c r="H60" s="2" t="s">
        <v>53</v>
      </c>
      <c r="I60" s="2" t="s">
        <v>54</v>
      </c>
      <c r="J60" s="2">
        <v>54</v>
      </c>
      <c r="K60" s="14">
        <f>VLOOKUP($C60,Sheet1!$A$2:$D$10,4,0)</f>
        <v>18</v>
      </c>
      <c r="L60" s="14" t="str">
        <f>VLOOKUP($C60,Sheet1!$A$2:$E$10,5,0)</f>
        <v>Trolley (H)</v>
      </c>
      <c r="M60" s="14"/>
      <c r="N60" s="53"/>
      <c r="O60" s="2" t="s">
        <v>121</v>
      </c>
      <c r="P60" s="2" t="s">
        <v>427</v>
      </c>
    </row>
    <row r="61" spans="1:16" hidden="1" x14ac:dyDescent="0.25">
      <c r="A61" s="17" t="s">
        <v>348</v>
      </c>
      <c r="B61" s="27" t="s">
        <v>305</v>
      </c>
      <c r="C61" s="2" t="s">
        <v>12</v>
      </c>
      <c r="D61" s="2" t="str">
        <f>VLOOKUP($C61,Sheet1!$A$2:$D$10,2,0)</f>
        <v>141185-74670</v>
      </c>
      <c r="E61" s="8" t="s">
        <v>66</v>
      </c>
      <c r="F61" s="12">
        <v>46030</v>
      </c>
      <c r="G61" s="13">
        <v>0.97916666666666663</v>
      </c>
      <c r="H61" s="2" t="s">
        <v>53</v>
      </c>
      <c r="I61" s="2" t="s">
        <v>54</v>
      </c>
      <c r="J61" s="2">
        <v>80</v>
      </c>
      <c r="K61" s="14">
        <f>VLOOKUP($C61,Sheet1!$A$2:$D$10,4,0)</f>
        <v>40</v>
      </c>
      <c r="L61" s="14" t="str">
        <f>VLOOKUP($C61,Sheet1!$A$2:$E$10,5,0)</f>
        <v>Trolley</v>
      </c>
      <c r="M61" s="14"/>
      <c r="N61" s="2">
        <f>J61/K61</f>
        <v>2</v>
      </c>
      <c r="O61" s="2" t="s">
        <v>121</v>
      </c>
      <c r="P61" s="2">
        <v>910104677</v>
      </c>
    </row>
    <row r="62" spans="1:16" hidden="1" x14ac:dyDescent="0.25">
      <c r="A62" s="17" t="s">
        <v>348</v>
      </c>
      <c r="B62" s="27" t="s">
        <v>311</v>
      </c>
      <c r="C62" s="2" t="s">
        <v>16</v>
      </c>
      <c r="D62" s="2" t="str">
        <f>VLOOKUP($C62,Sheet1!$A$2:$D$10,2,0)</f>
        <v>141140-91211</v>
      </c>
      <c r="E62" s="8" t="s">
        <v>70</v>
      </c>
      <c r="F62" s="12">
        <v>46030</v>
      </c>
      <c r="G62" s="13">
        <v>0.97916666666666663</v>
      </c>
      <c r="H62" s="2" t="s">
        <v>71</v>
      </c>
      <c r="I62" s="2" t="s">
        <v>54</v>
      </c>
      <c r="J62" s="2">
        <v>36</v>
      </c>
      <c r="K62" s="14">
        <f>VLOOKUP($C62,Sheet1!$A$2:$D$10,4,0)</f>
        <v>2</v>
      </c>
      <c r="L62" s="14" t="str">
        <f>VLOOKUP($C62,Sheet1!$A$2:$E$10,5,0)</f>
        <v>Bin</v>
      </c>
      <c r="M62" s="14">
        <f t="shared" ref="M62:M63" si="6">J62/K62</f>
        <v>18</v>
      </c>
      <c r="N62" s="2"/>
      <c r="O62" s="2" t="s">
        <v>121</v>
      </c>
      <c r="P62" s="2" t="s">
        <v>429</v>
      </c>
    </row>
    <row r="63" spans="1:16" hidden="1" x14ac:dyDescent="0.25">
      <c r="A63" s="17" t="s">
        <v>348</v>
      </c>
      <c r="B63" s="27" t="s">
        <v>317</v>
      </c>
      <c r="C63" s="2" t="s">
        <v>20</v>
      </c>
      <c r="D63" s="2" t="str">
        <f>VLOOKUP($C63,Sheet1!$A$2:$D$10,2,0)</f>
        <v>141150-91211</v>
      </c>
      <c r="E63" s="8" t="s">
        <v>78</v>
      </c>
      <c r="F63" s="12">
        <v>46030</v>
      </c>
      <c r="G63" s="13">
        <v>0.97916666666666663</v>
      </c>
      <c r="H63" s="2" t="s">
        <v>71</v>
      </c>
      <c r="I63" s="2" t="s">
        <v>54</v>
      </c>
      <c r="J63" s="2">
        <v>36</v>
      </c>
      <c r="K63" s="14">
        <f>VLOOKUP($C63,Sheet1!$A$2:$D$10,4,0)</f>
        <v>2</v>
      </c>
      <c r="L63" s="14" t="str">
        <f>VLOOKUP($C63,Sheet1!$A$2:$E$10,5,0)</f>
        <v>Bin</v>
      </c>
      <c r="M63" s="14">
        <f t="shared" si="6"/>
        <v>18</v>
      </c>
      <c r="N63" s="2"/>
      <c r="O63" s="2" t="s">
        <v>121</v>
      </c>
      <c r="P63" s="2" t="s">
        <v>429</v>
      </c>
    </row>
    <row r="64" spans="1:16" hidden="1" x14ac:dyDescent="0.25">
      <c r="A64" s="17" t="s">
        <v>348</v>
      </c>
      <c r="B64" s="27" t="s">
        <v>323</v>
      </c>
      <c r="C64" s="2" t="s">
        <v>23</v>
      </c>
      <c r="D64" s="2" t="str">
        <f>VLOOKUP($C64,Sheet1!$A$2:$D$10,2,0)</f>
        <v>141186-74360</v>
      </c>
      <c r="E64" s="8" t="s">
        <v>85</v>
      </c>
      <c r="F64" s="12">
        <v>46030</v>
      </c>
      <c r="G64" s="13">
        <v>0.97916666666666663</v>
      </c>
      <c r="H64" s="2" t="s">
        <v>71</v>
      </c>
      <c r="I64" s="2" t="s">
        <v>54</v>
      </c>
      <c r="J64" s="2">
        <v>80</v>
      </c>
      <c r="K64" s="14">
        <f>VLOOKUP($C64,Sheet1!$A$2:$D$10,4,0)</f>
        <v>40</v>
      </c>
      <c r="L64" s="14" t="str">
        <f>VLOOKUP($C64,Sheet1!$A$2:$E$10,5,0)</f>
        <v>Trolley</v>
      </c>
      <c r="M64" s="14"/>
      <c r="N64" s="2">
        <f>J64/K64</f>
        <v>2</v>
      </c>
      <c r="O64" s="2" t="s">
        <v>121</v>
      </c>
      <c r="P64" s="2">
        <v>910104658</v>
      </c>
    </row>
    <row r="65" spans="1:16" hidden="1" x14ac:dyDescent="0.25">
      <c r="A65" s="17" t="s">
        <v>349</v>
      </c>
      <c r="B65" s="27" t="s">
        <v>328</v>
      </c>
      <c r="C65" s="2" t="s">
        <v>26</v>
      </c>
      <c r="D65" s="2" t="str">
        <f>VLOOKUP($C65,Sheet1!$A$2:$D$10,2,0)</f>
        <v>116040-92240</v>
      </c>
      <c r="E65" s="8" t="s">
        <v>90</v>
      </c>
      <c r="F65" s="12">
        <v>46030</v>
      </c>
      <c r="G65" s="13">
        <v>0.97916666666666663</v>
      </c>
      <c r="H65" s="2" t="s">
        <v>91</v>
      </c>
      <c r="I65" s="2" t="s">
        <v>54</v>
      </c>
      <c r="J65" s="2">
        <v>36</v>
      </c>
      <c r="K65" s="14">
        <f>VLOOKUP($C65,Sheet1!$A$2:$D$10,4,0)</f>
        <v>6</v>
      </c>
      <c r="L65" s="14" t="str">
        <f>VLOOKUP($C65,Sheet1!$A$2:$E$10,5,0)</f>
        <v>Bin</v>
      </c>
      <c r="M65" s="14">
        <f t="shared" ref="M65:M67" si="7">J65/K65</f>
        <v>6</v>
      </c>
      <c r="N65" s="2"/>
      <c r="O65" s="2" t="s">
        <v>121</v>
      </c>
      <c r="P65" s="2" t="s">
        <v>423</v>
      </c>
    </row>
    <row r="66" spans="1:16" hidden="1" x14ac:dyDescent="0.25">
      <c r="A66" s="17" t="s">
        <v>349</v>
      </c>
      <c r="B66" s="27" t="s">
        <v>334</v>
      </c>
      <c r="C66" s="2" t="s">
        <v>32</v>
      </c>
      <c r="D66" s="2" t="str">
        <f>VLOOKUP($C66,Sheet1!$A$2:$D$10,2,0)</f>
        <v>114010-50820</v>
      </c>
      <c r="E66" s="8" t="s">
        <v>98</v>
      </c>
      <c r="F66" s="12">
        <v>46030</v>
      </c>
      <c r="G66" s="13">
        <v>0.97916666666666663</v>
      </c>
      <c r="H66" s="2" t="s">
        <v>91</v>
      </c>
      <c r="I66" s="2" t="s">
        <v>54</v>
      </c>
      <c r="J66" s="2">
        <v>13</v>
      </c>
      <c r="K66" s="14">
        <f>VLOOKUP($C66,Sheet1!$A$2:$D$10,4,0)</f>
        <v>1</v>
      </c>
      <c r="L66" s="14" t="str">
        <f>VLOOKUP($C66,Sheet1!$A$2:$E$10,5,0)</f>
        <v>Bin</v>
      </c>
      <c r="M66" s="14">
        <f t="shared" si="7"/>
        <v>13</v>
      </c>
      <c r="N66" s="2"/>
      <c r="O66" s="2" t="s">
        <v>121</v>
      </c>
      <c r="P66" s="2" t="s">
        <v>419</v>
      </c>
    </row>
    <row r="67" spans="1:16" hidden="1" x14ac:dyDescent="0.25">
      <c r="A67" s="17" t="s">
        <v>349</v>
      </c>
      <c r="B67" s="27" t="s">
        <v>339</v>
      </c>
      <c r="C67" s="2" t="s">
        <v>29</v>
      </c>
      <c r="D67" s="2" t="str">
        <f>VLOOKUP($C67,Sheet1!$A$2:$D$10,2,0)</f>
        <v>114010-50830</v>
      </c>
      <c r="E67" s="8" t="s">
        <v>98</v>
      </c>
      <c r="F67" s="12">
        <v>46030</v>
      </c>
      <c r="G67" s="13">
        <v>0.97916666666666663</v>
      </c>
      <c r="H67" s="2" t="s">
        <v>91</v>
      </c>
      <c r="I67" s="2" t="s">
        <v>54</v>
      </c>
      <c r="J67" s="2">
        <v>21</v>
      </c>
      <c r="K67" s="14">
        <f>VLOOKUP($C67,Sheet1!$A$2:$D$10,4,0)</f>
        <v>1</v>
      </c>
      <c r="L67" s="14" t="str">
        <f>VLOOKUP($C67,Sheet1!$A$2:$E$10,5,0)</f>
        <v>Bin</v>
      </c>
      <c r="M67" s="14">
        <f t="shared" si="7"/>
        <v>21</v>
      </c>
      <c r="N67" s="2"/>
      <c r="O67" s="2" t="s">
        <v>121</v>
      </c>
      <c r="P67" s="2" t="s">
        <v>428</v>
      </c>
    </row>
    <row r="68" spans="1:16" s="11" customFormat="1" hidden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76</v>
      </c>
      <c r="N68" s="10">
        <v>7</v>
      </c>
      <c r="O68" s="10"/>
      <c r="P68" s="10"/>
    </row>
  </sheetData>
  <autoFilter ref="A3:P68" xr:uid="{F5501571-67FD-46D2-8882-50F8EFA2ED9E}">
    <filterColumn colId="2">
      <filters>
        <filter val="55101M58U10"/>
      </filters>
    </filterColumn>
  </autoFilter>
  <mergeCells count="10">
    <mergeCell ref="N40:N41"/>
    <mergeCell ref="N30:N31"/>
    <mergeCell ref="N49:N50"/>
    <mergeCell ref="N59:N60"/>
    <mergeCell ref="N19:N20"/>
    <mergeCell ref="A1:F1"/>
    <mergeCell ref="J1:N1"/>
    <mergeCell ref="L2:N2"/>
    <mergeCell ref="N4:N5"/>
    <mergeCell ref="N17:N18"/>
  </mergeCells>
  <phoneticPr fontId="6" type="noConversion"/>
  <conditionalFormatting sqref="B2">
    <cfRule type="duplicateValues" dxfId="120" priority="6"/>
    <cfRule type="duplicateValues" dxfId="119" priority="7"/>
  </conditionalFormatting>
  <conditionalFormatting sqref="B30:B38 B49:B57 B59:B67 B17:B28 B4:B15">
    <cfRule type="duplicateValues" dxfId="118" priority="14"/>
  </conditionalFormatting>
  <conditionalFormatting sqref="B40:B47">
    <cfRule type="duplicateValues" dxfId="117" priority="1"/>
  </conditionalFormatting>
  <conditionalFormatting sqref="C2:D2">
    <cfRule type="duplicateValues" dxfId="116" priority="8"/>
    <cfRule type="duplicateValues" dxfId="115" priority="9"/>
  </conditionalFormatting>
  <pageMargins left="0.17" right="0.17" top="0.17" bottom="0.17" header="0.17" footer="0.17"/>
  <pageSetup paperSize="9" scale="1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E728-EC4D-4130-9F69-4F5DB93E4B0B}">
  <sheetPr filterMode="1">
    <tabColor rgb="FF00B050"/>
    <pageSetUpPr fitToPage="1"/>
  </sheetPr>
  <dimension ref="A1:P55"/>
  <sheetViews>
    <sheetView workbookViewId="0">
      <selection activeCell="J4" sqref="J4:J47"/>
    </sheetView>
  </sheetViews>
  <sheetFormatPr defaultColWidth="51.42578125" defaultRowHeight="15" x14ac:dyDescent="0.25"/>
  <cols>
    <col min="1" max="1" width="15.140625" bestFit="1" customWidth="1"/>
    <col min="2" max="2" width="17" bestFit="1" customWidth="1"/>
    <col min="3" max="3" width="14.140625" bestFit="1" customWidth="1"/>
    <col min="4" max="4" width="14.140625" customWidth="1"/>
    <col min="5" max="5" width="32.5703125" bestFit="1" customWidth="1"/>
    <col min="6" max="6" width="12.7109375" bestFit="1" customWidth="1"/>
    <col min="7" max="7" width="9.5703125" customWidth="1"/>
    <col min="8" max="8" width="14.140625" customWidth="1"/>
    <col min="9" max="9" width="4.7109375" bestFit="1" customWidth="1"/>
    <col min="10" max="10" width="7.7109375" customWidth="1"/>
    <col min="11" max="11" width="6.28515625" customWidth="1"/>
    <col min="12" max="12" width="14" customWidth="1"/>
    <col min="13" max="13" width="7.140625" bestFit="1" customWidth="1"/>
    <col min="14" max="14" width="7.85546875" bestFit="1" customWidth="1"/>
    <col min="15" max="15" width="10.7109375" customWidth="1"/>
    <col min="16" max="16" width="45.2851562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55" t="s">
        <v>35</v>
      </c>
      <c r="K1" s="56"/>
      <c r="L1" s="56"/>
      <c r="M1" s="56"/>
      <c r="N1" s="56"/>
      <c r="O1" s="3"/>
      <c r="P1" s="4"/>
    </row>
    <row r="2" spans="1:16" ht="15.75" x14ac:dyDescent="0.25">
      <c r="A2" s="5" t="s">
        <v>36</v>
      </c>
      <c r="B2" s="6">
        <v>46031</v>
      </c>
      <c r="C2" s="7"/>
      <c r="D2" s="7"/>
      <c r="E2" s="2"/>
      <c r="F2" s="8"/>
      <c r="G2" s="2"/>
      <c r="H2" s="2"/>
      <c r="I2" s="2"/>
      <c r="J2" s="2"/>
      <c r="K2" s="2"/>
      <c r="L2" s="57" t="s">
        <v>37</v>
      </c>
      <c r="M2" s="58"/>
      <c r="N2" s="59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406</v>
      </c>
      <c r="B4" s="2" t="s">
        <v>362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46031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359</v>
      </c>
      <c r="P4" s="2" t="s">
        <v>493</v>
      </c>
    </row>
    <row r="5" spans="1:16" hidden="1" x14ac:dyDescent="0.25">
      <c r="A5" s="17" t="s">
        <v>406</v>
      </c>
      <c r="B5" s="2" t="s">
        <v>367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46031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359</v>
      </c>
      <c r="P5" s="2" t="s">
        <v>494</v>
      </c>
    </row>
    <row r="6" spans="1:16" hidden="1" x14ac:dyDescent="0.25">
      <c r="A6" s="17" t="s">
        <v>406</v>
      </c>
      <c r="B6" s="27" t="s">
        <v>372</v>
      </c>
      <c r="C6" s="2" t="s">
        <v>12</v>
      </c>
      <c r="D6" s="2" t="str">
        <f>VLOOKUP($C6,Sheet1!$A$2:$D$10,2,0)</f>
        <v>141185-74670</v>
      </c>
      <c r="E6" s="8" t="s">
        <v>66</v>
      </c>
      <c r="F6" s="12">
        <v>46031</v>
      </c>
      <c r="G6" s="13">
        <v>0.35416666666666669</v>
      </c>
      <c r="H6" s="2" t="s">
        <v>53</v>
      </c>
      <c r="I6" s="2" t="s">
        <v>54</v>
      </c>
      <c r="J6" s="2">
        <v>120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3</v>
      </c>
      <c r="O6" s="2" t="s">
        <v>359</v>
      </c>
      <c r="P6" s="2">
        <v>910104658</v>
      </c>
    </row>
    <row r="7" spans="1:16" hidden="1" x14ac:dyDescent="0.25">
      <c r="A7" s="17" t="s">
        <v>406</v>
      </c>
      <c r="B7" s="27" t="s">
        <v>377</v>
      </c>
      <c r="C7" s="2" t="s">
        <v>16</v>
      </c>
      <c r="D7" s="2" t="str">
        <f>VLOOKUP($C7,Sheet1!$A$2:$D$10,2,0)</f>
        <v>141140-91211</v>
      </c>
      <c r="E7" s="8" t="s">
        <v>70</v>
      </c>
      <c r="F7" s="12">
        <v>46031</v>
      </c>
      <c r="G7" s="13">
        <v>0.35416666666666669</v>
      </c>
      <c r="H7" s="2" t="s">
        <v>71</v>
      </c>
      <c r="I7" s="2" t="s">
        <v>54</v>
      </c>
      <c r="J7" s="2">
        <v>76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38</v>
      </c>
      <c r="N7" s="2"/>
      <c r="O7" s="2" t="s">
        <v>359</v>
      </c>
      <c r="P7" s="2" t="s">
        <v>429</v>
      </c>
    </row>
    <row r="8" spans="1:16" hidden="1" x14ac:dyDescent="0.25">
      <c r="A8" s="17" t="s">
        <v>406</v>
      </c>
      <c r="B8" s="27" t="s">
        <v>382</v>
      </c>
      <c r="C8" s="2" t="s">
        <v>20</v>
      </c>
      <c r="D8" s="2" t="str">
        <f>VLOOKUP($C8,Sheet1!$A$2:$D$10,2,0)</f>
        <v>141150-91211</v>
      </c>
      <c r="E8" s="8" t="s">
        <v>78</v>
      </c>
      <c r="F8" s="12">
        <v>46031</v>
      </c>
      <c r="G8" s="13">
        <v>0.35416666666666669</v>
      </c>
      <c r="H8" s="2" t="s">
        <v>71</v>
      </c>
      <c r="I8" s="2" t="s">
        <v>54</v>
      </c>
      <c r="J8" s="2">
        <v>76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" si="0">J8/K8</f>
        <v>38</v>
      </c>
      <c r="N8" s="2"/>
      <c r="O8" s="2" t="s">
        <v>359</v>
      </c>
      <c r="P8" s="2" t="s">
        <v>429</v>
      </c>
    </row>
    <row r="9" spans="1:16" hidden="1" x14ac:dyDescent="0.25">
      <c r="A9" s="17" t="s">
        <v>406</v>
      </c>
      <c r="B9" s="2" t="s">
        <v>387</v>
      </c>
      <c r="C9" s="27" t="s">
        <v>23</v>
      </c>
      <c r="D9" s="2" t="str">
        <f>VLOOKUP($C9,Sheet1!$A$2:$D$10,2,0)</f>
        <v>141186-74360</v>
      </c>
      <c r="E9" s="8" t="s">
        <v>85</v>
      </c>
      <c r="F9" s="12">
        <v>46031</v>
      </c>
      <c r="G9" s="13">
        <v>0.35416666666666669</v>
      </c>
      <c r="H9" s="2" t="s">
        <v>71</v>
      </c>
      <c r="I9" s="2" t="s">
        <v>54</v>
      </c>
      <c r="J9" s="2">
        <v>120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 t="shared" ref="N9" si="1">J9/K9</f>
        <v>3</v>
      </c>
      <c r="O9" s="2" t="s">
        <v>359</v>
      </c>
      <c r="P9" s="2" t="s">
        <v>495</v>
      </c>
    </row>
    <row r="10" spans="1:16" hidden="1" x14ac:dyDescent="0.25">
      <c r="A10" s="17" t="s">
        <v>407</v>
      </c>
      <c r="B10" s="27" t="s">
        <v>392</v>
      </c>
      <c r="C10" s="2" t="s">
        <v>26</v>
      </c>
      <c r="D10" s="2" t="str">
        <f>VLOOKUP($C10,Sheet1!$A$2:$D$10,2,0)</f>
        <v>116040-92240</v>
      </c>
      <c r="E10" s="8" t="s">
        <v>90</v>
      </c>
      <c r="F10" s="12">
        <v>46031</v>
      </c>
      <c r="G10" s="13">
        <v>0.35416666666666669</v>
      </c>
      <c r="H10" s="2" t="s">
        <v>91</v>
      </c>
      <c r="I10" s="2" t="s">
        <v>54</v>
      </c>
      <c r="J10" s="2">
        <v>72</v>
      </c>
      <c r="K10" s="14">
        <f>VLOOKUP($C10,Sheet1!$A$2:$D$10,4,0)</f>
        <v>6</v>
      </c>
      <c r="L10" s="14" t="str">
        <f>VLOOKUP($C10,Sheet1!$A$2:$E$10,5,0)</f>
        <v>Bin</v>
      </c>
      <c r="M10" s="14">
        <f t="shared" ref="M10:M11" si="2">J10/K10</f>
        <v>12</v>
      </c>
      <c r="N10" s="2"/>
      <c r="O10" s="2" t="s">
        <v>359</v>
      </c>
      <c r="P10" s="2" t="s">
        <v>423</v>
      </c>
    </row>
    <row r="11" spans="1:16" hidden="1" x14ac:dyDescent="0.25">
      <c r="A11" s="17" t="s">
        <v>407</v>
      </c>
      <c r="B11" s="27" t="s">
        <v>397</v>
      </c>
      <c r="C11" s="2" t="s">
        <v>32</v>
      </c>
      <c r="D11" s="2" t="str">
        <f>VLOOKUP($C11,Sheet1!$A$2:$D$10,2,0)</f>
        <v>114010-50820</v>
      </c>
      <c r="E11" s="8" t="s">
        <v>98</v>
      </c>
      <c r="F11" s="12">
        <v>46031</v>
      </c>
      <c r="G11" s="13">
        <v>0.35416666666666669</v>
      </c>
      <c r="H11" s="2" t="s">
        <v>91</v>
      </c>
      <c r="I11" s="2" t="s">
        <v>54</v>
      </c>
      <c r="J11" s="2">
        <v>19</v>
      </c>
      <c r="K11" s="14">
        <f>VLOOKUP($C11,Sheet1!$A$2:$D$10,4,0)</f>
        <v>1</v>
      </c>
      <c r="L11" s="14" t="str">
        <f>VLOOKUP($C11,Sheet1!$A$2:$E$10,5,0)</f>
        <v>Bin</v>
      </c>
      <c r="M11" s="14">
        <f t="shared" si="2"/>
        <v>19</v>
      </c>
      <c r="N11" s="2"/>
      <c r="O11" s="2" t="s">
        <v>359</v>
      </c>
      <c r="P11" s="2" t="s">
        <v>419</v>
      </c>
    </row>
    <row r="12" spans="1:16" hidden="1" x14ac:dyDescent="0.25">
      <c r="A12" s="17" t="s">
        <v>407</v>
      </c>
      <c r="B12" s="27" t="s">
        <v>402</v>
      </c>
      <c r="C12" s="2" t="s">
        <v>29</v>
      </c>
      <c r="D12" s="2" t="str">
        <f>VLOOKUP($C12,Sheet1!$A$2:$D$10,2,0)</f>
        <v>114010-50830</v>
      </c>
      <c r="E12" s="8" t="s">
        <v>98</v>
      </c>
      <c r="F12" s="12">
        <v>46031</v>
      </c>
      <c r="G12" s="13">
        <v>0.35416666666666669</v>
      </c>
      <c r="H12" s="2" t="s">
        <v>91</v>
      </c>
      <c r="I12" s="2" t="s">
        <v>54</v>
      </c>
      <c r="J12" s="2">
        <v>18</v>
      </c>
      <c r="K12" s="14">
        <f>VLOOKUP($C12,Sheet1!$A$2:$D$10,4,0)</f>
        <v>1</v>
      </c>
      <c r="L12" s="14" t="str">
        <f>VLOOKUP($C12,Sheet1!$A$2:$E$10,5,0)</f>
        <v>Bin</v>
      </c>
      <c r="M12" s="14">
        <f>J12/K12</f>
        <v>18</v>
      </c>
      <c r="N12" s="2"/>
      <c r="O12" s="2" t="s">
        <v>359</v>
      </c>
      <c r="P12" s="2" t="s">
        <v>428</v>
      </c>
    </row>
    <row r="13" spans="1:16" s="11" customFormat="1" hidden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v>125</v>
      </c>
      <c r="N13" s="10">
        <v>9</v>
      </c>
      <c r="O13" s="10"/>
      <c r="P13" s="10"/>
    </row>
    <row r="14" spans="1:16" x14ac:dyDescent="0.25">
      <c r="A14" s="17" t="s">
        <v>408</v>
      </c>
      <c r="B14" s="27" t="s">
        <v>363</v>
      </c>
      <c r="C14" s="2" t="s">
        <v>5</v>
      </c>
      <c r="D14" s="2" t="str">
        <f>VLOOKUP($C14,Sheet1!$A$2:$D$10,2,0)</f>
        <v>141110-14600</v>
      </c>
      <c r="E14" s="8" t="s">
        <v>52</v>
      </c>
      <c r="F14" s="12">
        <v>46031</v>
      </c>
      <c r="G14" s="13">
        <v>0.35416666666666669</v>
      </c>
      <c r="H14" s="2" t="s">
        <v>53</v>
      </c>
      <c r="I14" s="2" t="s">
        <v>54</v>
      </c>
      <c r="J14" s="2">
        <v>36</v>
      </c>
      <c r="K14" s="14">
        <f>VLOOKUP($C14,Sheet1!$A$2:$D$10,4,0)</f>
        <v>18</v>
      </c>
      <c r="L14" s="14" t="str">
        <f>VLOOKUP($C14,Sheet1!$A$2:$E$10,5,0)</f>
        <v>Trolley (H)</v>
      </c>
      <c r="M14" s="14"/>
      <c r="N14" s="52">
        <v>2</v>
      </c>
      <c r="O14" s="2" t="s">
        <v>122</v>
      </c>
      <c r="P14" s="2" t="s">
        <v>479</v>
      </c>
    </row>
    <row r="15" spans="1:16" hidden="1" x14ac:dyDescent="0.25">
      <c r="A15" s="17" t="s">
        <v>408</v>
      </c>
      <c r="B15" s="27" t="s">
        <v>368</v>
      </c>
      <c r="C15" s="2" t="s">
        <v>9</v>
      </c>
      <c r="D15" s="2" t="str">
        <f>VLOOKUP($C15,Sheet1!$A$2:$D$10,2,0)</f>
        <v>141120-14600</v>
      </c>
      <c r="E15" s="8" t="s">
        <v>60</v>
      </c>
      <c r="F15" s="12">
        <v>46031</v>
      </c>
      <c r="G15" s="13">
        <v>0.35416666666666669</v>
      </c>
      <c r="H15" s="2" t="s">
        <v>53</v>
      </c>
      <c r="I15" s="2" t="s">
        <v>54</v>
      </c>
      <c r="J15" s="2">
        <v>36</v>
      </c>
      <c r="K15" s="14">
        <f>VLOOKUP($C15,Sheet1!$A$2:$D$10,4,0)</f>
        <v>18</v>
      </c>
      <c r="L15" s="14" t="str">
        <f>VLOOKUP($C15,Sheet1!$A$2:$E$10,5,0)</f>
        <v>Trolley (H)</v>
      </c>
      <c r="M15" s="14"/>
      <c r="N15" s="53"/>
      <c r="O15" s="2" t="s">
        <v>122</v>
      </c>
      <c r="P15" s="2" t="s">
        <v>479</v>
      </c>
    </row>
    <row r="16" spans="1:16" x14ac:dyDescent="0.25">
      <c r="A16" s="17" t="s">
        <v>408</v>
      </c>
      <c r="B16" s="2" t="s">
        <v>362</v>
      </c>
      <c r="C16" s="27" t="s">
        <v>5</v>
      </c>
      <c r="D16" s="2" t="str">
        <f>VLOOKUP($C16,Sheet1!$A$2:$D$10,2,0)</f>
        <v>141110-14600</v>
      </c>
      <c r="E16" s="8" t="s">
        <v>52</v>
      </c>
      <c r="F16" s="12">
        <v>46031</v>
      </c>
      <c r="G16" s="13">
        <v>0.35416666666666669</v>
      </c>
      <c r="H16" s="2" t="s">
        <v>53</v>
      </c>
      <c r="I16" s="2" t="s">
        <v>54</v>
      </c>
      <c r="J16" s="2">
        <v>18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2">
        <v>1</v>
      </c>
      <c r="O16" s="2" t="s">
        <v>122</v>
      </c>
      <c r="P16" s="2" t="s">
        <v>479</v>
      </c>
    </row>
    <row r="17" spans="1:16" hidden="1" x14ac:dyDescent="0.25">
      <c r="A17" s="17" t="s">
        <v>408</v>
      </c>
      <c r="B17" s="2" t="s">
        <v>367</v>
      </c>
      <c r="C17" s="27" t="s">
        <v>9</v>
      </c>
      <c r="D17" s="2" t="str">
        <f>VLOOKUP($C17,Sheet1!$A$2:$D$10,2,0)</f>
        <v>141120-14600</v>
      </c>
      <c r="E17" s="8" t="s">
        <v>60</v>
      </c>
      <c r="F17" s="12">
        <v>46031</v>
      </c>
      <c r="G17" s="13">
        <v>0.35416666666666669</v>
      </c>
      <c r="H17" s="2" t="s">
        <v>53</v>
      </c>
      <c r="I17" s="2" t="s">
        <v>54</v>
      </c>
      <c r="J17" s="2">
        <v>18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3"/>
      <c r="O17" s="2" t="s">
        <v>122</v>
      </c>
      <c r="P17" s="2" t="s">
        <v>479</v>
      </c>
    </row>
    <row r="18" spans="1:16" hidden="1" x14ac:dyDescent="0.25">
      <c r="A18" s="17" t="s">
        <v>408</v>
      </c>
      <c r="B18" s="27" t="s">
        <v>373</v>
      </c>
      <c r="C18" s="2" t="s">
        <v>12</v>
      </c>
      <c r="D18" s="2" t="str">
        <f>VLOOKUP($C18,Sheet1!$A$2:$D$10,2,0)</f>
        <v>141185-74670</v>
      </c>
      <c r="E18" s="8" t="s">
        <v>66</v>
      </c>
      <c r="F18" s="12">
        <v>46031</v>
      </c>
      <c r="G18" s="13">
        <v>0.35416666666666669</v>
      </c>
      <c r="H18" s="2" t="s">
        <v>53</v>
      </c>
      <c r="I18" s="2" t="s">
        <v>54</v>
      </c>
      <c r="J18" s="2">
        <v>80</v>
      </c>
      <c r="K18" s="14">
        <f>VLOOKUP($C18,Sheet1!$A$2:$D$10,4,0)</f>
        <v>40</v>
      </c>
      <c r="L18" s="14" t="str">
        <f>VLOOKUP($C18,Sheet1!$A$2:$E$10,5,0)</f>
        <v>Trolley</v>
      </c>
      <c r="M18" s="14"/>
      <c r="N18" s="2">
        <f>J18/K18</f>
        <v>2</v>
      </c>
      <c r="O18" s="2" t="s">
        <v>122</v>
      </c>
      <c r="P18" s="2" t="s">
        <v>496</v>
      </c>
    </row>
    <row r="19" spans="1:16" hidden="1" x14ac:dyDescent="0.25">
      <c r="A19" s="17" t="s">
        <v>408</v>
      </c>
      <c r="B19" s="27" t="s">
        <v>378</v>
      </c>
      <c r="C19" s="2" t="s">
        <v>16</v>
      </c>
      <c r="D19" s="2" t="str">
        <f>VLOOKUP($C19,Sheet1!$A$2:$D$10,2,0)</f>
        <v>141140-91211</v>
      </c>
      <c r="E19" s="8" t="s">
        <v>70</v>
      </c>
      <c r="F19" s="12">
        <v>46031</v>
      </c>
      <c r="G19" s="13">
        <v>0.35416666666666669</v>
      </c>
      <c r="H19" s="2" t="s">
        <v>71</v>
      </c>
      <c r="I19" s="2" t="s">
        <v>54</v>
      </c>
      <c r="J19" s="2">
        <v>30</v>
      </c>
      <c r="K19" s="14">
        <f>VLOOKUP($C19,Sheet1!$A$2:$D$10,4,0)</f>
        <v>2</v>
      </c>
      <c r="L19" s="14" t="str">
        <f>VLOOKUP($C19,Sheet1!$A$2:$E$10,5,0)</f>
        <v>Bin</v>
      </c>
      <c r="M19" s="14">
        <f>J19/K19</f>
        <v>15</v>
      </c>
      <c r="N19" s="2"/>
      <c r="O19" s="2" t="s">
        <v>122</v>
      </c>
      <c r="P19" s="2" t="s">
        <v>429</v>
      </c>
    </row>
    <row r="20" spans="1:16" hidden="1" x14ac:dyDescent="0.25">
      <c r="A20" s="17" t="s">
        <v>408</v>
      </c>
      <c r="B20" s="27" t="s">
        <v>383</v>
      </c>
      <c r="C20" s="2" t="s">
        <v>20</v>
      </c>
      <c r="D20" s="2" t="str">
        <f>VLOOKUP($C20,Sheet1!$A$2:$D$10,2,0)</f>
        <v>141150-91211</v>
      </c>
      <c r="E20" s="8" t="s">
        <v>78</v>
      </c>
      <c r="F20" s="12">
        <v>46031</v>
      </c>
      <c r="G20" s="13">
        <v>0.35416666666666669</v>
      </c>
      <c r="H20" s="2" t="s">
        <v>71</v>
      </c>
      <c r="I20" s="2" t="s">
        <v>54</v>
      </c>
      <c r="J20" s="2">
        <v>30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15</v>
      </c>
      <c r="N20" s="2"/>
      <c r="O20" s="2" t="s">
        <v>122</v>
      </c>
      <c r="P20" s="2" t="s">
        <v>429</v>
      </c>
    </row>
    <row r="21" spans="1:16" hidden="1" x14ac:dyDescent="0.25">
      <c r="A21" s="17" t="s">
        <v>408</v>
      </c>
      <c r="B21" s="27" t="s">
        <v>388</v>
      </c>
      <c r="C21" s="2" t="s">
        <v>23</v>
      </c>
      <c r="D21" s="2" t="str">
        <f>VLOOKUP($C21,Sheet1!$A$2:$D$10,2,0)</f>
        <v>141186-74360</v>
      </c>
      <c r="E21" s="8" t="s">
        <v>85</v>
      </c>
      <c r="F21" s="12">
        <v>46031</v>
      </c>
      <c r="G21" s="13">
        <v>0.35416666666666669</v>
      </c>
      <c r="H21" s="2" t="s">
        <v>71</v>
      </c>
      <c r="I21" s="2" t="s">
        <v>54</v>
      </c>
      <c r="J21" s="2">
        <v>80</v>
      </c>
      <c r="K21" s="14">
        <f>VLOOKUP($C21,Sheet1!$A$2:$D$10,4,0)</f>
        <v>40</v>
      </c>
      <c r="L21" s="14" t="str">
        <f>VLOOKUP($C21,Sheet1!$A$2:$E$10,5,0)</f>
        <v>Trolley</v>
      </c>
      <c r="M21" s="14"/>
      <c r="N21" s="2">
        <f>J21/K21</f>
        <v>2</v>
      </c>
      <c r="O21" s="2" t="s">
        <v>122</v>
      </c>
      <c r="P21" s="2">
        <v>910104658</v>
      </c>
    </row>
    <row r="22" spans="1:16" hidden="1" x14ac:dyDescent="0.25">
      <c r="A22" s="17" t="s">
        <v>408</v>
      </c>
      <c r="B22" s="2" t="s">
        <v>387</v>
      </c>
      <c r="C22" s="27" t="s">
        <v>23</v>
      </c>
      <c r="D22" s="2" t="str">
        <f>VLOOKUP($C22,Sheet1!$A$2:$D$10,2,0)</f>
        <v>141186-74360</v>
      </c>
      <c r="E22" s="8" t="s">
        <v>85</v>
      </c>
      <c r="F22" s="12">
        <v>46031</v>
      </c>
      <c r="G22" s="13">
        <v>0.35416666666666669</v>
      </c>
      <c r="H22" s="2" t="s">
        <v>71</v>
      </c>
      <c r="I22" s="2" t="s">
        <v>54</v>
      </c>
      <c r="J22" s="2">
        <v>40</v>
      </c>
      <c r="K22" s="14">
        <f>VLOOKUP($C22,Sheet1!$A$2:$D$10,4,0)</f>
        <v>40</v>
      </c>
      <c r="L22" s="14" t="str">
        <f>VLOOKUP($C22,Sheet1!$A$2:$E$10,5,0)</f>
        <v>Trolley</v>
      </c>
      <c r="M22" s="14"/>
      <c r="N22" s="2">
        <f t="shared" ref="N22" si="3">J22/K22</f>
        <v>1</v>
      </c>
      <c r="O22" s="2" t="s">
        <v>122</v>
      </c>
      <c r="P22" s="2">
        <v>910104658</v>
      </c>
    </row>
    <row r="23" spans="1:16" hidden="1" x14ac:dyDescent="0.25">
      <c r="A23" s="17" t="s">
        <v>409</v>
      </c>
      <c r="B23" s="27" t="s">
        <v>393</v>
      </c>
      <c r="C23" s="2" t="s">
        <v>26</v>
      </c>
      <c r="D23" s="2" t="str">
        <f>VLOOKUP($C23,Sheet1!$A$2:$D$10,2,0)</f>
        <v>116040-92240</v>
      </c>
      <c r="E23" s="8" t="s">
        <v>90</v>
      </c>
      <c r="F23" s="12">
        <v>46031</v>
      </c>
      <c r="G23" s="13">
        <v>0.35416666666666669</v>
      </c>
      <c r="H23" s="2" t="s">
        <v>91</v>
      </c>
      <c r="I23" s="2" t="s">
        <v>54</v>
      </c>
      <c r="J23" s="2">
        <v>36</v>
      </c>
      <c r="K23" s="14">
        <f>VLOOKUP($C23,Sheet1!$A$2:$D$10,4,0)</f>
        <v>6</v>
      </c>
      <c r="L23" s="14" t="str">
        <f>VLOOKUP($C23,Sheet1!$A$2:$E$10,5,0)</f>
        <v>Bin</v>
      </c>
      <c r="M23" s="14">
        <f>J23/K23</f>
        <v>6</v>
      </c>
      <c r="N23" s="2"/>
      <c r="O23" s="2" t="s">
        <v>122</v>
      </c>
      <c r="P23" s="2" t="s">
        <v>423</v>
      </c>
    </row>
    <row r="24" spans="1:16" hidden="1" x14ac:dyDescent="0.25">
      <c r="A24" s="17" t="s">
        <v>409</v>
      </c>
      <c r="B24" s="27" t="s">
        <v>398</v>
      </c>
      <c r="C24" s="2" t="s">
        <v>32</v>
      </c>
      <c r="D24" s="2" t="str">
        <f>VLOOKUP($C24,Sheet1!$A$2:$D$10,2,0)</f>
        <v>114010-50820</v>
      </c>
      <c r="E24" s="8" t="s">
        <v>98</v>
      </c>
      <c r="F24" s="12">
        <v>46031</v>
      </c>
      <c r="G24" s="13">
        <v>0.35416666666666669</v>
      </c>
      <c r="H24" s="2" t="s">
        <v>91</v>
      </c>
      <c r="I24" s="2" t="s">
        <v>54</v>
      </c>
      <c r="J24" s="2">
        <v>13</v>
      </c>
      <c r="K24" s="14">
        <f>VLOOKUP($C24,Sheet1!$A$2:$D$10,4,0)</f>
        <v>1</v>
      </c>
      <c r="L24" s="14" t="str">
        <f>VLOOKUP($C24,Sheet1!$A$2:$E$10,5,0)</f>
        <v>Bin</v>
      </c>
      <c r="M24" s="14">
        <f>J24/K24</f>
        <v>13</v>
      </c>
      <c r="N24" s="2"/>
      <c r="O24" s="2" t="s">
        <v>122</v>
      </c>
      <c r="P24" s="2" t="s">
        <v>497</v>
      </c>
    </row>
    <row r="25" spans="1:16" hidden="1" x14ac:dyDescent="0.25">
      <c r="A25" s="17" t="s">
        <v>409</v>
      </c>
      <c r="B25" s="27" t="s">
        <v>401</v>
      </c>
      <c r="C25" s="2" t="s">
        <v>29</v>
      </c>
      <c r="D25" s="2" t="str">
        <f>VLOOKUP($C25,Sheet1!$A$2:$D$10,2,0)</f>
        <v>114010-50830</v>
      </c>
      <c r="E25" s="8" t="s">
        <v>98</v>
      </c>
      <c r="F25" s="12">
        <v>46031</v>
      </c>
      <c r="G25" s="13">
        <v>0.35416666666666669</v>
      </c>
      <c r="H25" s="2" t="s">
        <v>91</v>
      </c>
      <c r="I25" s="2" t="s">
        <v>54</v>
      </c>
      <c r="J25" s="2">
        <v>51</v>
      </c>
      <c r="K25" s="14">
        <f>VLOOKUP($C25,Sheet1!$A$2:$D$10,4,0)</f>
        <v>1</v>
      </c>
      <c r="L25" s="14" t="str">
        <f>VLOOKUP($C25,Sheet1!$A$2:$E$10,5,0)</f>
        <v>Bin</v>
      </c>
      <c r="M25" s="14">
        <f>J25/K25</f>
        <v>51</v>
      </c>
      <c r="N25" s="2"/>
      <c r="O25" s="2" t="s">
        <v>122</v>
      </c>
      <c r="P25" s="2" t="s">
        <v>428</v>
      </c>
    </row>
    <row r="26" spans="1:16" s="11" customFormat="1" hidden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>
        <v>100</v>
      </c>
      <c r="N26" s="10">
        <v>8</v>
      </c>
      <c r="O26" s="10"/>
      <c r="P26" s="10"/>
    </row>
    <row r="27" spans="1:16" x14ac:dyDescent="0.25">
      <c r="A27" s="17" t="s">
        <v>410</v>
      </c>
      <c r="B27" s="27" t="s">
        <v>364</v>
      </c>
      <c r="C27" s="2" t="s">
        <v>5</v>
      </c>
      <c r="D27" s="2" t="str">
        <f>VLOOKUP($C27,Sheet1!$A$2:$D$10,2,0)</f>
        <v>141110-14600</v>
      </c>
      <c r="E27" s="8" t="s">
        <v>52</v>
      </c>
      <c r="F27" s="12">
        <v>46031</v>
      </c>
      <c r="G27" s="13">
        <v>0.5625</v>
      </c>
      <c r="H27" s="2" t="s">
        <v>53</v>
      </c>
      <c r="I27" s="2" t="s">
        <v>54</v>
      </c>
      <c r="J27" s="2">
        <v>36</v>
      </c>
      <c r="K27" s="14">
        <f>VLOOKUP($C27,Sheet1!$A$2:$D$10,4,0)</f>
        <v>18</v>
      </c>
      <c r="L27" s="14" t="str">
        <f>VLOOKUP($C27,Sheet1!$A$2:$E$10,5,0)</f>
        <v>Trolley (H)</v>
      </c>
      <c r="M27" s="14"/>
      <c r="N27" s="52">
        <v>2</v>
      </c>
      <c r="O27" s="2" t="s">
        <v>119</v>
      </c>
      <c r="P27" s="2" t="s">
        <v>479</v>
      </c>
    </row>
    <row r="28" spans="1:16" hidden="1" x14ac:dyDescent="0.25">
      <c r="A28" s="17" t="s">
        <v>410</v>
      </c>
      <c r="B28" s="27" t="s">
        <v>369</v>
      </c>
      <c r="C28" s="2" t="s">
        <v>9</v>
      </c>
      <c r="D28" s="2" t="str">
        <f>VLOOKUP($C28,Sheet1!$A$2:$D$10,2,0)</f>
        <v>141120-14600</v>
      </c>
      <c r="E28" s="8" t="s">
        <v>60</v>
      </c>
      <c r="F28" s="12">
        <v>46031</v>
      </c>
      <c r="G28" s="13">
        <v>0.5625</v>
      </c>
      <c r="H28" s="2" t="s">
        <v>53</v>
      </c>
      <c r="I28" s="2" t="s">
        <v>54</v>
      </c>
      <c r="J28" s="2">
        <v>36</v>
      </c>
      <c r="K28" s="14">
        <f>VLOOKUP($C28,Sheet1!$A$2:$D$10,4,0)</f>
        <v>18</v>
      </c>
      <c r="L28" s="14" t="str">
        <f>VLOOKUP($C28,Sheet1!$A$2:$E$10,5,0)</f>
        <v>Trolley (H)</v>
      </c>
      <c r="M28" s="14"/>
      <c r="N28" s="53"/>
      <c r="O28" s="2" t="s">
        <v>119</v>
      </c>
      <c r="P28" s="2" t="s">
        <v>479</v>
      </c>
    </row>
    <row r="29" spans="1:16" hidden="1" x14ac:dyDescent="0.25">
      <c r="A29" s="17" t="s">
        <v>410</v>
      </c>
      <c r="B29" s="27" t="s">
        <v>374</v>
      </c>
      <c r="C29" s="2" t="s">
        <v>12</v>
      </c>
      <c r="D29" s="2" t="str">
        <f>VLOOKUP($C29,Sheet1!$A$2:$D$10,2,0)</f>
        <v>141185-74670</v>
      </c>
      <c r="E29" s="8" t="s">
        <v>66</v>
      </c>
      <c r="F29" s="12">
        <v>46031</v>
      </c>
      <c r="G29" s="13">
        <v>0.5625</v>
      </c>
      <c r="H29" s="2" t="s">
        <v>53</v>
      </c>
      <c r="I29" s="2" t="s">
        <v>54</v>
      </c>
      <c r="J29" s="2">
        <v>120</v>
      </c>
      <c r="K29" s="14">
        <f>VLOOKUP($C29,Sheet1!$A$2:$D$10,4,0)</f>
        <v>40</v>
      </c>
      <c r="L29" s="14" t="str">
        <f>VLOOKUP($C29,Sheet1!$A$2:$E$10,5,0)</f>
        <v>Trolley</v>
      </c>
      <c r="M29" s="14"/>
      <c r="N29" s="2">
        <f>J29/K29</f>
        <v>3</v>
      </c>
      <c r="O29" s="2" t="s">
        <v>119</v>
      </c>
      <c r="P29" s="2">
        <v>910104677</v>
      </c>
    </row>
    <row r="30" spans="1:16" hidden="1" x14ac:dyDescent="0.25">
      <c r="A30" s="17" t="s">
        <v>410</v>
      </c>
      <c r="B30" s="27" t="s">
        <v>379</v>
      </c>
      <c r="C30" s="2" t="s">
        <v>16</v>
      </c>
      <c r="D30" s="2" t="str">
        <f>VLOOKUP($C30,Sheet1!$A$2:$D$10,2,0)</f>
        <v>141140-91211</v>
      </c>
      <c r="E30" s="8" t="s">
        <v>70</v>
      </c>
      <c r="F30" s="12">
        <v>46031</v>
      </c>
      <c r="G30" s="13">
        <v>0.5625</v>
      </c>
      <c r="H30" s="2" t="s">
        <v>71</v>
      </c>
      <c r="I30" s="2" t="s">
        <v>54</v>
      </c>
      <c r="J30" s="2">
        <v>48</v>
      </c>
      <c r="K30" s="14">
        <f>VLOOKUP($C30,Sheet1!$A$2:$D$10,4,0)</f>
        <v>2</v>
      </c>
      <c r="L30" s="14" t="str">
        <f>VLOOKUP($C30,Sheet1!$A$2:$E$10,5,0)</f>
        <v>Bin</v>
      </c>
      <c r="M30" s="14">
        <f t="shared" ref="M30:M31" si="4">J30/K30</f>
        <v>24</v>
      </c>
      <c r="N30" s="2"/>
      <c r="O30" s="2" t="s">
        <v>119</v>
      </c>
      <c r="P30" s="2" t="s">
        <v>429</v>
      </c>
    </row>
    <row r="31" spans="1:16" hidden="1" x14ac:dyDescent="0.25">
      <c r="A31" s="17" t="s">
        <v>410</v>
      </c>
      <c r="B31" s="27" t="s">
        <v>384</v>
      </c>
      <c r="C31" s="2" t="s">
        <v>20</v>
      </c>
      <c r="D31" s="2" t="str">
        <f>VLOOKUP($C31,Sheet1!$A$2:$D$10,2,0)</f>
        <v>141150-91211</v>
      </c>
      <c r="E31" s="8" t="s">
        <v>78</v>
      </c>
      <c r="F31" s="12">
        <v>46031</v>
      </c>
      <c r="G31" s="13">
        <v>0.5625</v>
      </c>
      <c r="H31" s="2" t="s">
        <v>71</v>
      </c>
      <c r="I31" s="2" t="s">
        <v>54</v>
      </c>
      <c r="J31" s="2">
        <v>48</v>
      </c>
      <c r="K31" s="14">
        <f>VLOOKUP($C31,Sheet1!$A$2:$D$10,4,0)</f>
        <v>2</v>
      </c>
      <c r="L31" s="14" t="str">
        <f>VLOOKUP($C31,Sheet1!$A$2:$E$10,5,0)</f>
        <v>Bin</v>
      </c>
      <c r="M31" s="14">
        <f t="shared" si="4"/>
        <v>24</v>
      </c>
      <c r="N31" s="2"/>
      <c r="O31" s="2" t="s">
        <v>119</v>
      </c>
      <c r="P31" s="2" t="s">
        <v>429</v>
      </c>
    </row>
    <row r="32" spans="1:16" hidden="1" x14ac:dyDescent="0.25">
      <c r="A32" s="17" t="s">
        <v>410</v>
      </c>
      <c r="B32" s="27" t="s">
        <v>389</v>
      </c>
      <c r="C32" s="2" t="s">
        <v>23</v>
      </c>
      <c r="D32" s="2" t="str">
        <f>VLOOKUP($C32,Sheet1!$A$2:$D$10,2,0)</f>
        <v>141186-74360</v>
      </c>
      <c r="E32" s="8" t="s">
        <v>85</v>
      </c>
      <c r="F32" s="12">
        <v>46031</v>
      </c>
      <c r="G32" s="13">
        <v>0.5625</v>
      </c>
      <c r="H32" s="2" t="s">
        <v>71</v>
      </c>
      <c r="I32" s="2" t="s">
        <v>54</v>
      </c>
      <c r="J32" s="2">
        <v>120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>J32/K32</f>
        <v>3</v>
      </c>
      <c r="O32" s="2" t="s">
        <v>119</v>
      </c>
      <c r="P32" s="2">
        <v>910104677</v>
      </c>
    </row>
    <row r="33" spans="1:16" hidden="1" x14ac:dyDescent="0.25">
      <c r="A33" s="17" t="s">
        <v>411</v>
      </c>
      <c r="B33" s="27" t="s">
        <v>394</v>
      </c>
      <c r="C33" s="2" t="s">
        <v>26</v>
      </c>
      <c r="D33" s="2" t="str">
        <f>VLOOKUP($C33,Sheet1!$A$2:$D$10,2,0)</f>
        <v>116040-92240</v>
      </c>
      <c r="E33" s="8" t="s">
        <v>90</v>
      </c>
      <c r="F33" s="12">
        <v>46031</v>
      </c>
      <c r="G33" s="13">
        <v>0.5625</v>
      </c>
      <c r="H33" s="2" t="s">
        <v>91</v>
      </c>
      <c r="I33" s="2" t="s">
        <v>54</v>
      </c>
      <c r="J33" s="2">
        <v>48</v>
      </c>
      <c r="K33" s="14">
        <f>VLOOKUP($C33,Sheet1!$A$2:$D$10,4,0)</f>
        <v>6</v>
      </c>
      <c r="L33" s="14" t="str">
        <f>VLOOKUP($C33,Sheet1!$A$2:$E$10,5,0)</f>
        <v>Bin</v>
      </c>
      <c r="M33" s="14">
        <f t="shared" ref="M33:M35" si="5">J33/K33</f>
        <v>8</v>
      </c>
      <c r="N33" s="2"/>
      <c r="O33" s="2" t="s">
        <v>119</v>
      </c>
      <c r="P33" s="2" t="s">
        <v>423</v>
      </c>
    </row>
    <row r="34" spans="1:16" hidden="1" x14ac:dyDescent="0.25">
      <c r="A34" s="17" t="s">
        <v>411</v>
      </c>
      <c r="B34" s="27" t="s">
        <v>399</v>
      </c>
      <c r="C34" s="2" t="s">
        <v>32</v>
      </c>
      <c r="D34" s="2" t="str">
        <f>VLOOKUP($C34,Sheet1!$A$2:$D$10,2,0)</f>
        <v>114010-50820</v>
      </c>
      <c r="E34" s="8" t="s">
        <v>98</v>
      </c>
      <c r="F34" s="12">
        <v>46031</v>
      </c>
      <c r="G34" s="13">
        <v>0.5625</v>
      </c>
      <c r="H34" s="2" t="s">
        <v>91</v>
      </c>
      <c r="I34" s="2" t="s">
        <v>54</v>
      </c>
      <c r="J34" s="2">
        <v>13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si="5"/>
        <v>13</v>
      </c>
      <c r="N34" s="2"/>
      <c r="O34" s="2" t="s">
        <v>119</v>
      </c>
      <c r="P34" s="2" t="s">
        <v>429</v>
      </c>
    </row>
    <row r="35" spans="1:16" hidden="1" x14ac:dyDescent="0.25">
      <c r="A35" s="17" t="s">
        <v>411</v>
      </c>
      <c r="B35" s="27" t="s">
        <v>403</v>
      </c>
      <c r="C35" s="2" t="s">
        <v>29</v>
      </c>
      <c r="D35" s="2" t="str">
        <f>VLOOKUP($C35,Sheet1!$A$2:$D$10,2,0)</f>
        <v>114010-50830</v>
      </c>
      <c r="E35" s="8" t="s">
        <v>98</v>
      </c>
      <c r="F35" s="12">
        <v>46031</v>
      </c>
      <c r="G35" s="13">
        <v>0.5625</v>
      </c>
      <c r="H35" s="2" t="s">
        <v>91</v>
      </c>
      <c r="I35" s="2" t="s">
        <v>54</v>
      </c>
      <c r="J35" s="2">
        <v>36</v>
      </c>
      <c r="K35" s="14">
        <f>VLOOKUP($C35,Sheet1!$A$2:$D$10,4,0)</f>
        <v>1</v>
      </c>
      <c r="L35" s="14" t="str">
        <f>VLOOKUP($C35,Sheet1!$A$2:$E$10,5,0)</f>
        <v>Bin</v>
      </c>
      <c r="M35" s="14">
        <f t="shared" si="5"/>
        <v>36</v>
      </c>
      <c r="N35" s="2"/>
      <c r="O35" s="2" t="s">
        <v>119</v>
      </c>
      <c r="P35" s="2" t="s">
        <v>428</v>
      </c>
    </row>
    <row r="36" spans="1:16" s="11" customFormat="1" hidden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>
        <v>105</v>
      </c>
      <c r="N36" s="10">
        <v>8</v>
      </c>
      <c r="O36" s="10"/>
      <c r="P36" s="10"/>
    </row>
    <row r="37" spans="1:16" x14ac:dyDescent="0.25">
      <c r="A37" s="17" t="s">
        <v>412</v>
      </c>
      <c r="B37" s="27" t="s">
        <v>365</v>
      </c>
      <c r="C37" s="2" t="s">
        <v>5</v>
      </c>
      <c r="D37" s="2" t="str">
        <f>VLOOKUP($C37,Sheet1!$A$2:$D$10,2,0)</f>
        <v>141110-14600</v>
      </c>
      <c r="E37" s="8" t="s">
        <v>52</v>
      </c>
      <c r="F37" s="12">
        <v>46031</v>
      </c>
      <c r="G37" s="13">
        <v>0.77083333333333337</v>
      </c>
      <c r="H37" s="2" t="s">
        <v>53</v>
      </c>
      <c r="I37" s="2" t="s">
        <v>54</v>
      </c>
      <c r="J37" s="2">
        <v>54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2">
        <v>3</v>
      </c>
      <c r="O37" s="2" t="s">
        <v>121</v>
      </c>
      <c r="P37" s="2" t="s">
        <v>479</v>
      </c>
    </row>
    <row r="38" spans="1:16" hidden="1" x14ac:dyDescent="0.25">
      <c r="A38" s="17" t="s">
        <v>412</v>
      </c>
      <c r="B38" s="27" t="s">
        <v>370</v>
      </c>
      <c r="C38" s="2" t="s">
        <v>9</v>
      </c>
      <c r="D38" s="2" t="str">
        <f>VLOOKUP($C38,Sheet1!$A$2:$D$10,2,0)</f>
        <v>141120-14600</v>
      </c>
      <c r="E38" s="8" t="s">
        <v>60</v>
      </c>
      <c r="F38" s="12">
        <v>46031</v>
      </c>
      <c r="G38" s="13">
        <v>0.77083333333333337</v>
      </c>
      <c r="H38" s="2" t="s">
        <v>53</v>
      </c>
      <c r="I38" s="2" t="s">
        <v>54</v>
      </c>
      <c r="J38" s="2">
        <v>54</v>
      </c>
      <c r="K38" s="14">
        <f>VLOOKUP($C38,Sheet1!$A$2:$D$10,4,0)</f>
        <v>18</v>
      </c>
      <c r="L38" s="14" t="str">
        <f>VLOOKUP($C38,Sheet1!$A$2:$E$10,5,0)</f>
        <v>Trolley (H)</v>
      </c>
      <c r="M38" s="14"/>
      <c r="N38" s="53"/>
      <c r="O38" s="2" t="s">
        <v>121</v>
      </c>
      <c r="P38" s="2" t="s">
        <v>479</v>
      </c>
    </row>
    <row r="39" spans="1:16" hidden="1" x14ac:dyDescent="0.25">
      <c r="A39" s="17" t="s">
        <v>412</v>
      </c>
      <c r="B39" s="27" t="s">
        <v>375</v>
      </c>
      <c r="C39" s="2" t="s">
        <v>12</v>
      </c>
      <c r="D39" s="2" t="str">
        <f>VLOOKUP($C39,Sheet1!$A$2:$D$10,2,0)</f>
        <v>141185-74670</v>
      </c>
      <c r="E39" s="8" t="s">
        <v>66</v>
      </c>
      <c r="F39" s="12">
        <v>46031</v>
      </c>
      <c r="G39" s="13">
        <v>0.77083333333333337</v>
      </c>
      <c r="H39" s="2" t="s">
        <v>53</v>
      </c>
      <c r="I39" s="2" t="s">
        <v>54</v>
      </c>
      <c r="J39" s="2">
        <v>80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>J39/K39</f>
        <v>2</v>
      </c>
      <c r="O39" s="2" t="s">
        <v>121</v>
      </c>
      <c r="P39" s="2">
        <v>910104677</v>
      </c>
    </row>
    <row r="40" spans="1:16" hidden="1" x14ac:dyDescent="0.25">
      <c r="A40" s="17" t="s">
        <v>412</v>
      </c>
      <c r="B40" s="27" t="s">
        <v>380</v>
      </c>
      <c r="C40" s="2" t="s">
        <v>16</v>
      </c>
      <c r="D40" s="2" t="str">
        <f>VLOOKUP($C40,Sheet1!$A$2:$D$10,2,0)</f>
        <v>141140-91211</v>
      </c>
      <c r="E40" s="8" t="s">
        <v>70</v>
      </c>
      <c r="F40" s="12">
        <v>46031</v>
      </c>
      <c r="G40" s="13">
        <v>0.77083333333333337</v>
      </c>
      <c r="H40" s="2" t="s">
        <v>71</v>
      </c>
      <c r="I40" s="2" t="s">
        <v>54</v>
      </c>
      <c r="J40" s="2">
        <v>40</v>
      </c>
      <c r="K40" s="14">
        <f>VLOOKUP($C40,Sheet1!$A$2:$D$10,4,0)</f>
        <v>2</v>
      </c>
      <c r="L40" s="14" t="str">
        <f>VLOOKUP($C40,Sheet1!$A$2:$E$10,5,0)</f>
        <v>Bin</v>
      </c>
      <c r="M40" s="14">
        <f t="shared" ref="M40:M41" si="6">J40/K40</f>
        <v>20</v>
      </c>
      <c r="N40" s="2"/>
      <c r="O40" s="2" t="s">
        <v>121</v>
      </c>
      <c r="P40" s="2" t="s">
        <v>429</v>
      </c>
    </row>
    <row r="41" spans="1:16" hidden="1" x14ac:dyDescent="0.25">
      <c r="A41" s="17" t="s">
        <v>412</v>
      </c>
      <c r="B41" s="27" t="s">
        <v>385</v>
      </c>
      <c r="C41" s="2" t="s">
        <v>20</v>
      </c>
      <c r="D41" s="2" t="str">
        <f>VLOOKUP($C41,Sheet1!$A$2:$D$10,2,0)</f>
        <v>141150-91211</v>
      </c>
      <c r="E41" s="8" t="s">
        <v>78</v>
      </c>
      <c r="F41" s="12">
        <v>46031</v>
      </c>
      <c r="G41" s="13">
        <v>0.77083333333333337</v>
      </c>
      <c r="H41" s="2" t="s">
        <v>71</v>
      </c>
      <c r="I41" s="2" t="s">
        <v>54</v>
      </c>
      <c r="J41" s="2">
        <v>40</v>
      </c>
      <c r="K41" s="14">
        <f>VLOOKUP($C41,Sheet1!$A$2:$D$10,4,0)</f>
        <v>2</v>
      </c>
      <c r="L41" s="14" t="str">
        <f>VLOOKUP($C41,Sheet1!$A$2:$E$10,5,0)</f>
        <v>Bin</v>
      </c>
      <c r="M41" s="14">
        <f t="shared" si="6"/>
        <v>20</v>
      </c>
      <c r="N41" s="2"/>
      <c r="O41" s="2" t="s">
        <v>121</v>
      </c>
      <c r="P41" s="2" t="s">
        <v>429</v>
      </c>
    </row>
    <row r="42" spans="1:16" hidden="1" x14ac:dyDescent="0.25">
      <c r="A42" s="17" t="s">
        <v>412</v>
      </c>
      <c r="B42" s="27" t="s">
        <v>390</v>
      </c>
      <c r="C42" s="2" t="s">
        <v>23</v>
      </c>
      <c r="D42" s="2" t="str">
        <f>VLOOKUP($C42,Sheet1!$A$2:$D$10,2,0)</f>
        <v>141186-74360</v>
      </c>
      <c r="E42" s="8" t="s">
        <v>85</v>
      </c>
      <c r="F42" s="12">
        <v>46031</v>
      </c>
      <c r="G42" s="13">
        <v>0.77083333333333337</v>
      </c>
      <c r="H42" s="2" t="s">
        <v>71</v>
      </c>
      <c r="I42" s="2" t="s">
        <v>54</v>
      </c>
      <c r="J42" s="2">
        <v>80</v>
      </c>
      <c r="K42" s="14">
        <f>VLOOKUP($C42,Sheet1!$A$2:$D$10,4,0)</f>
        <v>40</v>
      </c>
      <c r="L42" s="14" t="str">
        <f>VLOOKUP($C42,Sheet1!$A$2:$E$10,5,0)</f>
        <v>Trolley</v>
      </c>
      <c r="M42" s="14"/>
      <c r="N42" s="2">
        <f>J42/K42</f>
        <v>2</v>
      </c>
      <c r="O42" s="2" t="s">
        <v>121</v>
      </c>
      <c r="P42" s="2" t="s">
        <v>498</v>
      </c>
    </row>
    <row r="43" spans="1:16" hidden="1" x14ac:dyDescent="0.25">
      <c r="A43" s="17" t="s">
        <v>413</v>
      </c>
      <c r="B43" s="27" t="s">
        <v>395</v>
      </c>
      <c r="C43" s="2" t="s">
        <v>26</v>
      </c>
      <c r="D43" s="2" t="str">
        <f>VLOOKUP($C43,Sheet1!$A$2:$D$10,2,0)</f>
        <v>116040-92240</v>
      </c>
      <c r="E43" s="8" t="s">
        <v>90</v>
      </c>
      <c r="F43" s="12">
        <v>46031</v>
      </c>
      <c r="G43" s="13">
        <v>0.77083333333333337</v>
      </c>
      <c r="H43" s="2" t="s">
        <v>91</v>
      </c>
      <c r="I43" s="2" t="s">
        <v>54</v>
      </c>
      <c r="J43" s="2">
        <v>42</v>
      </c>
      <c r="K43" s="14">
        <f>VLOOKUP($C43,Sheet1!$A$2:$D$10,4,0)</f>
        <v>6</v>
      </c>
      <c r="L43" s="14" t="str">
        <f>VLOOKUP($C43,Sheet1!$A$2:$E$10,5,0)</f>
        <v>Bin</v>
      </c>
      <c r="M43" s="14">
        <f t="shared" ref="M43:M45" si="7">J43/K43</f>
        <v>7</v>
      </c>
      <c r="N43" s="2"/>
      <c r="O43" s="2" t="s">
        <v>121</v>
      </c>
      <c r="P43" s="2" t="s">
        <v>423</v>
      </c>
    </row>
    <row r="44" spans="1:16" hidden="1" x14ac:dyDescent="0.25">
      <c r="A44" s="17" t="s">
        <v>413</v>
      </c>
      <c r="B44" s="27" t="s">
        <v>400</v>
      </c>
      <c r="C44" s="2" t="s">
        <v>32</v>
      </c>
      <c r="D44" s="2" t="str">
        <f>VLOOKUP($C44,Sheet1!$A$2:$D$10,2,0)</f>
        <v>114010-50820</v>
      </c>
      <c r="E44" s="8" t="s">
        <v>98</v>
      </c>
      <c r="F44" s="12">
        <v>46031</v>
      </c>
      <c r="G44" s="13">
        <v>0.77083333333333337</v>
      </c>
      <c r="H44" s="2" t="s">
        <v>91</v>
      </c>
      <c r="I44" s="2" t="s">
        <v>54</v>
      </c>
      <c r="J44" s="2">
        <v>12</v>
      </c>
      <c r="K44" s="14">
        <f>VLOOKUP($C44,Sheet1!$A$2:$D$10,4,0)</f>
        <v>1</v>
      </c>
      <c r="L44" s="14" t="str">
        <f>VLOOKUP($C44,Sheet1!$A$2:$E$10,5,0)</f>
        <v>Bin</v>
      </c>
      <c r="M44" s="14">
        <f t="shared" si="7"/>
        <v>12</v>
      </c>
      <c r="N44" s="2"/>
      <c r="O44" s="2" t="s">
        <v>121</v>
      </c>
      <c r="P44" s="2" t="s">
        <v>429</v>
      </c>
    </row>
    <row r="45" spans="1:16" hidden="1" x14ac:dyDescent="0.25">
      <c r="A45" s="17" t="s">
        <v>413</v>
      </c>
      <c r="B45" s="27" t="s">
        <v>404</v>
      </c>
      <c r="C45" s="2" t="s">
        <v>29</v>
      </c>
      <c r="D45" s="2" t="str">
        <f>VLOOKUP($C45,Sheet1!$A$2:$D$10,2,0)</f>
        <v>114010-50830</v>
      </c>
      <c r="E45" s="8" t="s">
        <v>98</v>
      </c>
      <c r="F45" s="12">
        <v>46031</v>
      </c>
      <c r="G45" s="13">
        <v>0.77083333333333337</v>
      </c>
      <c r="H45" s="2" t="s">
        <v>91</v>
      </c>
      <c r="I45" s="2" t="s">
        <v>54</v>
      </c>
      <c r="J45" s="2">
        <v>27</v>
      </c>
      <c r="K45" s="14">
        <f>VLOOKUP($C45,Sheet1!$A$2:$D$10,4,0)</f>
        <v>1</v>
      </c>
      <c r="L45" s="14" t="str">
        <f>VLOOKUP($C45,Sheet1!$A$2:$E$10,5,0)</f>
        <v>Bin</v>
      </c>
      <c r="M45" s="14">
        <f t="shared" si="7"/>
        <v>27</v>
      </c>
      <c r="N45" s="2"/>
      <c r="O45" s="2" t="s">
        <v>121</v>
      </c>
      <c r="P45" s="2" t="s">
        <v>428</v>
      </c>
    </row>
    <row r="46" spans="1:16" s="11" customFormat="1" hidden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>
        <v>86</v>
      </c>
      <c r="N46" s="10">
        <v>7</v>
      </c>
      <c r="O46" s="10"/>
      <c r="P46" s="10"/>
    </row>
    <row r="47" spans="1:16" x14ac:dyDescent="0.25">
      <c r="A47" s="17" t="s">
        <v>414</v>
      </c>
      <c r="B47" s="27" t="s">
        <v>366</v>
      </c>
      <c r="C47" s="2" t="s">
        <v>5</v>
      </c>
      <c r="D47" s="2" t="str">
        <f>VLOOKUP($C47,Sheet1!$A$2:$D$10,2,0)</f>
        <v>141110-14600</v>
      </c>
      <c r="E47" s="8" t="s">
        <v>52</v>
      </c>
      <c r="F47" s="12">
        <v>46031</v>
      </c>
      <c r="G47" s="13">
        <v>0.97916666666666663</v>
      </c>
      <c r="H47" s="2" t="s">
        <v>53</v>
      </c>
      <c r="I47" s="2" t="s">
        <v>54</v>
      </c>
      <c r="J47" s="2">
        <v>18</v>
      </c>
      <c r="K47" s="14">
        <f>VLOOKUP($C47,Sheet1!$A$2:$D$10,4,0)</f>
        <v>18</v>
      </c>
      <c r="L47" s="14" t="str">
        <f>VLOOKUP($C47,Sheet1!$A$2:$E$10,5,0)</f>
        <v>Trolley (H)</v>
      </c>
      <c r="M47" s="14"/>
      <c r="N47" s="52">
        <v>1</v>
      </c>
      <c r="O47" s="2" t="s">
        <v>359</v>
      </c>
      <c r="P47" s="2" t="s">
        <v>479</v>
      </c>
    </row>
    <row r="48" spans="1:16" hidden="1" x14ac:dyDescent="0.25">
      <c r="A48" s="17" t="s">
        <v>414</v>
      </c>
      <c r="B48" s="27" t="s">
        <v>371</v>
      </c>
      <c r="C48" s="2" t="s">
        <v>9</v>
      </c>
      <c r="D48" s="2" t="str">
        <f>VLOOKUP($C48,Sheet1!$A$2:$D$10,2,0)</f>
        <v>141120-14600</v>
      </c>
      <c r="E48" s="8" t="s">
        <v>60</v>
      </c>
      <c r="F48" s="12">
        <v>46031</v>
      </c>
      <c r="G48" s="13">
        <v>0.97916666666666663</v>
      </c>
      <c r="H48" s="2" t="s">
        <v>53</v>
      </c>
      <c r="I48" s="2" t="s">
        <v>54</v>
      </c>
      <c r="J48" s="2">
        <v>18</v>
      </c>
      <c r="K48" s="14">
        <f>VLOOKUP($C48,Sheet1!$A$2:$D$10,4,0)</f>
        <v>18</v>
      </c>
      <c r="L48" s="14" t="str">
        <f>VLOOKUP($C48,Sheet1!$A$2:$E$10,5,0)</f>
        <v>Trolley (H)</v>
      </c>
      <c r="M48" s="14"/>
      <c r="N48" s="53"/>
      <c r="O48" s="2" t="s">
        <v>359</v>
      </c>
      <c r="P48" s="2" t="s">
        <v>479</v>
      </c>
    </row>
    <row r="49" spans="1:16" hidden="1" x14ac:dyDescent="0.25">
      <c r="A49" s="17" t="s">
        <v>414</v>
      </c>
      <c r="B49" s="27" t="s">
        <v>376</v>
      </c>
      <c r="C49" s="2" t="s">
        <v>12</v>
      </c>
      <c r="D49" s="2" t="str">
        <f>VLOOKUP($C49,Sheet1!$A$2:$D$10,2,0)</f>
        <v>141185-74670</v>
      </c>
      <c r="E49" s="8" t="s">
        <v>66</v>
      </c>
      <c r="F49" s="12">
        <v>46031</v>
      </c>
      <c r="G49" s="13">
        <v>0.97916666666666663</v>
      </c>
      <c r="H49" s="2" t="s">
        <v>53</v>
      </c>
      <c r="I49" s="2" t="s">
        <v>54</v>
      </c>
      <c r="J49" s="2">
        <v>40</v>
      </c>
      <c r="K49" s="14">
        <f>VLOOKUP($C49,Sheet1!$A$2:$D$10,4,0)</f>
        <v>40</v>
      </c>
      <c r="L49" s="14" t="str">
        <f>VLOOKUP($C49,Sheet1!$A$2:$E$10,5,0)</f>
        <v>Trolley</v>
      </c>
      <c r="M49" s="14"/>
      <c r="N49" s="2">
        <f>J49/K49</f>
        <v>1</v>
      </c>
      <c r="O49" s="2" t="s">
        <v>359</v>
      </c>
      <c r="P49" s="2">
        <v>910104677</v>
      </c>
    </row>
    <row r="50" spans="1:16" hidden="1" x14ac:dyDescent="0.25">
      <c r="A50" s="17" t="s">
        <v>414</v>
      </c>
      <c r="B50" s="27" t="s">
        <v>381</v>
      </c>
      <c r="C50" s="2" t="s">
        <v>16</v>
      </c>
      <c r="D50" s="2" t="str">
        <f>VLOOKUP($C50,Sheet1!$A$2:$D$10,2,0)</f>
        <v>141140-91211</v>
      </c>
      <c r="E50" s="8" t="s">
        <v>70</v>
      </c>
      <c r="F50" s="12">
        <v>46031</v>
      </c>
      <c r="G50" s="13">
        <v>0.97916666666666663</v>
      </c>
      <c r="H50" s="2" t="s">
        <v>71</v>
      </c>
      <c r="I50" s="2" t="s">
        <v>54</v>
      </c>
      <c r="J50" s="2">
        <v>28</v>
      </c>
      <c r="K50" s="14">
        <f>VLOOKUP($C50,Sheet1!$A$2:$D$10,4,0)</f>
        <v>2</v>
      </c>
      <c r="L50" s="14" t="str">
        <f>VLOOKUP($C50,Sheet1!$A$2:$E$10,5,0)</f>
        <v>Bin</v>
      </c>
      <c r="M50" s="14">
        <f t="shared" ref="M50:M51" si="8">J50/K50</f>
        <v>14</v>
      </c>
      <c r="N50" s="2"/>
      <c r="O50" s="2" t="s">
        <v>359</v>
      </c>
      <c r="P50" s="2" t="s">
        <v>429</v>
      </c>
    </row>
    <row r="51" spans="1:16" hidden="1" x14ac:dyDescent="0.25">
      <c r="A51" s="17" t="s">
        <v>414</v>
      </c>
      <c r="B51" s="27" t="s">
        <v>386</v>
      </c>
      <c r="C51" s="2" t="s">
        <v>20</v>
      </c>
      <c r="D51" s="2" t="str">
        <f>VLOOKUP($C51,Sheet1!$A$2:$D$10,2,0)</f>
        <v>141150-91211</v>
      </c>
      <c r="E51" s="8" t="s">
        <v>78</v>
      </c>
      <c r="F51" s="12">
        <v>46031</v>
      </c>
      <c r="G51" s="13">
        <v>0.97916666666666663</v>
      </c>
      <c r="H51" s="2" t="s">
        <v>71</v>
      </c>
      <c r="I51" s="2" t="s">
        <v>54</v>
      </c>
      <c r="J51" s="2">
        <v>28</v>
      </c>
      <c r="K51" s="14">
        <f>VLOOKUP($C51,Sheet1!$A$2:$D$10,4,0)</f>
        <v>2</v>
      </c>
      <c r="L51" s="14" t="str">
        <f>VLOOKUP($C51,Sheet1!$A$2:$E$10,5,0)</f>
        <v>Bin</v>
      </c>
      <c r="M51" s="14">
        <f t="shared" si="8"/>
        <v>14</v>
      </c>
      <c r="N51" s="2"/>
      <c r="O51" s="2" t="s">
        <v>359</v>
      </c>
      <c r="P51" s="2" t="s">
        <v>429</v>
      </c>
    </row>
    <row r="52" spans="1:16" hidden="1" x14ac:dyDescent="0.25">
      <c r="A52" s="17" t="s">
        <v>414</v>
      </c>
      <c r="B52" s="27" t="s">
        <v>391</v>
      </c>
      <c r="C52" s="2" t="s">
        <v>23</v>
      </c>
      <c r="D52" s="2" t="str">
        <f>VLOOKUP($C52,Sheet1!$A$2:$D$10,2,0)</f>
        <v>141186-74360</v>
      </c>
      <c r="E52" s="8" t="s">
        <v>85</v>
      </c>
      <c r="F52" s="12">
        <v>46031</v>
      </c>
      <c r="G52" s="13">
        <v>0.97916666666666663</v>
      </c>
      <c r="H52" s="2" t="s">
        <v>71</v>
      </c>
      <c r="I52" s="2" t="s">
        <v>54</v>
      </c>
      <c r="J52" s="2">
        <v>40</v>
      </c>
      <c r="K52" s="14">
        <f>VLOOKUP($C52,Sheet1!$A$2:$D$10,4,0)</f>
        <v>40</v>
      </c>
      <c r="L52" s="14" t="str">
        <f>VLOOKUP($C52,Sheet1!$A$2:$E$10,5,0)</f>
        <v>Trolley</v>
      </c>
      <c r="M52" s="14"/>
      <c r="N52" s="2">
        <f>J52/K52</f>
        <v>1</v>
      </c>
      <c r="O52" s="2" t="s">
        <v>359</v>
      </c>
      <c r="P52" s="2">
        <v>910103227</v>
      </c>
    </row>
    <row r="53" spans="1:16" hidden="1" x14ac:dyDescent="0.25">
      <c r="A53" s="17" t="s">
        <v>415</v>
      </c>
      <c r="B53" s="27" t="s">
        <v>396</v>
      </c>
      <c r="C53" s="2" t="s">
        <v>26</v>
      </c>
      <c r="D53" s="2" t="str">
        <f>VLOOKUP($C53,Sheet1!$A$2:$D$10,2,0)</f>
        <v>116040-92240</v>
      </c>
      <c r="E53" s="8" t="s">
        <v>90</v>
      </c>
      <c r="F53" s="12">
        <v>46031</v>
      </c>
      <c r="G53" s="13">
        <v>0.97916666666666663</v>
      </c>
      <c r="H53" s="2" t="s">
        <v>91</v>
      </c>
      <c r="I53" s="2" t="s">
        <v>54</v>
      </c>
      <c r="J53" s="2">
        <v>24</v>
      </c>
      <c r="K53" s="14">
        <f>VLOOKUP($C53,Sheet1!$A$2:$D$10,4,0)</f>
        <v>6</v>
      </c>
      <c r="L53" s="14" t="str">
        <f>VLOOKUP($C53,Sheet1!$A$2:$E$10,5,0)</f>
        <v>Bin</v>
      </c>
      <c r="M53" s="14">
        <f t="shared" ref="M53:M54" si="9">J53/K53</f>
        <v>4</v>
      </c>
      <c r="N53" s="2"/>
      <c r="O53" s="2" t="s">
        <v>359</v>
      </c>
      <c r="P53" s="2" t="s">
        <v>423</v>
      </c>
    </row>
    <row r="54" spans="1:16" hidden="1" x14ac:dyDescent="0.25">
      <c r="A54" s="17" t="s">
        <v>415</v>
      </c>
      <c r="B54" s="27" t="s">
        <v>405</v>
      </c>
      <c r="C54" s="2" t="s">
        <v>29</v>
      </c>
      <c r="D54" s="2" t="str">
        <f>VLOOKUP($C54,Sheet1!$A$2:$D$10,2,0)</f>
        <v>114010-50830</v>
      </c>
      <c r="E54" s="8" t="s">
        <v>98</v>
      </c>
      <c r="F54" s="12">
        <v>46031</v>
      </c>
      <c r="G54" s="13">
        <v>0.97916666666666663</v>
      </c>
      <c r="H54" s="2" t="s">
        <v>91</v>
      </c>
      <c r="I54" s="2" t="s">
        <v>54</v>
      </c>
      <c r="J54" s="2">
        <v>28</v>
      </c>
      <c r="K54" s="14">
        <f>VLOOKUP($C54,Sheet1!$A$2:$D$10,4,0)</f>
        <v>1</v>
      </c>
      <c r="L54" s="14" t="str">
        <f>VLOOKUP($C54,Sheet1!$A$2:$E$10,5,0)</f>
        <v>Bin</v>
      </c>
      <c r="M54" s="14">
        <f t="shared" si="9"/>
        <v>28</v>
      </c>
      <c r="N54" s="2"/>
      <c r="O54" s="2" t="s">
        <v>359</v>
      </c>
      <c r="P54" s="2" t="s">
        <v>428</v>
      </c>
    </row>
    <row r="55" spans="1:16" s="11" customFormat="1" hidden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>
        <v>60</v>
      </c>
      <c r="N55" s="10">
        <v>3</v>
      </c>
      <c r="O55" s="10"/>
      <c r="P55" s="10"/>
    </row>
  </sheetData>
  <autoFilter ref="A3:P55" xr:uid="{818EE728-EC4D-4130-9F69-4F5DB93E4B0B}">
    <filterColumn colId="2">
      <filters>
        <filter val="55101M58U10"/>
      </filters>
    </filterColumn>
  </autoFilter>
  <mergeCells count="9">
    <mergeCell ref="N37:N38"/>
    <mergeCell ref="N47:N48"/>
    <mergeCell ref="N16:N17"/>
    <mergeCell ref="A1:F1"/>
    <mergeCell ref="J1:N1"/>
    <mergeCell ref="L2:N2"/>
    <mergeCell ref="N4:N5"/>
    <mergeCell ref="N14:N15"/>
    <mergeCell ref="N27:N28"/>
  </mergeCells>
  <conditionalFormatting sqref="B2">
    <cfRule type="duplicateValues" dxfId="114" priority="2"/>
    <cfRule type="duplicateValues" dxfId="113" priority="3"/>
  </conditionalFormatting>
  <conditionalFormatting sqref="B4:B12 B14:B25 B47:B54 B27:B35 B37:B45">
    <cfRule type="duplicateValues" dxfId="112" priority="1"/>
  </conditionalFormatting>
  <conditionalFormatting sqref="C2:D2">
    <cfRule type="duplicateValues" dxfId="111" priority="4"/>
    <cfRule type="duplicateValues" dxfId="110" priority="5"/>
  </conditionalFormatting>
  <pageMargins left="0.17" right="0.17" top="0.17" bottom="0.26" header="0.17" footer="0.3"/>
  <pageSetup paperSize="9" scale="1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43D6-1150-40F6-888B-0BBD54104ACF}">
  <sheetPr filterMode="1">
    <tabColor rgb="FF00B050"/>
    <pageSetUpPr fitToPage="1"/>
  </sheetPr>
  <dimension ref="A1:P65"/>
  <sheetViews>
    <sheetView workbookViewId="0">
      <selection activeCell="E71" sqref="E71"/>
    </sheetView>
  </sheetViews>
  <sheetFormatPr defaultColWidth="80.140625" defaultRowHeight="15" x14ac:dyDescent="0.25"/>
  <cols>
    <col min="1" max="1" width="15.140625" bestFit="1" customWidth="1"/>
    <col min="2" max="2" width="18.85546875" customWidth="1"/>
    <col min="3" max="3" width="14.140625" bestFit="1" customWidth="1"/>
    <col min="4" max="4" width="14.140625" customWidth="1"/>
    <col min="5" max="5" width="32.5703125" bestFit="1" customWidth="1"/>
    <col min="6" max="6" width="10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1.28515625" customWidth="1"/>
    <col min="13" max="13" width="7.140625" bestFit="1" customWidth="1"/>
    <col min="14" max="14" width="7.85546875" bestFit="1" customWidth="1"/>
    <col min="15" max="15" width="10.7109375" customWidth="1"/>
    <col min="16" max="16" width="44.2851562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55" t="s">
        <v>35</v>
      </c>
      <c r="K1" s="56"/>
      <c r="L1" s="56"/>
      <c r="M1" s="56"/>
      <c r="N1" s="56"/>
      <c r="O1" s="3"/>
      <c r="P1" s="4"/>
    </row>
    <row r="2" spans="1:16" ht="15.75" x14ac:dyDescent="0.25">
      <c r="A2" s="5" t="s">
        <v>36</v>
      </c>
      <c r="B2" s="6">
        <v>46032</v>
      </c>
      <c r="C2" s="7"/>
      <c r="D2" s="7"/>
      <c r="E2" s="2"/>
      <c r="F2" s="8"/>
      <c r="G2" s="2"/>
      <c r="H2" s="2"/>
      <c r="I2" s="2"/>
      <c r="J2" s="2"/>
      <c r="K2" s="2"/>
      <c r="L2" s="57" t="s">
        <v>37</v>
      </c>
      <c r="M2" s="58"/>
      <c r="N2" s="59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481</v>
      </c>
      <c r="B4" s="2" t="s">
        <v>432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46032</v>
      </c>
      <c r="G4" s="13">
        <v>0.35416666666666669</v>
      </c>
      <c r="H4" s="2" t="s">
        <v>53</v>
      </c>
      <c r="I4" s="2" t="s">
        <v>54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2</v>
      </c>
      <c r="O4" s="2" t="s">
        <v>122</v>
      </c>
      <c r="P4" s="2" t="s">
        <v>479</v>
      </c>
    </row>
    <row r="5" spans="1:16" hidden="1" x14ac:dyDescent="0.25">
      <c r="A5" s="17" t="s">
        <v>481</v>
      </c>
      <c r="B5" s="2" t="s">
        <v>437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46032</v>
      </c>
      <c r="G5" s="13">
        <v>0.35416666666666669</v>
      </c>
      <c r="H5" s="2" t="s">
        <v>53</v>
      </c>
      <c r="I5" s="2" t="s">
        <v>54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122</v>
      </c>
      <c r="P5" s="2" t="s">
        <v>479</v>
      </c>
    </row>
    <row r="6" spans="1:16" x14ac:dyDescent="0.25">
      <c r="A6" s="17" t="s">
        <v>481</v>
      </c>
      <c r="B6" s="2" t="s">
        <v>433</v>
      </c>
      <c r="C6" s="27" t="s">
        <v>5</v>
      </c>
      <c r="D6" s="2" t="str">
        <f>VLOOKUP($C6,Sheet1!$A$2:$D$10,2,0)</f>
        <v>141110-14600</v>
      </c>
      <c r="E6" s="8" t="s">
        <v>52</v>
      </c>
      <c r="F6" s="12">
        <v>46032</v>
      </c>
      <c r="G6" s="13">
        <v>0.35416666666666669</v>
      </c>
      <c r="H6" s="2" t="s">
        <v>53</v>
      </c>
      <c r="I6" s="2" t="s">
        <v>54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2">
        <v>1</v>
      </c>
      <c r="O6" s="2" t="s">
        <v>122</v>
      </c>
      <c r="P6" s="2" t="s">
        <v>479</v>
      </c>
    </row>
    <row r="7" spans="1:16" hidden="1" x14ac:dyDescent="0.25">
      <c r="A7" s="17" t="s">
        <v>481</v>
      </c>
      <c r="B7" s="2" t="s">
        <v>438</v>
      </c>
      <c r="C7" s="27" t="s">
        <v>9</v>
      </c>
      <c r="D7" s="2" t="str">
        <f>VLOOKUP($C7,Sheet1!$A$2:$D$10,2,0)</f>
        <v>141120-14600</v>
      </c>
      <c r="E7" s="8" t="s">
        <v>60</v>
      </c>
      <c r="F7" s="12">
        <v>46032</v>
      </c>
      <c r="G7" s="13">
        <v>0.35416666666666669</v>
      </c>
      <c r="H7" s="2" t="s">
        <v>53</v>
      </c>
      <c r="I7" s="2" t="s">
        <v>54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3"/>
      <c r="O7" s="2" t="s">
        <v>122</v>
      </c>
      <c r="P7" s="2" t="s">
        <v>479</v>
      </c>
    </row>
    <row r="8" spans="1:16" hidden="1" x14ac:dyDescent="0.25">
      <c r="A8" s="17" t="s">
        <v>481</v>
      </c>
      <c r="B8" s="2" t="s">
        <v>442</v>
      </c>
      <c r="C8" s="27" t="s">
        <v>12</v>
      </c>
      <c r="D8" s="2" t="str">
        <f>VLOOKUP($C8,Sheet1!$A$2:$D$10,2,0)</f>
        <v>141185-74670</v>
      </c>
      <c r="E8" s="8" t="s">
        <v>66</v>
      </c>
      <c r="F8" s="12">
        <v>46032</v>
      </c>
      <c r="G8" s="13">
        <v>0.35416666666666669</v>
      </c>
      <c r="H8" s="2" t="s">
        <v>53</v>
      </c>
      <c r="I8" s="2" t="s">
        <v>54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122</v>
      </c>
      <c r="P8" s="2">
        <v>910104677</v>
      </c>
    </row>
    <row r="9" spans="1:16" hidden="1" x14ac:dyDescent="0.25">
      <c r="A9" s="17" t="s">
        <v>481</v>
      </c>
      <c r="B9" s="2" t="s">
        <v>443</v>
      </c>
      <c r="C9" s="27" t="s">
        <v>12</v>
      </c>
      <c r="D9" s="2" t="str">
        <f>VLOOKUP($C9,Sheet1!$A$2:$D$10,2,0)</f>
        <v>141185-74670</v>
      </c>
      <c r="E9" s="8" t="s">
        <v>66</v>
      </c>
      <c r="F9" s="12">
        <v>46032</v>
      </c>
      <c r="G9" s="13">
        <v>0.35416666666666669</v>
      </c>
      <c r="H9" s="2" t="s">
        <v>53</v>
      </c>
      <c r="I9" s="2" t="s">
        <v>54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122</v>
      </c>
      <c r="P9" s="2">
        <v>910104677</v>
      </c>
    </row>
    <row r="10" spans="1:16" hidden="1" x14ac:dyDescent="0.25">
      <c r="A10" s="17" t="s">
        <v>481</v>
      </c>
      <c r="B10" s="2" t="s">
        <v>447</v>
      </c>
      <c r="C10" s="27" t="s">
        <v>16</v>
      </c>
      <c r="D10" s="2" t="str">
        <f>VLOOKUP($C10,Sheet1!$A$2:$D$10,2,0)</f>
        <v>141140-91211</v>
      </c>
      <c r="E10" s="8" t="s">
        <v>70</v>
      </c>
      <c r="F10" s="12">
        <v>46032</v>
      </c>
      <c r="G10" s="13">
        <v>0.35416666666666669</v>
      </c>
      <c r="H10" s="2" t="s">
        <v>71</v>
      </c>
      <c r="I10" s="2" t="s">
        <v>54</v>
      </c>
      <c r="J10" s="2">
        <v>42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21</v>
      </c>
      <c r="N10" s="2"/>
      <c r="O10" s="2" t="s">
        <v>122</v>
      </c>
      <c r="P10" s="2" t="s">
        <v>429</v>
      </c>
    </row>
    <row r="11" spans="1:16" hidden="1" x14ac:dyDescent="0.25">
      <c r="A11" s="17" t="s">
        <v>481</v>
      </c>
      <c r="B11" s="2" t="s">
        <v>452</v>
      </c>
      <c r="C11" s="27" t="s">
        <v>20</v>
      </c>
      <c r="D11" s="2" t="str">
        <f>VLOOKUP($C11,Sheet1!$A$2:$D$10,2,0)</f>
        <v>141150-91211</v>
      </c>
      <c r="E11" s="8" t="s">
        <v>78</v>
      </c>
      <c r="F11" s="12">
        <v>46032</v>
      </c>
      <c r="G11" s="13">
        <v>0.35416666666666669</v>
      </c>
      <c r="H11" s="2" t="s">
        <v>71</v>
      </c>
      <c r="I11" s="2" t="s">
        <v>54</v>
      </c>
      <c r="J11" s="2">
        <v>42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ref="M11" si="0">J11/K11</f>
        <v>21</v>
      </c>
      <c r="N11" s="2"/>
      <c r="O11" s="2" t="s">
        <v>122</v>
      </c>
      <c r="P11" s="2" t="s">
        <v>429</v>
      </c>
    </row>
    <row r="12" spans="1:16" hidden="1" x14ac:dyDescent="0.25">
      <c r="A12" s="17" t="s">
        <v>481</v>
      </c>
      <c r="B12" s="2" t="s">
        <v>457</v>
      </c>
      <c r="C12" s="27" t="s">
        <v>23</v>
      </c>
      <c r="D12" s="2" t="str">
        <f>VLOOKUP($C12,Sheet1!$A$2:$D$10,2,0)</f>
        <v>141186-74360</v>
      </c>
      <c r="E12" s="8" t="s">
        <v>85</v>
      </c>
      <c r="F12" s="12">
        <v>46032</v>
      </c>
      <c r="G12" s="13">
        <v>0.35416666666666669</v>
      </c>
      <c r="H12" s="2" t="s">
        <v>71</v>
      </c>
      <c r="I12" s="2" t="s">
        <v>54</v>
      </c>
      <c r="J12" s="2">
        <v>80</v>
      </c>
      <c r="K12" s="14">
        <f>VLOOKUP($C12,Sheet1!$A$2:$D$10,4,0)</f>
        <v>40</v>
      </c>
      <c r="L12" s="14" t="str">
        <f>VLOOKUP($C12,Sheet1!$A$2:$E$10,5,0)</f>
        <v>Trolley</v>
      </c>
      <c r="M12" s="14"/>
      <c r="N12" s="2">
        <f t="shared" ref="N12:N13" si="1">J12/K12</f>
        <v>2</v>
      </c>
      <c r="O12" s="2" t="s">
        <v>122</v>
      </c>
      <c r="P12" s="2">
        <v>910104677</v>
      </c>
    </row>
    <row r="13" spans="1:16" hidden="1" x14ac:dyDescent="0.25">
      <c r="A13" s="17" t="s">
        <v>481</v>
      </c>
      <c r="B13" s="2" t="s">
        <v>458</v>
      </c>
      <c r="C13" s="27" t="s">
        <v>23</v>
      </c>
      <c r="D13" s="2" t="str">
        <f>VLOOKUP($C13,Sheet1!$A$2:$D$10,2,0)</f>
        <v>141186-74360</v>
      </c>
      <c r="E13" s="8" t="s">
        <v>85</v>
      </c>
      <c r="F13" s="12">
        <v>46032</v>
      </c>
      <c r="G13" s="13">
        <v>0.35416666666666669</v>
      </c>
      <c r="H13" s="2" t="s">
        <v>71</v>
      </c>
      <c r="I13" s="2" t="s">
        <v>54</v>
      </c>
      <c r="J13" s="2">
        <v>40</v>
      </c>
      <c r="K13" s="14">
        <f>VLOOKUP($C13,Sheet1!$A$2:$D$10,4,0)</f>
        <v>40</v>
      </c>
      <c r="L13" s="14" t="str">
        <f>VLOOKUP($C13,Sheet1!$A$2:$E$10,5,0)</f>
        <v>Trolley</v>
      </c>
      <c r="M13" s="14"/>
      <c r="N13" s="2">
        <f t="shared" si="1"/>
        <v>1</v>
      </c>
      <c r="O13" s="2" t="s">
        <v>122</v>
      </c>
      <c r="P13" s="2">
        <v>910103227</v>
      </c>
    </row>
    <row r="14" spans="1:16" hidden="1" x14ac:dyDescent="0.25">
      <c r="A14" s="17" t="s">
        <v>482</v>
      </c>
      <c r="B14" s="2" t="s">
        <v>462</v>
      </c>
      <c r="C14" s="27" t="s">
        <v>26</v>
      </c>
      <c r="D14" s="2" t="str">
        <f>VLOOKUP($C14,Sheet1!$A$2:$D$10,2,0)</f>
        <v>116040-92240</v>
      </c>
      <c r="E14" s="8" t="s">
        <v>90</v>
      </c>
      <c r="F14" s="12">
        <v>46032</v>
      </c>
      <c r="G14" s="13">
        <v>0.35416666666666669</v>
      </c>
      <c r="H14" s="2" t="s">
        <v>91</v>
      </c>
      <c r="I14" s="2" t="s">
        <v>54</v>
      </c>
      <c r="J14" s="2">
        <v>78</v>
      </c>
      <c r="K14" s="14">
        <f>VLOOKUP($C14,Sheet1!$A$2:$D$10,4,0)</f>
        <v>6</v>
      </c>
      <c r="L14" s="14" t="str">
        <f>VLOOKUP($C14,Sheet1!$A$2:$E$10,5,0)</f>
        <v>Bin</v>
      </c>
      <c r="M14" s="14">
        <f t="shared" ref="M14:M18" si="2">J14/K14</f>
        <v>13</v>
      </c>
      <c r="N14" s="2"/>
      <c r="O14" s="2" t="s">
        <v>122</v>
      </c>
      <c r="P14" s="2" t="s">
        <v>423</v>
      </c>
    </row>
    <row r="15" spans="1:16" hidden="1" x14ac:dyDescent="0.25">
      <c r="A15" s="17" t="s">
        <v>482</v>
      </c>
      <c r="B15" s="2" t="s">
        <v>463</v>
      </c>
      <c r="C15" s="27" t="s">
        <v>26</v>
      </c>
      <c r="D15" s="2" t="str">
        <f>VLOOKUP($C15,Sheet1!$A$2:$D$10,2,0)</f>
        <v>116040-92240</v>
      </c>
      <c r="E15" s="8" t="s">
        <v>90</v>
      </c>
      <c r="F15" s="12">
        <v>46032</v>
      </c>
      <c r="G15" s="13">
        <v>0.35416666666666669</v>
      </c>
      <c r="H15" s="2" t="s">
        <v>91</v>
      </c>
      <c r="I15" s="2" t="s">
        <v>54</v>
      </c>
      <c r="J15" s="2">
        <v>12</v>
      </c>
      <c r="K15" s="14">
        <f>VLOOKUP($C15,Sheet1!$A$2:$D$10,4,0)</f>
        <v>6</v>
      </c>
      <c r="L15" s="14" t="str">
        <f>VLOOKUP($C15,Sheet1!$A$2:$E$10,5,0)</f>
        <v>Bin</v>
      </c>
      <c r="M15" s="14">
        <f t="shared" si="2"/>
        <v>2</v>
      </c>
      <c r="N15" s="2"/>
      <c r="O15" s="2" t="s">
        <v>122</v>
      </c>
      <c r="P15" s="2" t="s">
        <v>423</v>
      </c>
    </row>
    <row r="16" spans="1:16" hidden="1" x14ac:dyDescent="0.25">
      <c r="A16" s="17" t="s">
        <v>482</v>
      </c>
      <c r="B16" s="2" t="s">
        <v>467</v>
      </c>
      <c r="C16" s="27" t="s">
        <v>32</v>
      </c>
      <c r="D16" s="2" t="str">
        <f>VLOOKUP($C16,Sheet1!$A$2:$D$10,2,0)</f>
        <v>114010-50820</v>
      </c>
      <c r="E16" s="8" t="s">
        <v>98</v>
      </c>
      <c r="F16" s="12">
        <v>46032</v>
      </c>
      <c r="G16" s="13">
        <v>0.35416666666666669</v>
      </c>
      <c r="H16" s="2" t="s">
        <v>91</v>
      </c>
      <c r="I16" s="2" t="s">
        <v>54</v>
      </c>
      <c r="J16" s="2">
        <v>18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2"/>
        <v>18</v>
      </c>
      <c r="N16" s="2"/>
      <c r="O16" s="2" t="s">
        <v>122</v>
      </c>
      <c r="P16" s="2" t="s">
        <v>429</v>
      </c>
    </row>
    <row r="17" spans="1:16" hidden="1" x14ac:dyDescent="0.25">
      <c r="A17" s="17" t="s">
        <v>482</v>
      </c>
      <c r="B17" s="2" t="s">
        <v>472</v>
      </c>
      <c r="C17" s="27" t="s">
        <v>29</v>
      </c>
      <c r="D17" s="2" t="str">
        <f>VLOOKUP($C17,Sheet1!$A$2:$D$10,2,0)</f>
        <v>114010-50830</v>
      </c>
      <c r="E17" s="8" t="s">
        <v>98</v>
      </c>
      <c r="F17" s="12">
        <v>46032</v>
      </c>
      <c r="G17" s="13">
        <v>0.35416666666666669</v>
      </c>
      <c r="H17" s="2" t="s">
        <v>91</v>
      </c>
      <c r="I17" s="2" t="s">
        <v>54</v>
      </c>
      <c r="J17" s="2">
        <v>15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2"/>
        <v>15</v>
      </c>
      <c r="N17" s="2"/>
      <c r="O17" s="2" t="s">
        <v>122</v>
      </c>
      <c r="P17" s="2" t="s">
        <v>428</v>
      </c>
    </row>
    <row r="18" spans="1:16" hidden="1" x14ac:dyDescent="0.25">
      <c r="A18" s="17" t="s">
        <v>482</v>
      </c>
      <c r="B18" s="2" t="s">
        <v>473</v>
      </c>
      <c r="C18" s="27" t="s">
        <v>29</v>
      </c>
      <c r="D18" s="2" t="str">
        <f>VLOOKUP($C18,Sheet1!$A$2:$D$10,2,0)</f>
        <v>114010-50830</v>
      </c>
      <c r="E18" s="8" t="s">
        <v>98</v>
      </c>
      <c r="F18" s="12">
        <v>46032</v>
      </c>
      <c r="G18" s="13">
        <v>0.35416666666666669</v>
      </c>
      <c r="H18" s="2" t="s">
        <v>91</v>
      </c>
      <c r="I18" s="2" t="s">
        <v>54</v>
      </c>
      <c r="J18" s="2">
        <v>6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2"/>
        <v>6</v>
      </c>
      <c r="N18" s="2"/>
      <c r="O18" s="2" t="s">
        <v>122</v>
      </c>
      <c r="P18" s="2" t="s">
        <v>428</v>
      </c>
    </row>
    <row r="19" spans="1:16" s="11" customFormat="1" hidden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96</v>
      </c>
      <c r="N19" s="10">
        <v>9</v>
      </c>
      <c r="O19" s="10"/>
      <c r="P19" s="10"/>
    </row>
    <row r="20" spans="1:16" x14ac:dyDescent="0.25">
      <c r="A20" s="17" t="s">
        <v>483</v>
      </c>
      <c r="B20" s="2" t="s">
        <v>432</v>
      </c>
      <c r="C20" s="27" t="s">
        <v>5</v>
      </c>
      <c r="D20" s="2" t="str">
        <f>VLOOKUP($C20,Sheet1!$A$2:$D$10,2,0)</f>
        <v>141110-14600</v>
      </c>
      <c r="E20" s="8" t="s">
        <v>52</v>
      </c>
      <c r="F20" s="12">
        <v>46032</v>
      </c>
      <c r="G20" s="13">
        <v>0.35416666666666669</v>
      </c>
      <c r="H20" s="2" t="s">
        <v>53</v>
      </c>
      <c r="I20" s="2" t="s">
        <v>54</v>
      </c>
      <c r="J20" s="2">
        <v>36</v>
      </c>
      <c r="K20" s="14">
        <f>VLOOKUP($C20,Sheet1!$A$2:$D$10,4,0)</f>
        <v>18</v>
      </c>
      <c r="L20" s="14" t="str">
        <f>VLOOKUP($C20,Sheet1!$A$2:$E$10,5,0)</f>
        <v>Trolley (H)</v>
      </c>
      <c r="M20" s="14"/>
      <c r="N20" s="52">
        <v>2</v>
      </c>
      <c r="O20" s="2" t="s">
        <v>119</v>
      </c>
      <c r="P20" s="2" t="s">
        <v>479</v>
      </c>
    </row>
    <row r="21" spans="1:16" hidden="1" x14ac:dyDescent="0.25">
      <c r="A21" s="17" t="s">
        <v>483</v>
      </c>
      <c r="B21" s="2" t="s">
        <v>437</v>
      </c>
      <c r="C21" s="27" t="s">
        <v>9</v>
      </c>
      <c r="D21" s="2" t="str">
        <f>VLOOKUP($C21,Sheet1!$A$2:$D$10,2,0)</f>
        <v>141120-14600</v>
      </c>
      <c r="E21" s="8" t="s">
        <v>60</v>
      </c>
      <c r="F21" s="12">
        <v>46032</v>
      </c>
      <c r="G21" s="13">
        <v>0.35416666666666669</v>
      </c>
      <c r="H21" s="2" t="s">
        <v>53</v>
      </c>
      <c r="I21" s="2" t="s">
        <v>54</v>
      </c>
      <c r="J21" s="2">
        <v>36</v>
      </c>
      <c r="K21" s="14">
        <f>VLOOKUP($C21,Sheet1!$A$2:$D$10,4,0)</f>
        <v>18</v>
      </c>
      <c r="L21" s="14" t="str">
        <f>VLOOKUP($C21,Sheet1!$A$2:$E$10,5,0)</f>
        <v>Trolley (H)</v>
      </c>
      <c r="M21" s="14"/>
      <c r="N21" s="53"/>
      <c r="O21" s="2" t="s">
        <v>119</v>
      </c>
      <c r="P21" s="2" t="s">
        <v>479</v>
      </c>
    </row>
    <row r="22" spans="1:16" hidden="1" x14ac:dyDescent="0.25">
      <c r="A22" s="17" t="s">
        <v>483</v>
      </c>
      <c r="B22" s="2" t="s">
        <v>442</v>
      </c>
      <c r="C22" s="27" t="s">
        <v>12</v>
      </c>
      <c r="D22" s="2" t="str">
        <f>VLOOKUP($C22,Sheet1!$A$2:$D$10,2,0)</f>
        <v>141185-74670</v>
      </c>
      <c r="E22" s="8" t="s">
        <v>66</v>
      </c>
      <c r="F22" s="12">
        <v>46032</v>
      </c>
      <c r="G22" s="13">
        <v>0.35416666666666669</v>
      </c>
      <c r="H22" s="2" t="s">
        <v>53</v>
      </c>
      <c r="I22" s="2" t="s">
        <v>54</v>
      </c>
      <c r="J22" s="2">
        <v>80</v>
      </c>
      <c r="K22" s="14">
        <f>VLOOKUP($C22,Sheet1!$A$2:$D$10,4,0)</f>
        <v>40</v>
      </c>
      <c r="L22" s="14" t="str">
        <f>VLOOKUP($C22,Sheet1!$A$2:$E$10,5,0)</f>
        <v>Trolley</v>
      </c>
      <c r="M22" s="14"/>
      <c r="N22" s="2">
        <f>J22/K22</f>
        <v>2</v>
      </c>
      <c r="O22" s="2" t="s">
        <v>119</v>
      </c>
      <c r="P22" s="2">
        <v>910104677</v>
      </c>
    </row>
    <row r="23" spans="1:16" hidden="1" x14ac:dyDescent="0.25">
      <c r="A23" s="17" t="s">
        <v>483</v>
      </c>
      <c r="B23" s="2" t="s">
        <v>447</v>
      </c>
      <c r="C23" s="27" t="s">
        <v>16</v>
      </c>
      <c r="D23" s="2" t="str">
        <f>VLOOKUP($C23,Sheet1!$A$2:$D$10,2,0)</f>
        <v>141140-91211</v>
      </c>
      <c r="E23" s="8" t="s">
        <v>70</v>
      </c>
      <c r="F23" s="12">
        <v>46032</v>
      </c>
      <c r="G23" s="13">
        <v>0.35416666666666669</v>
      </c>
      <c r="H23" s="2" t="s">
        <v>71</v>
      </c>
      <c r="I23" s="2" t="s">
        <v>54</v>
      </c>
      <c r="J23" s="2">
        <v>42</v>
      </c>
      <c r="K23" s="14">
        <f>VLOOKUP($C23,Sheet1!$A$2:$D$10,4,0)</f>
        <v>2</v>
      </c>
      <c r="L23" s="14" t="str">
        <f>VLOOKUP($C23,Sheet1!$A$2:$E$10,5,0)</f>
        <v>Bin</v>
      </c>
      <c r="M23" s="14">
        <f>J23/K23</f>
        <v>21</v>
      </c>
      <c r="N23" s="2"/>
      <c r="O23" s="2" t="s">
        <v>119</v>
      </c>
      <c r="P23" s="2" t="s">
        <v>429</v>
      </c>
    </row>
    <row r="24" spans="1:16" hidden="1" x14ac:dyDescent="0.25">
      <c r="A24" s="17" t="s">
        <v>483</v>
      </c>
      <c r="B24" s="2" t="s">
        <v>448</v>
      </c>
      <c r="C24" s="27" t="s">
        <v>16</v>
      </c>
      <c r="D24" s="2" t="str">
        <f>VLOOKUP($C24,Sheet1!$A$2:$D$10,2,0)</f>
        <v>141140-91211</v>
      </c>
      <c r="E24" s="8" t="s">
        <v>70</v>
      </c>
      <c r="F24" s="12">
        <v>46032</v>
      </c>
      <c r="G24" s="13">
        <v>0.35416666666666669</v>
      </c>
      <c r="H24" s="2" t="s">
        <v>71</v>
      </c>
      <c r="I24" s="2" t="s">
        <v>54</v>
      </c>
      <c r="J24" s="2">
        <v>14</v>
      </c>
      <c r="K24" s="14">
        <f>VLOOKUP($C24,Sheet1!$A$2:$D$10,4,0)</f>
        <v>2</v>
      </c>
      <c r="L24" s="14" t="str">
        <f>VLOOKUP($C24,Sheet1!$A$2:$E$10,5,0)</f>
        <v>Bin</v>
      </c>
      <c r="M24" s="14">
        <f>J24/K24</f>
        <v>7</v>
      </c>
      <c r="N24" s="2"/>
      <c r="O24" s="2" t="s">
        <v>119</v>
      </c>
      <c r="P24" s="2" t="s">
        <v>429</v>
      </c>
    </row>
    <row r="25" spans="1:16" hidden="1" x14ac:dyDescent="0.25">
      <c r="A25" s="17" t="s">
        <v>483</v>
      </c>
      <c r="B25" s="2" t="s">
        <v>452</v>
      </c>
      <c r="C25" s="27" t="s">
        <v>20</v>
      </c>
      <c r="D25" s="2" t="str">
        <f>VLOOKUP($C25,Sheet1!$A$2:$D$10,2,0)</f>
        <v>141150-91211</v>
      </c>
      <c r="E25" s="8" t="s">
        <v>78</v>
      </c>
      <c r="F25" s="12">
        <v>46032</v>
      </c>
      <c r="G25" s="13">
        <v>0.35416666666666669</v>
      </c>
      <c r="H25" s="2" t="s">
        <v>71</v>
      </c>
      <c r="I25" s="2" t="s">
        <v>54</v>
      </c>
      <c r="J25" s="2">
        <v>42</v>
      </c>
      <c r="K25" s="14">
        <f>VLOOKUP($C25,Sheet1!$A$2:$D$10,4,0)</f>
        <v>2</v>
      </c>
      <c r="L25" s="14" t="str">
        <f>VLOOKUP($C25,Sheet1!$A$2:$E$10,5,0)</f>
        <v>Bin</v>
      </c>
      <c r="M25" s="14">
        <f t="shared" ref="M25" si="3">J25/K25</f>
        <v>21</v>
      </c>
      <c r="N25" s="2"/>
      <c r="O25" s="2" t="s">
        <v>119</v>
      </c>
      <c r="P25" s="2" t="s">
        <v>429</v>
      </c>
    </row>
    <row r="26" spans="1:16" hidden="1" x14ac:dyDescent="0.25">
      <c r="A26" s="17" t="s">
        <v>483</v>
      </c>
      <c r="B26" s="2" t="s">
        <v>453</v>
      </c>
      <c r="C26" s="27" t="s">
        <v>20</v>
      </c>
      <c r="D26" s="2" t="str">
        <f>VLOOKUP($C26,Sheet1!$A$2:$D$10,2,0)</f>
        <v>141150-91211</v>
      </c>
      <c r="E26" s="8" t="s">
        <v>78</v>
      </c>
      <c r="F26" s="12">
        <v>46032</v>
      </c>
      <c r="G26" s="13">
        <v>0.35416666666666669</v>
      </c>
      <c r="H26" s="2" t="s">
        <v>71</v>
      </c>
      <c r="I26" s="2" t="s">
        <v>54</v>
      </c>
      <c r="J26" s="2">
        <v>14</v>
      </c>
      <c r="K26" s="14">
        <f>VLOOKUP($C26,Sheet1!$A$2:$D$10,4,0)</f>
        <v>2</v>
      </c>
      <c r="L26" s="14" t="str">
        <f>VLOOKUP($C26,Sheet1!$A$2:$E$10,5,0)</f>
        <v>Bin</v>
      </c>
      <c r="M26" s="14">
        <f>J26/K26</f>
        <v>7</v>
      </c>
      <c r="N26" s="2"/>
      <c r="O26" s="2" t="s">
        <v>119</v>
      </c>
      <c r="P26" s="2" t="s">
        <v>429</v>
      </c>
    </row>
    <row r="27" spans="1:16" hidden="1" x14ac:dyDescent="0.25">
      <c r="A27" s="17" t="s">
        <v>483</v>
      </c>
      <c r="B27" s="2" t="s">
        <v>457</v>
      </c>
      <c r="C27" s="27" t="s">
        <v>23</v>
      </c>
      <c r="D27" s="2" t="str">
        <f>VLOOKUP($C27,Sheet1!$A$2:$D$10,2,0)</f>
        <v>141186-74360</v>
      </c>
      <c r="E27" s="8" t="s">
        <v>85</v>
      </c>
      <c r="F27" s="12">
        <v>46032</v>
      </c>
      <c r="G27" s="13">
        <v>0.35416666666666669</v>
      </c>
      <c r="H27" s="2" t="s">
        <v>71</v>
      </c>
      <c r="I27" s="2" t="s">
        <v>54</v>
      </c>
      <c r="J27" s="2">
        <v>80</v>
      </c>
      <c r="K27" s="14">
        <f>VLOOKUP($C27,Sheet1!$A$2:$D$10,4,0)</f>
        <v>40</v>
      </c>
      <c r="L27" s="14" t="str">
        <f>VLOOKUP($C27,Sheet1!$A$2:$E$10,5,0)</f>
        <v>Trolley</v>
      </c>
      <c r="M27" s="14"/>
      <c r="N27" s="2">
        <f t="shared" ref="N27" si="4">J27/K27</f>
        <v>2</v>
      </c>
      <c r="O27" s="2" t="s">
        <v>119</v>
      </c>
      <c r="P27" s="2" t="s">
        <v>716</v>
      </c>
    </row>
    <row r="28" spans="1:16" hidden="1" x14ac:dyDescent="0.25">
      <c r="A28" s="17" t="s">
        <v>484</v>
      </c>
      <c r="B28" s="2" t="s">
        <v>468</v>
      </c>
      <c r="C28" s="27" t="s">
        <v>32</v>
      </c>
      <c r="D28" s="2" t="str">
        <f>VLOOKUP($C28,Sheet1!$A$2:$D$10,2,0)</f>
        <v>114010-50820</v>
      </c>
      <c r="E28" s="8" t="s">
        <v>98</v>
      </c>
      <c r="F28" s="12">
        <v>46032</v>
      </c>
      <c r="G28" s="13">
        <v>0.35416666666666669</v>
      </c>
      <c r="H28" s="2" t="s">
        <v>91</v>
      </c>
      <c r="I28" s="2" t="s">
        <v>54</v>
      </c>
      <c r="J28" s="2">
        <v>8</v>
      </c>
      <c r="K28" s="14">
        <f>VLOOKUP($C28,Sheet1!$A$2:$D$10,4,0)</f>
        <v>1</v>
      </c>
      <c r="L28" s="14" t="str">
        <f>VLOOKUP($C28,Sheet1!$A$2:$E$10,5,0)</f>
        <v>Bin</v>
      </c>
      <c r="M28" s="14">
        <f>J28/K28</f>
        <v>8</v>
      </c>
      <c r="N28" s="2"/>
      <c r="O28" s="2" t="s">
        <v>119</v>
      </c>
      <c r="P28" s="2" t="s">
        <v>429</v>
      </c>
    </row>
    <row r="29" spans="1:16" ht="15.75" hidden="1" thickBot="1" x14ac:dyDescent="0.3">
      <c r="A29" s="17" t="s">
        <v>484</v>
      </c>
      <c r="B29" s="2" t="s">
        <v>472</v>
      </c>
      <c r="C29" s="27" t="s">
        <v>29</v>
      </c>
      <c r="D29" s="2" t="str">
        <f>VLOOKUP($C29,Sheet1!$A$2:$D$10,2,0)</f>
        <v>114010-50830</v>
      </c>
      <c r="E29" s="8" t="s">
        <v>98</v>
      </c>
      <c r="F29" s="12">
        <v>46032</v>
      </c>
      <c r="G29" s="25">
        <v>0.35416666666666669</v>
      </c>
      <c r="H29" s="2" t="s">
        <v>91</v>
      </c>
      <c r="I29" s="2" t="s">
        <v>54</v>
      </c>
      <c r="J29" s="2">
        <v>50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ref="M29" si="5">J29/K29</f>
        <v>50</v>
      </c>
      <c r="N29" s="2"/>
      <c r="O29" s="2" t="s">
        <v>119</v>
      </c>
      <c r="P29" s="2" t="s">
        <v>428</v>
      </c>
    </row>
    <row r="30" spans="1:16" x14ac:dyDescent="0.25">
      <c r="A30" s="17" t="s">
        <v>485</v>
      </c>
      <c r="B30" s="2" t="s">
        <v>434</v>
      </c>
      <c r="C30" s="27" t="s">
        <v>5</v>
      </c>
      <c r="D30" s="2" t="str">
        <f>VLOOKUP($C30,Sheet1!$A$2:$D$10,2,0)</f>
        <v>141110-14600</v>
      </c>
      <c r="E30" s="8" t="s">
        <v>52</v>
      </c>
      <c r="F30" s="12">
        <v>46032</v>
      </c>
      <c r="G30" s="26">
        <v>0.5625</v>
      </c>
      <c r="H30" s="2" t="s">
        <v>53</v>
      </c>
      <c r="I30" s="2" t="s">
        <v>54</v>
      </c>
      <c r="J30" s="2">
        <v>18</v>
      </c>
      <c r="K30" s="14">
        <f>VLOOKUP($C30,Sheet1!$A$2:$D$10,4,0)</f>
        <v>18</v>
      </c>
      <c r="L30" s="14" t="str">
        <f>VLOOKUP($C30,Sheet1!$A$2:$E$10,5,0)</f>
        <v>Trolley (H)</v>
      </c>
      <c r="M30" s="14"/>
      <c r="N30" s="52">
        <v>1</v>
      </c>
      <c r="O30" s="2" t="s">
        <v>119</v>
      </c>
      <c r="P30" s="2" t="s">
        <v>717</v>
      </c>
    </row>
    <row r="31" spans="1:16" hidden="1" x14ac:dyDescent="0.25">
      <c r="A31" s="17" t="s">
        <v>485</v>
      </c>
      <c r="B31" s="2" t="s">
        <v>439</v>
      </c>
      <c r="C31" s="27" t="s">
        <v>9</v>
      </c>
      <c r="D31" s="2" t="str">
        <f>VLOOKUP($C31,Sheet1!$A$2:$D$10,2,0)</f>
        <v>141120-14600</v>
      </c>
      <c r="E31" s="8" t="s">
        <v>60</v>
      </c>
      <c r="F31" s="12">
        <v>46032</v>
      </c>
      <c r="G31" s="23">
        <v>0.5625</v>
      </c>
      <c r="H31" s="2" t="s">
        <v>53</v>
      </c>
      <c r="I31" s="2" t="s">
        <v>54</v>
      </c>
      <c r="J31" s="2">
        <v>18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3"/>
      <c r="O31" s="2" t="s">
        <v>119</v>
      </c>
      <c r="P31" s="2" t="s">
        <v>717</v>
      </c>
    </row>
    <row r="32" spans="1:16" s="11" customFormat="1" hidden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v>114</v>
      </c>
      <c r="N32" s="10">
        <v>7</v>
      </c>
      <c r="O32" s="10"/>
      <c r="P32" s="10"/>
    </row>
    <row r="33" spans="1:16" x14ac:dyDescent="0.25">
      <c r="A33" s="17" t="s">
        <v>486</v>
      </c>
      <c r="B33" s="2" t="s">
        <v>434</v>
      </c>
      <c r="C33" s="27" t="s">
        <v>5</v>
      </c>
      <c r="D33" s="2" t="str">
        <f>VLOOKUP($C33,Sheet1!$A$2:$D$10,2,0)</f>
        <v>141110-14600</v>
      </c>
      <c r="E33" s="8" t="s">
        <v>52</v>
      </c>
      <c r="F33" s="12">
        <v>46032</v>
      </c>
      <c r="G33" s="13">
        <v>0.5625</v>
      </c>
      <c r="H33" s="2" t="s">
        <v>53</v>
      </c>
      <c r="I33" s="2" t="s">
        <v>54</v>
      </c>
      <c r="J33" s="2">
        <v>54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2">
        <v>3</v>
      </c>
      <c r="O33" s="2" t="s">
        <v>121</v>
      </c>
      <c r="P33" s="2" t="s">
        <v>718</v>
      </c>
    </row>
    <row r="34" spans="1:16" hidden="1" x14ac:dyDescent="0.25">
      <c r="A34" s="17" t="s">
        <v>486</v>
      </c>
      <c r="B34" s="2" t="s">
        <v>439</v>
      </c>
      <c r="C34" s="27" t="s">
        <v>9</v>
      </c>
      <c r="D34" s="2" t="str">
        <f>VLOOKUP($C34,Sheet1!$A$2:$D$10,2,0)</f>
        <v>141120-14600</v>
      </c>
      <c r="E34" s="8" t="s">
        <v>60</v>
      </c>
      <c r="F34" s="12">
        <v>46032</v>
      </c>
      <c r="G34" s="13">
        <v>0.5625</v>
      </c>
      <c r="H34" s="2" t="s">
        <v>53</v>
      </c>
      <c r="I34" s="2" t="s">
        <v>54</v>
      </c>
      <c r="J34" s="2">
        <v>54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3"/>
      <c r="O34" s="2" t="s">
        <v>121</v>
      </c>
      <c r="P34" s="2" t="s">
        <v>719</v>
      </c>
    </row>
    <row r="35" spans="1:16" hidden="1" x14ac:dyDescent="0.25">
      <c r="A35" s="17" t="s">
        <v>486</v>
      </c>
      <c r="B35" s="2" t="s">
        <v>444</v>
      </c>
      <c r="C35" s="27" t="s">
        <v>12</v>
      </c>
      <c r="D35" s="2" t="str">
        <f>VLOOKUP($C35,Sheet1!$A$2:$D$10,2,0)</f>
        <v>141185-74670</v>
      </c>
      <c r="E35" s="8" t="s">
        <v>66</v>
      </c>
      <c r="F35" s="12">
        <v>46032</v>
      </c>
      <c r="G35" s="13">
        <v>0.5625</v>
      </c>
      <c r="H35" s="2" t="s">
        <v>53</v>
      </c>
      <c r="I35" s="2" t="s">
        <v>54</v>
      </c>
      <c r="J35" s="2">
        <v>120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>J35/K35</f>
        <v>3</v>
      </c>
      <c r="O35" s="2" t="s">
        <v>121</v>
      </c>
      <c r="P35" s="2">
        <v>910104677</v>
      </c>
    </row>
    <row r="36" spans="1:16" hidden="1" x14ac:dyDescent="0.25">
      <c r="A36" s="17" t="s">
        <v>486</v>
      </c>
      <c r="B36" s="2" t="s">
        <v>449</v>
      </c>
      <c r="C36" s="27" t="s">
        <v>16</v>
      </c>
      <c r="D36" s="2" t="str">
        <f>VLOOKUP($C36,Sheet1!$A$2:$D$10,2,0)</f>
        <v>141140-91211</v>
      </c>
      <c r="E36" s="8" t="s">
        <v>70</v>
      </c>
      <c r="F36" s="12">
        <v>46032</v>
      </c>
      <c r="G36" s="13">
        <v>0.5625</v>
      </c>
      <c r="H36" s="2" t="s">
        <v>71</v>
      </c>
      <c r="I36" s="2" t="s">
        <v>54</v>
      </c>
      <c r="J36" s="2">
        <v>60</v>
      </c>
      <c r="K36" s="14">
        <f>VLOOKUP($C36,Sheet1!$A$2:$D$10,4,0)</f>
        <v>2</v>
      </c>
      <c r="L36" s="14" t="str">
        <f>VLOOKUP($C36,Sheet1!$A$2:$E$10,5,0)</f>
        <v>Bin</v>
      </c>
      <c r="M36" s="14">
        <f t="shared" ref="M36:M37" si="6">J36/K36</f>
        <v>30</v>
      </c>
      <c r="N36" s="2"/>
      <c r="O36" s="2" t="s">
        <v>121</v>
      </c>
      <c r="P36" s="2" t="s">
        <v>429</v>
      </c>
    </row>
    <row r="37" spans="1:16" hidden="1" x14ac:dyDescent="0.25">
      <c r="A37" s="17" t="s">
        <v>486</v>
      </c>
      <c r="B37" s="2" t="s">
        <v>454</v>
      </c>
      <c r="C37" s="27" t="s">
        <v>20</v>
      </c>
      <c r="D37" s="2" t="str">
        <f>VLOOKUP($C37,Sheet1!$A$2:$D$10,2,0)</f>
        <v>141150-91211</v>
      </c>
      <c r="E37" s="8" t="s">
        <v>78</v>
      </c>
      <c r="F37" s="12">
        <v>46032</v>
      </c>
      <c r="G37" s="13">
        <v>0.5625</v>
      </c>
      <c r="H37" s="2" t="s">
        <v>71</v>
      </c>
      <c r="I37" s="2" t="s">
        <v>54</v>
      </c>
      <c r="J37" s="2">
        <v>60</v>
      </c>
      <c r="K37" s="14">
        <f>VLOOKUP($C37,Sheet1!$A$2:$D$10,4,0)</f>
        <v>2</v>
      </c>
      <c r="L37" s="14" t="str">
        <f>VLOOKUP($C37,Sheet1!$A$2:$E$10,5,0)</f>
        <v>Bin</v>
      </c>
      <c r="M37" s="14">
        <f t="shared" si="6"/>
        <v>30</v>
      </c>
      <c r="N37" s="2"/>
      <c r="O37" s="2" t="s">
        <v>121</v>
      </c>
      <c r="P37" s="2" t="s">
        <v>721</v>
      </c>
    </row>
    <row r="38" spans="1:16" hidden="1" x14ac:dyDescent="0.25">
      <c r="A38" s="17" t="s">
        <v>486</v>
      </c>
      <c r="B38" s="2" t="s">
        <v>459</v>
      </c>
      <c r="C38" s="27" t="s">
        <v>23</v>
      </c>
      <c r="D38" s="2" t="str">
        <f>VLOOKUP($C38,Sheet1!$A$2:$D$10,2,0)</f>
        <v>141186-74360</v>
      </c>
      <c r="E38" s="8" t="s">
        <v>85</v>
      </c>
      <c r="F38" s="12">
        <v>46032</v>
      </c>
      <c r="G38" s="13">
        <v>0.5625</v>
      </c>
      <c r="H38" s="2" t="s">
        <v>71</v>
      </c>
      <c r="I38" s="2" t="s">
        <v>54</v>
      </c>
      <c r="J38" s="2">
        <v>120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3</v>
      </c>
      <c r="O38" s="2" t="s">
        <v>121</v>
      </c>
      <c r="P38" s="2">
        <v>910104677</v>
      </c>
    </row>
    <row r="39" spans="1:16" hidden="1" x14ac:dyDescent="0.25">
      <c r="A39" s="17" t="s">
        <v>487</v>
      </c>
      <c r="B39" s="2" t="s">
        <v>464</v>
      </c>
      <c r="C39" s="27" t="s">
        <v>26</v>
      </c>
      <c r="D39" s="2" t="str">
        <f>VLOOKUP($C39,Sheet1!$A$2:$D$10,2,0)</f>
        <v>116040-92240</v>
      </c>
      <c r="E39" s="8" t="s">
        <v>90</v>
      </c>
      <c r="F39" s="12">
        <v>46032</v>
      </c>
      <c r="G39" s="13">
        <v>0.5625</v>
      </c>
      <c r="H39" s="2" t="s">
        <v>91</v>
      </c>
      <c r="I39" s="2" t="s">
        <v>54</v>
      </c>
      <c r="J39" s="2">
        <v>60</v>
      </c>
      <c r="K39" s="14">
        <f>VLOOKUP($C39,Sheet1!$A$2:$D$10,4,0)</f>
        <v>6</v>
      </c>
      <c r="L39" s="14" t="str">
        <f>VLOOKUP($C39,Sheet1!$A$2:$E$10,5,0)</f>
        <v>Bin</v>
      </c>
      <c r="M39" s="14">
        <f t="shared" ref="M39:M41" si="7">J39/K39</f>
        <v>10</v>
      </c>
      <c r="N39" s="2"/>
      <c r="O39" s="2" t="s">
        <v>121</v>
      </c>
      <c r="P39" s="2" t="s">
        <v>722</v>
      </c>
    </row>
    <row r="40" spans="1:16" hidden="1" x14ac:dyDescent="0.25">
      <c r="A40" s="17" t="s">
        <v>487</v>
      </c>
      <c r="B40" s="2" t="s">
        <v>469</v>
      </c>
      <c r="C40" s="27" t="s">
        <v>32</v>
      </c>
      <c r="D40" s="2" t="str">
        <f>VLOOKUP($C40,Sheet1!$A$2:$D$10,2,0)</f>
        <v>114010-50820</v>
      </c>
      <c r="E40" s="8" t="s">
        <v>98</v>
      </c>
      <c r="F40" s="12">
        <v>46032</v>
      </c>
      <c r="G40" s="13">
        <v>0.5625</v>
      </c>
      <c r="H40" s="2" t="s">
        <v>91</v>
      </c>
      <c r="I40" s="2" t="s">
        <v>54</v>
      </c>
      <c r="J40" s="2">
        <v>14</v>
      </c>
      <c r="K40" s="14">
        <f>VLOOKUP($C40,Sheet1!$A$2:$D$10,4,0)</f>
        <v>1</v>
      </c>
      <c r="L40" s="14" t="str">
        <f>VLOOKUP($C40,Sheet1!$A$2:$E$10,5,0)</f>
        <v>Bin</v>
      </c>
      <c r="M40" s="14">
        <f t="shared" si="7"/>
        <v>14</v>
      </c>
      <c r="N40" s="2"/>
      <c r="O40" s="2" t="s">
        <v>121</v>
      </c>
      <c r="P40" s="2" t="s">
        <v>429</v>
      </c>
    </row>
    <row r="41" spans="1:16" hidden="1" x14ac:dyDescent="0.25">
      <c r="A41" s="17" t="s">
        <v>487</v>
      </c>
      <c r="B41" s="2" t="s">
        <v>474</v>
      </c>
      <c r="C41" s="27" t="s">
        <v>29</v>
      </c>
      <c r="D41" s="2" t="str">
        <f>VLOOKUP($C41,Sheet1!$A$2:$D$10,2,0)</f>
        <v>114010-50830</v>
      </c>
      <c r="E41" s="8" t="s">
        <v>98</v>
      </c>
      <c r="F41" s="12">
        <v>46032</v>
      </c>
      <c r="G41" s="13">
        <v>0.5625</v>
      </c>
      <c r="H41" s="2" t="s">
        <v>91</v>
      </c>
      <c r="I41" s="2" t="s">
        <v>54</v>
      </c>
      <c r="J41" s="2">
        <v>46</v>
      </c>
      <c r="K41" s="14">
        <f>VLOOKUP($C41,Sheet1!$A$2:$D$10,4,0)</f>
        <v>1</v>
      </c>
      <c r="L41" s="14" t="str">
        <f>VLOOKUP($C41,Sheet1!$A$2:$E$10,5,0)</f>
        <v>Bin</v>
      </c>
      <c r="M41" s="14">
        <f t="shared" si="7"/>
        <v>46</v>
      </c>
      <c r="N41" s="2"/>
      <c r="O41" s="2" t="s">
        <v>121</v>
      </c>
      <c r="P41" s="2" t="s">
        <v>428</v>
      </c>
    </row>
    <row r="42" spans="1:16" s="11" customFormat="1" hidden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130</v>
      </c>
      <c r="N42" s="10">
        <v>9</v>
      </c>
      <c r="O42" s="10"/>
      <c r="P42" s="10"/>
    </row>
    <row r="43" spans="1:16" x14ac:dyDescent="0.25">
      <c r="A43" s="17" t="s">
        <v>488</v>
      </c>
      <c r="B43" s="2" t="s">
        <v>435</v>
      </c>
      <c r="C43" s="27" t="s">
        <v>5</v>
      </c>
      <c r="D43" s="2" t="str">
        <f>VLOOKUP($C43,Sheet1!$A$2:$D$10,2,0)</f>
        <v>141110-14600</v>
      </c>
      <c r="E43" s="8" t="s">
        <v>52</v>
      </c>
      <c r="F43" s="12">
        <v>46032</v>
      </c>
      <c r="G43" s="13">
        <v>0.77083333333333337</v>
      </c>
      <c r="H43" s="2" t="s">
        <v>53</v>
      </c>
      <c r="I43" s="2" t="s">
        <v>54</v>
      </c>
      <c r="J43" s="2">
        <v>54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2">
        <v>3</v>
      </c>
      <c r="O43" s="2" t="s">
        <v>359</v>
      </c>
      <c r="P43" s="2" t="s">
        <v>717</v>
      </c>
    </row>
    <row r="44" spans="1:16" hidden="1" x14ac:dyDescent="0.25">
      <c r="A44" s="17" t="s">
        <v>488</v>
      </c>
      <c r="B44" s="2" t="s">
        <v>440</v>
      </c>
      <c r="C44" s="27" t="s">
        <v>9</v>
      </c>
      <c r="D44" s="2" t="str">
        <f>VLOOKUP($C44,Sheet1!$A$2:$D$10,2,0)</f>
        <v>141120-14600</v>
      </c>
      <c r="E44" s="8" t="s">
        <v>60</v>
      </c>
      <c r="F44" s="12">
        <v>46032</v>
      </c>
      <c r="G44" s="13">
        <v>0.77083333333333337</v>
      </c>
      <c r="H44" s="2" t="s">
        <v>53</v>
      </c>
      <c r="I44" s="2" t="s">
        <v>54</v>
      </c>
      <c r="J44" s="2">
        <v>54</v>
      </c>
      <c r="K44" s="14">
        <f>VLOOKUP($C44,Sheet1!$A$2:$D$10,4,0)</f>
        <v>18</v>
      </c>
      <c r="L44" s="14" t="str">
        <f>VLOOKUP($C44,Sheet1!$A$2:$E$10,5,0)</f>
        <v>Trolley (H)</v>
      </c>
      <c r="M44" s="14"/>
      <c r="N44" s="53"/>
      <c r="O44" s="2" t="s">
        <v>359</v>
      </c>
      <c r="P44" s="2" t="s">
        <v>717</v>
      </c>
    </row>
    <row r="45" spans="1:16" hidden="1" x14ac:dyDescent="0.25">
      <c r="A45" s="17" t="s">
        <v>488</v>
      </c>
      <c r="B45" s="2" t="s">
        <v>445</v>
      </c>
      <c r="C45" s="27" t="s">
        <v>12</v>
      </c>
      <c r="D45" s="2" t="str">
        <f>VLOOKUP($C45,Sheet1!$A$2:$D$10,2,0)</f>
        <v>141185-74670</v>
      </c>
      <c r="E45" s="8" t="s">
        <v>66</v>
      </c>
      <c r="F45" s="12">
        <v>46032</v>
      </c>
      <c r="G45" s="13">
        <v>0.77083333333333337</v>
      </c>
      <c r="H45" s="2" t="s">
        <v>53</v>
      </c>
      <c r="I45" s="2" t="s">
        <v>54</v>
      </c>
      <c r="J45" s="2">
        <v>120</v>
      </c>
      <c r="K45" s="14">
        <f>VLOOKUP($C45,Sheet1!$A$2:$D$10,4,0)</f>
        <v>40</v>
      </c>
      <c r="L45" s="14" t="str">
        <f>VLOOKUP($C45,Sheet1!$A$2:$E$10,5,0)</f>
        <v>Trolley</v>
      </c>
      <c r="M45" s="14"/>
      <c r="N45" s="2">
        <f>J45/K45</f>
        <v>3</v>
      </c>
      <c r="O45" s="2" t="s">
        <v>359</v>
      </c>
      <c r="P45" s="2">
        <v>910104677</v>
      </c>
    </row>
    <row r="46" spans="1:16" hidden="1" x14ac:dyDescent="0.25">
      <c r="A46" s="17" t="s">
        <v>488</v>
      </c>
      <c r="B46" s="2" t="s">
        <v>450</v>
      </c>
      <c r="C46" s="27" t="s">
        <v>16</v>
      </c>
      <c r="D46" s="2" t="str">
        <f>VLOOKUP($C46,Sheet1!$A$2:$D$10,2,0)</f>
        <v>141140-91211</v>
      </c>
      <c r="E46" s="8" t="s">
        <v>70</v>
      </c>
      <c r="F46" s="12">
        <v>46032</v>
      </c>
      <c r="G46" s="13">
        <v>0.77083333333333337</v>
      </c>
      <c r="H46" s="2" t="s">
        <v>71</v>
      </c>
      <c r="I46" s="2" t="s">
        <v>54</v>
      </c>
      <c r="J46" s="2">
        <v>60</v>
      </c>
      <c r="K46" s="14">
        <f>VLOOKUP($C46,Sheet1!$A$2:$D$10,4,0)</f>
        <v>2</v>
      </c>
      <c r="L46" s="14" t="str">
        <f>VLOOKUP($C46,Sheet1!$A$2:$E$10,5,0)</f>
        <v>Bin</v>
      </c>
      <c r="M46" s="14">
        <f t="shared" ref="M46:M47" si="8">J46/K46</f>
        <v>30</v>
      </c>
      <c r="N46" s="2"/>
      <c r="O46" s="2" t="s">
        <v>359</v>
      </c>
      <c r="P46" s="2" t="s">
        <v>720</v>
      </c>
    </row>
    <row r="47" spans="1:16" hidden="1" x14ac:dyDescent="0.25">
      <c r="A47" s="17" t="s">
        <v>488</v>
      </c>
      <c r="B47" s="2" t="s">
        <v>455</v>
      </c>
      <c r="C47" s="27" t="s">
        <v>20</v>
      </c>
      <c r="D47" s="2" t="str">
        <f>VLOOKUP($C47,Sheet1!$A$2:$D$10,2,0)</f>
        <v>141150-91211</v>
      </c>
      <c r="E47" s="8" t="s">
        <v>78</v>
      </c>
      <c r="F47" s="12">
        <v>46032</v>
      </c>
      <c r="G47" s="13">
        <v>0.77083333333333337</v>
      </c>
      <c r="H47" s="2" t="s">
        <v>71</v>
      </c>
      <c r="I47" s="2" t="s">
        <v>54</v>
      </c>
      <c r="J47" s="2">
        <v>60</v>
      </c>
      <c r="K47" s="14">
        <f>VLOOKUP($C47,Sheet1!$A$2:$D$10,4,0)</f>
        <v>2</v>
      </c>
      <c r="L47" s="14" t="str">
        <f>VLOOKUP($C47,Sheet1!$A$2:$E$10,5,0)</f>
        <v>Bin</v>
      </c>
      <c r="M47" s="14">
        <f t="shared" si="8"/>
        <v>30</v>
      </c>
      <c r="N47" s="2"/>
      <c r="O47" s="2" t="s">
        <v>359</v>
      </c>
      <c r="P47" s="2" t="s">
        <v>723</v>
      </c>
    </row>
    <row r="48" spans="1:16" hidden="1" x14ac:dyDescent="0.25">
      <c r="A48" s="17" t="s">
        <v>488</v>
      </c>
      <c r="B48" s="2" t="s">
        <v>460</v>
      </c>
      <c r="C48" s="27" t="s">
        <v>23</v>
      </c>
      <c r="D48" s="2" t="str">
        <f>VLOOKUP($C48,Sheet1!$A$2:$D$10,2,0)</f>
        <v>141186-74360</v>
      </c>
      <c r="E48" s="8" t="s">
        <v>85</v>
      </c>
      <c r="F48" s="12">
        <v>46032</v>
      </c>
      <c r="G48" s="13">
        <v>0.77083333333333337</v>
      </c>
      <c r="H48" s="2" t="s">
        <v>71</v>
      </c>
      <c r="I48" s="2" t="s">
        <v>54</v>
      </c>
      <c r="J48" s="2">
        <v>120</v>
      </c>
      <c r="K48" s="14">
        <f>VLOOKUP($C48,Sheet1!$A$2:$D$10,4,0)</f>
        <v>40</v>
      </c>
      <c r="L48" s="14" t="str">
        <f>VLOOKUP($C48,Sheet1!$A$2:$E$10,5,0)</f>
        <v>Trolley</v>
      </c>
      <c r="M48" s="14"/>
      <c r="N48" s="2">
        <f>J48/K48</f>
        <v>3</v>
      </c>
      <c r="O48" s="2" t="s">
        <v>359</v>
      </c>
      <c r="P48" s="2">
        <v>910104677</v>
      </c>
    </row>
    <row r="49" spans="1:16" hidden="1" x14ac:dyDescent="0.25">
      <c r="A49" s="17" t="s">
        <v>489</v>
      </c>
      <c r="B49" s="2" t="s">
        <v>465</v>
      </c>
      <c r="C49" s="27" t="s">
        <v>26</v>
      </c>
      <c r="D49" s="2" t="str">
        <f>VLOOKUP($C49,Sheet1!$A$2:$D$10,2,0)</f>
        <v>116040-92240</v>
      </c>
      <c r="E49" s="8" t="s">
        <v>90</v>
      </c>
      <c r="F49" s="12">
        <v>46032</v>
      </c>
      <c r="G49" s="13">
        <v>0.77083333333333337</v>
      </c>
      <c r="H49" s="2" t="s">
        <v>91</v>
      </c>
      <c r="I49" s="2" t="s">
        <v>54</v>
      </c>
      <c r="J49" s="2">
        <v>60</v>
      </c>
      <c r="K49" s="14">
        <f>VLOOKUP($C49,Sheet1!$A$2:$D$10,4,0)</f>
        <v>6</v>
      </c>
      <c r="L49" s="14" t="str">
        <f>VLOOKUP($C49,Sheet1!$A$2:$E$10,5,0)</f>
        <v>Bin</v>
      </c>
      <c r="M49" s="14">
        <f t="shared" ref="M49:M51" si="9">J49/K49</f>
        <v>10</v>
      </c>
      <c r="N49" s="2"/>
      <c r="O49" s="2" t="s">
        <v>359</v>
      </c>
      <c r="P49" s="2" t="s">
        <v>724</v>
      </c>
    </row>
    <row r="50" spans="1:16" hidden="1" x14ac:dyDescent="0.25">
      <c r="A50" s="17" t="s">
        <v>489</v>
      </c>
      <c r="B50" s="2" t="s">
        <v>470</v>
      </c>
      <c r="C50" s="27" t="s">
        <v>32</v>
      </c>
      <c r="D50" s="2" t="str">
        <f>VLOOKUP($C50,Sheet1!$A$2:$D$10,2,0)</f>
        <v>114010-50820</v>
      </c>
      <c r="E50" s="8" t="s">
        <v>98</v>
      </c>
      <c r="F50" s="12">
        <v>46032</v>
      </c>
      <c r="G50" s="13">
        <v>0.77083333333333337</v>
      </c>
      <c r="H50" s="2" t="s">
        <v>91</v>
      </c>
      <c r="I50" s="2" t="s">
        <v>54</v>
      </c>
      <c r="J50" s="2">
        <v>13</v>
      </c>
      <c r="K50" s="14">
        <f>VLOOKUP($C50,Sheet1!$A$2:$D$10,4,0)</f>
        <v>1</v>
      </c>
      <c r="L50" s="14" t="str">
        <f>VLOOKUP($C50,Sheet1!$A$2:$E$10,5,0)</f>
        <v>Bin</v>
      </c>
      <c r="M50" s="14">
        <f t="shared" si="9"/>
        <v>13</v>
      </c>
      <c r="N50" s="2"/>
      <c r="O50" s="2" t="s">
        <v>359</v>
      </c>
      <c r="P50" s="2" t="s">
        <v>429</v>
      </c>
    </row>
    <row r="51" spans="1:16" hidden="1" x14ac:dyDescent="0.25">
      <c r="A51" s="17" t="s">
        <v>489</v>
      </c>
      <c r="B51" s="2" t="s">
        <v>475</v>
      </c>
      <c r="C51" s="27" t="s">
        <v>29</v>
      </c>
      <c r="D51" s="2" t="str">
        <f>VLOOKUP($C51,Sheet1!$A$2:$D$10,2,0)</f>
        <v>114010-50830</v>
      </c>
      <c r="E51" s="8" t="s">
        <v>98</v>
      </c>
      <c r="F51" s="12">
        <v>46032</v>
      </c>
      <c r="G51" s="13">
        <v>0.77083333333333337</v>
      </c>
      <c r="H51" s="2" t="s">
        <v>91</v>
      </c>
      <c r="I51" s="2" t="s">
        <v>54</v>
      </c>
      <c r="J51" s="2">
        <v>47</v>
      </c>
      <c r="K51" s="14">
        <f>VLOOKUP($C51,Sheet1!$A$2:$D$10,4,0)</f>
        <v>1</v>
      </c>
      <c r="L51" s="14" t="str">
        <f>VLOOKUP($C51,Sheet1!$A$2:$E$10,5,0)</f>
        <v>Bin</v>
      </c>
      <c r="M51" s="14">
        <f t="shared" si="9"/>
        <v>47</v>
      </c>
      <c r="N51" s="2"/>
      <c r="O51" s="2" t="s">
        <v>359</v>
      </c>
      <c r="P51" s="2" t="s">
        <v>725</v>
      </c>
    </row>
    <row r="52" spans="1:16" s="11" customFormat="1" hidden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>
        <v>130</v>
      </c>
      <c r="N52" s="10">
        <v>9</v>
      </c>
      <c r="O52" s="10"/>
      <c r="P52" s="10"/>
    </row>
    <row r="53" spans="1:16" x14ac:dyDescent="0.25">
      <c r="A53" s="17" t="s">
        <v>490</v>
      </c>
      <c r="B53" s="2" t="s">
        <v>436</v>
      </c>
      <c r="C53" s="27" t="s">
        <v>5</v>
      </c>
      <c r="D53" s="2" t="str">
        <f>VLOOKUP($C53,Sheet1!$A$2:$D$10,2,0)</f>
        <v>141110-14600</v>
      </c>
      <c r="E53" s="8" t="s">
        <v>52</v>
      </c>
      <c r="F53" s="12">
        <v>46032</v>
      </c>
      <c r="G53" s="13">
        <v>0.97916666666666663</v>
      </c>
      <c r="H53" s="2" t="s">
        <v>53</v>
      </c>
      <c r="I53" s="2" t="s">
        <v>54</v>
      </c>
      <c r="J53" s="2">
        <v>54</v>
      </c>
      <c r="K53" s="14">
        <f>VLOOKUP($C53,Sheet1!$A$2:$D$10,4,0)</f>
        <v>18</v>
      </c>
      <c r="L53" s="14" t="str">
        <f>VLOOKUP($C53,Sheet1!$A$2:$E$10,5,0)</f>
        <v>Trolley (H)</v>
      </c>
      <c r="M53" s="14"/>
      <c r="N53" s="52">
        <v>3</v>
      </c>
      <c r="O53" s="2" t="s">
        <v>122</v>
      </c>
      <c r="P53" s="2" t="s">
        <v>717</v>
      </c>
    </row>
    <row r="54" spans="1:16" hidden="1" x14ac:dyDescent="0.25">
      <c r="A54" s="17" t="s">
        <v>490</v>
      </c>
      <c r="B54" s="2" t="s">
        <v>441</v>
      </c>
      <c r="C54" s="27" t="s">
        <v>9</v>
      </c>
      <c r="D54" s="2" t="str">
        <f>VLOOKUP($C54,Sheet1!$A$2:$D$10,2,0)</f>
        <v>141120-14600</v>
      </c>
      <c r="E54" s="8" t="s">
        <v>60</v>
      </c>
      <c r="F54" s="12">
        <v>46032</v>
      </c>
      <c r="G54" s="13">
        <v>0.97916666666666663</v>
      </c>
      <c r="H54" s="2" t="s">
        <v>53</v>
      </c>
      <c r="I54" s="2" t="s">
        <v>54</v>
      </c>
      <c r="J54" s="2">
        <v>54</v>
      </c>
      <c r="K54" s="14">
        <f>VLOOKUP($C54,Sheet1!$A$2:$D$10,4,0)</f>
        <v>18</v>
      </c>
      <c r="L54" s="14" t="str">
        <f>VLOOKUP($C54,Sheet1!$A$2:$E$10,5,0)</f>
        <v>Trolley (H)</v>
      </c>
      <c r="M54" s="14"/>
      <c r="N54" s="53"/>
      <c r="O54" s="2" t="s">
        <v>122</v>
      </c>
      <c r="P54" s="2" t="s">
        <v>717</v>
      </c>
    </row>
    <row r="55" spans="1:16" hidden="1" x14ac:dyDescent="0.25">
      <c r="A55" s="17" t="s">
        <v>490</v>
      </c>
      <c r="B55" s="2" t="s">
        <v>446</v>
      </c>
      <c r="C55" s="27" t="s">
        <v>12</v>
      </c>
      <c r="D55" s="2" t="str">
        <f>VLOOKUP($C55,Sheet1!$A$2:$D$10,2,0)</f>
        <v>141185-74670</v>
      </c>
      <c r="E55" s="8" t="s">
        <v>66</v>
      </c>
      <c r="F55" s="12">
        <v>46032</v>
      </c>
      <c r="G55" s="13">
        <v>0.97916666666666663</v>
      </c>
      <c r="H55" s="2" t="s">
        <v>53</v>
      </c>
      <c r="I55" s="2" t="s">
        <v>54</v>
      </c>
      <c r="J55" s="2">
        <v>80</v>
      </c>
      <c r="K55" s="14">
        <f>VLOOKUP($C55,Sheet1!$A$2:$D$10,4,0)</f>
        <v>40</v>
      </c>
      <c r="L55" s="14" t="str">
        <f>VLOOKUP($C55,Sheet1!$A$2:$E$10,5,0)</f>
        <v>Trolley</v>
      </c>
      <c r="M55" s="14"/>
      <c r="N55" s="2">
        <f>J55/K55</f>
        <v>2</v>
      </c>
      <c r="O55" s="2" t="s">
        <v>122</v>
      </c>
      <c r="P55" s="2">
        <v>910104677</v>
      </c>
    </row>
    <row r="56" spans="1:16" hidden="1" x14ac:dyDescent="0.25">
      <c r="A56" s="17" t="s">
        <v>490</v>
      </c>
      <c r="B56" s="2" t="s">
        <v>451</v>
      </c>
      <c r="C56" s="27" t="s">
        <v>16</v>
      </c>
      <c r="D56" s="2" t="str">
        <f>VLOOKUP($C56,Sheet1!$A$2:$D$10,2,0)</f>
        <v>141140-91211</v>
      </c>
      <c r="E56" s="8" t="s">
        <v>70</v>
      </c>
      <c r="F56" s="12">
        <v>46032</v>
      </c>
      <c r="G56" s="13">
        <v>0.97916666666666663</v>
      </c>
      <c r="H56" s="2" t="s">
        <v>71</v>
      </c>
      <c r="I56" s="2" t="s">
        <v>54</v>
      </c>
      <c r="J56" s="2">
        <v>50</v>
      </c>
      <c r="K56" s="14">
        <f>VLOOKUP($C56,Sheet1!$A$2:$D$10,4,0)</f>
        <v>2</v>
      </c>
      <c r="L56" s="14" t="str">
        <f>VLOOKUP($C56,Sheet1!$A$2:$E$10,5,0)</f>
        <v>Bin</v>
      </c>
      <c r="M56" s="14">
        <f t="shared" ref="M56:M57" si="10">J56/K56</f>
        <v>25</v>
      </c>
      <c r="N56" s="2"/>
      <c r="O56" s="2" t="s">
        <v>122</v>
      </c>
      <c r="P56" s="2" t="s">
        <v>723</v>
      </c>
    </row>
    <row r="57" spans="1:16" hidden="1" x14ac:dyDescent="0.25">
      <c r="A57" s="17" t="s">
        <v>490</v>
      </c>
      <c r="B57" s="2" t="s">
        <v>456</v>
      </c>
      <c r="C57" s="27" t="s">
        <v>20</v>
      </c>
      <c r="D57" s="2" t="str">
        <f>VLOOKUP($C57,Sheet1!$A$2:$D$10,2,0)</f>
        <v>141150-91211</v>
      </c>
      <c r="E57" s="8" t="s">
        <v>78</v>
      </c>
      <c r="F57" s="12">
        <v>46032</v>
      </c>
      <c r="G57" s="13">
        <v>0.97916666666666663</v>
      </c>
      <c r="H57" s="2" t="s">
        <v>71</v>
      </c>
      <c r="I57" s="2" t="s">
        <v>54</v>
      </c>
      <c r="J57" s="2">
        <v>50</v>
      </c>
      <c r="K57" s="14">
        <f>VLOOKUP($C57,Sheet1!$A$2:$D$10,4,0)</f>
        <v>2</v>
      </c>
      <c r="L57" s="14" t="str">
        <f>VLOOKUP($C57,Sheet1!$A$2:$E$10,5,0)</f>
        <v>Bin</v>
      </c>
      <c r="M57" s="14">
        <f t="shared" si="10"/>
        <v>25</v>
      </c>
      <c r="N57" s="2"/>
      <c r="O57" s="2" t="s">
        <v>122</v>
      </c>
      <c r="P57" s="2" t="s">
        <v>723</v>
      </c>
    </row>
    <row r="58" spans="1:16" hidden="1" x14ac:dyDescent="0.25">
      <c r="A58" s="17" t="s">
        <v>490</v>
      </c>
      <c r="B58" s="2" t="s">
        <v>461</v>
      </c>
      <c r="C58" s="27" t="s">
        <v>23</v>
      </c>
      <c r="D58" s="2" t="str">
        <f>VLOOKUP($C58,Sheet1!$A$2:$D$10,2,0)</f>
        <v>141186-74360</v>
      </c>
      <c r="E58" s="8" t="s">
        <v>85</v>
      </c>
      <c r="F58" s="12">
        <v>46032</v>
      </c>
      <c r="G58" s="13">
        <v>0.97916666666666663</v>
      </c>
      <c r="H58" s="2" t="s">
        <v>71</v>
      </c>
      <c r="I58" s="2" t="s">
        <v>54</v>
      </c>
      <c r="J58" s="2">
        <v>80</v>
      </c>
      <c r="K58" s="14">
        <f>VLOOKUP($C58,Sheet1!$A$2:$D$10,4,0)</f>
        <v>40</v>
      </c>
      <c r="L58" s="14" t="str">
        <f>VLOOKUP($C58,Sheet1!$A$2:$E$10,5,0)</f>
        <v>Trolley</v>
      </c>
      <c r="M58" s="14"/>
      <c r="N58" s="2">
        <f>J58/K58</f>
        <v>2</v>
      </c>
      <c r="O58" s="2" t="s">
        <v>122</v>
      </c>
      <c r="P58" s="2">
        <v>910104677</v>
      </c>
    </row>
    <row r="59" spans="1:16" hidden="1" x14ac:dyDescent="0.25">
      <c r="A59" s="17" t="s">
        <v>491</v>
      </c>
      <c r="B59" s="2" t="s">
        <v>466</v>
      </c>
      <c r="C59" s="27" t="s">
        <v>26</v>
      </c>
      <c r="D59" s="2" t="str">
        <f>VLOOKUP($C59,Sheet1!$A$2:$D$10,2,0)</f>
        <v>116040-92240</v>
      </c>
      <c r="E59" s="8" t="s">
        <v>90</v>
      </c>
      <c r="F59" s="12">
        <v>46032</v>
      </c>
      <c r="G59" s="13">
        <v>0.97916666666666663</v>
      </c>
      <c r="H59" s="2" t="s">
        <v>91</v>
      </c>
      <c r="I59" s="2" t="s">
        <v>54</v>
      </c>
      <c r="J59" s="2">
        <v>54</v>
      </c>
      <c r="K59" s="14">
        <f>VLOOKUP($C59,Sheet1!$A$2:$D$10,4,0)</f>
        <v>6</v>
      </c>
      <c r="L59" s="14" t="str">
        <f>VLOOKUP($C59,Sheet1!$A$2:$E$10,5,0)</f>
        <v>Bin</v>
      </c>
      <c r="M59" s="14">
        <f t="shared" ref="M59:M61" si="11">J59/K59</f>
        <v>9</v>
      </c>
      <c r="N59" s="2"/>
      <c r="O59" s="2" t="s">
        <v>122</v>
      </c>
      <c r="P59" s="2" t="s">
        <v>724</v>
      </c>
    </row>
    <row r="60" spans="1:16" hidden="1" x14ac:dyDescent="0.25">
      <c r="A60" s="17" t="s">
        <v>491</v>
      </c>
      <c r="B60" s="2" t="s">
        <v>471</v>
      </c>
      <c r="C60" s="27" t="s">
        <v>32</v>
      </c>
      <c r="D60" s="2" t="str">
        <f>VLOOKUP($C60,Sheet1!$A$2:$D$10,2,0)</f>
        <v>114010-50820</v>
      </c>
      <c r="E60" s="8" t="s">
        <v>98</v>
      </c>
      <c r="F60" s="12">
        <v>46032</v>
      </c>
      <c r="G60" s="13">
        <v>0.97916666666666663</v>
      </c>
      <c r="H60" s="2" t="s">
        <v>91</v>
      </c>
      <c r="I60" s="2" t="s">
        <v>54</v>
      </c>
      <c r="J60" s="2">
        <v>15</v>
      </c>
      <c r="K60" s="14">
        <f>VLOOKUP($C60,Sheet1!$A$2:$D$10,4,0)</f>
        <v>1</v>
      </c>
      <c r="L60" s="14" t="str">
        <f>VLOOKUP($C60,Sheet1!$A$2:$E$10,5,0)</f>
        <v>Bin</v>
      </c>
      <c r="M60" s="14">
        <f t="shared" si="11"/>
        <v>15</v>
      </c>
      <c r="N60" s="2"/>
      <c r="O60" s="2" t="s">
        <v>122</v>
      </c>
      <c r="P60" s="2" t="s">
        <v>429</v>
      </c>
    </row>
    <row r="61" spans="1:16" hidden="1" x14ac:dyDescent="0.25">
      <c r="A61" s="17" t="s">
        <v>491</v>
      </c>
      <c r="B61" s="2" t="s">
        <v>476</v>
      </c>
      <c r="C61" s="27" t="s">
        <v>29</v>
      </c>
      <c r="D61" s="2" t="str">
        <f>VLOOKUP($C61,Sheet1!$A$2:$D$10,2,0)</f>
        <v>114010-50830</v>
      </c>
      <c r="E61" s="8" t="s">
        <v>98</v>
      </c>
      <c r="F61" s="12">
        <v>46032</v>
      </c>
      <c r="G61" s="13">
        <v>0.97916666666666663</v>
      </c>
      <c r="H61" s="2" t="s">
        <v>91</v>
      </c>
      <c r="I61" s="2" t="s">
        <v>54</v>
      </c>
      <c r="J61" s="2">
        <v>35</v>
      </c>
      <c r="K61" s="14">
        <f>VLOOKUP($C61,Sheet1!$A$2:$D$10,4,0)</f>
        <v>1</v>
      </c>
      <c r="L61" s="14" t="str">
        <f>VLOOKUP($C61,Sheet1!$A$2:$E$10,5,0)</f>
        <v>Bin</v>
      </c>
      <c r="M61" s="14">
        <f t="shared" si="11"/>
        <v>35</v>
      </c>
      <c r="N61" s="2"/>
      <c r="O61" s="2" t="s">
        <v>122</v>
      </c>
      <c r="P61" s="2" t="s">
        <v>726</v>
      </c>
    </row>
    <row r="62" spans="1:16" s="11" customFormat="1" hidden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>
        <v>109</v>
      </c>
      <c r="N62" s="10">
        <v>7</v>
      </c>
      <c r="O62" s="10"/>
      <c r="P62" s="10"/>
    </row>
    <row r="63" spans="1:16" hidden="1" x14ac:dyDescent="0.25">
      <c r="A63" s="2"/>
      <c r="B63" s="2" t="s">
        <v>477</v>
      </c>
      <c r="C63" s="2"/>
      <c r="D63" s="2"/>
      <c r="E63" s="8"/>
      <c r="F63" s="12"/>
      <c r="G63" s="13"/>
      <c r="H63" s="2"/>
      <c r="I63" s="2"/>
      <c r="J63" s="2"/>
      <c r="K63" s="14"/>
      <c r="L63" s="14"/>
      <c r="M63" s="14"/>
      <c r="N63" s="2"/>
      <c r="O63" s="2"/>
      <c r="P63" s="2"/>
    </row>
    <row r="64" spans="1:16" x14ac:dyDescent="0.25">
      <c r="A64" s="2"/>
      <c r="B64" s="2"/>
      <c r="C64" s="2"/>
      <c r="D64" s="2"/>
      <c r="E64" s="8"/>
      <c r="F64" s="12"/>
      <c r="G64" s="13"/>
      <c r="H64" s="2"/>
      <c r="I64" s="2"/>
      <c r="J64" s="2"/>
      <c r="K64" s="14"/>
      <c r="L64" s="14"/>
      <c r="M64" s="14"/>
      <c r="N64" s="2"/>
      <c r="O64" s="2"/>
      <c r="P64" s="2"/>
    </row>
    <row r="65" spans="1:16" x14ac:dyDescent="0.25">
      <c r="A65" s="2"/>
      <c r="B65" s="2"/>
      <c r="C65" s="2"/>
      <c r="D65" s="2"/>
      <c r="E65" s="8"/>
      <c r="F65" s="12"/>
      <c r="G65" s="13"/>
      <c r="H65" s="2"/>
      <c r="I65" s="2"/>
      <c r="J65" s="2"/>
      <c r="K65" s="14"/>
      <c r="L65" s="14"/>
      <c r="M65" s="14"/>
      <c r="N65" s="2"/>
      <c r="O65" s="2"/>
      <c r="P65" s="2"/>
    </row>
  </sheetData>
  <autoFilter ref="A3:P63" xr:uid="{357E43D6-1150-40F6-888B-0BBD54104ACF}">
    <filterColumn colId="2">
      <filters>
        <filter val="55101M58U10"/>
      </filters>
    </filterColumn>
  </autoFilter>
  <mergeCells count="10">
    <mergeCell ref="N53:N54"/>
    <mergeCell ref="N20:N21"/>
    <mergeCell ref="N30:N31"/>
    <mergeCell ref="A1:F1"/>
    <mergeCell ref="J1:N1"/>
    <mergeCell ref="L2:N2"/>
    <mergeCell ref="N4:N5"/>
    <mergeCell ref="N6:N7"/>
    <mergeCell ref="N33:N34"/>
    <mergeCell ref="N43:N44"/>
  </mergeCells>
  <conditionalFormatting sqref="B2">
    <cfRule type="duplicateValues" dxfId="109" priority="3"/>
    <cfRule type="duplicateValues" dxfId="108" priority="4"/>
  </conditionalFormatting>
  <conditionalFormatting sqref="B4:B18 B20:B31 B33:B41 B63:B65 B43:B51 B53:B61">
    <cfRule type="duplicateValues" dxfId="107" priority="2"/>
  </conditionalFormatting>
  <conditionalFormatting sqref="C2:D2">
    <cfRule type="duplicateValues" dxfId="106" priority="5"/>
    <cfRule type="duplicateValues" dxfId="105" priority="6"/>
  </conditionalFormatting>
  <hyperlinks>
    <hyperlink ref="B63" r:id="rId1" display="http://192.168.1.249/downloads/temp/X539_eNagare_202619.log" xr:uid="{44D7AEBC-1C4E-401A-A31E-941E9FA04CA3}"/>
  </hyperlinks>
  <pageMargins left="0.19" right="0.17" top="0.17" bottom="0.17" header="0.3" footer="0.17"/>
  <pageSetup paperSize="9" scale="14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DE12-9807-44B6-BDFD-47219B4118FF}">
  <sheetPr filterMode="1">
    <tabColor rgb="FF00B050"/>
    <pageSetUpPr fitToPage="1"/>
  </sheetPr>
  <dimension ref="A1:P59"/>
  <sheetViews>
    <sheetView workbookViewId="0">
      <selection activeCell="J4" sqref="J4:J48"/>
    </sheetView>
  </sheetViews>
  <sheetFormatPr defaultColWidth="61.42578125" defaultRowHeight="15" x14ac:dyDescent="0.25"/>
  <cols>
    <col min="1" max="1" width="15.140625" bestFit="1" customWidth="1"/>
    <col min="2" max="2" width="18.42578125" customWidth="1"/>
    <col min="3" max="3" width="14.140625" bestFit="1" customWidth="1"/>
    <col min="4" max="4" width="14.140625" customWidth="1"/>
    <col min="5" max="5" width="32.5703125" bestFit="1" customWidth="1"/>
    <col min="6" max="6" width="10.140625" customWidth="1"/>
    <col min="7" max="7" width="7.42578125" customWidth="1"/>
    <col min="8" max="8" width="12.28515625" customWidth="1"/>
    <col min="9" max="9" width="4.7109375" bestFit="1" customWidth="1"/>
    <col min="10" max="10" width="6.7109375" customWidth="1"/>
    <col min="11" max="11" width="9" customWidth="1"/>
    <col min="12" max="12" width="11.42578125" customWidth="1"/>
    <col min="13" max="13" width="7.28515625" customWidth="1"/>
    <col min="14" max="14" width="7.85546875" bestFit="1" customWidth="1"/>
    <col min="15" max="15" width="10.7109375" customWidth="1"/>
    <col min="16" max="16" width="53.2851562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55" t="s">
        <v>35</v>
      </c>
      <c r="K1" s="56"/>
      <c r="L1" s="56"/>
      <c r="M1" s="56"/>
      <c r="N1" s="56"/>
      <c r="O1" s="3"/>
      <c r="P1" s="4"/>
    </row>
    <row r="2" spans="1:16" ht="15.75" x14ac:dyDescent="0.25">
      <c r="A2" s="5" t="s">
        <v>36</v>
      </c>
      <c r="B2" s="6">
        <v>46033</v>
      </c>
      <c r="C2" s="7"/>
      <c r="D2" s="7"/>
      <c r="E2" s="2"/>
      <c r="F2" s="8"/>
      <c r="G2" s="2"/>
      <c r="H2" s="2"/>
      <c r="I2" s="2"/>
      <c r="J2" s="2"/>
      <c r="K2" s="2"/>
      <c r="L2" s="57" t="s">
        <v>37</v>
      </c>
      <c r="M2" s="58"/>
      <c r="N2" s="59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542</v>
      </c>
      <c r="B4" s="2" t="s">
        <v>499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46033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119</v>
      </c>
      <c r="P4" s="2" t="s">
        <v>717</v>
      </c>
    </row>
    <row r="5" spans="1:16" hidden="1" x14ac:dyDescent="0.25">
      <c r="A5" s="17" t="s">
        <v>542</v>
      </c>
      <c r="B5" s="2" t="s">
        <v>503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46033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119</v>
      </c>
      <c r="P5" s="2" t="s">
        <v>717</v>
      </c>
    </row>
    <row r="6" spans="1:16" hidden="1" x14ac:dyDescent="0.25">
      <c r="A6" s="17" t="s">
        <v>542</v>
      </c>
      <c r="B6" s="2" t="s">
        <v>507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46033</v>
      </c>
      <c r="G6" s="13">
        <v>0.35416666666666669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119</v>
      </c>
      <c r="P6" s="2">
        <v>910105502</v>
      </c>
    </row>
    <row r="7" spans="1:16" hidden="1" x14ac:dyDescent="0.25">
      <c r="A7" s="17" t="s">
        <v>542</v>
      </c>
      <c r="B7" s="2" t="s">
        <v>511</v>
      </c>
      <c r="C7" s="27" t="s">
        <v>16</v>
      </c>
      <c r="D7" s="2" t="str">
        <f>VLOOKUP($C7,Sheet1!$A$2:$D$10,2,0)</f>
        <v>141140-91211</v>
      </c>
      <c r="E7" s="8" t="s">
        <v>70</v>
      </c>
      <c r="F7" s="12">
        <v>46033</v>
      </c>
      <c r="G7" s="13">
        <v>0.35416666666666669</v>
      </c>
      <c r="H7" s="2" t="s">
        <v>71</v>
      </c>
      <c r="I7" s="2" t="s">
        <v>54</v>
      </c>
      <c r="J7" s="2">
        <v>42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21</v>
      </c>
      <c r="N7" s="2"/>
      <c r="O7" s="2" t="s">
        <v>119</v>
      </c>
      <c r="P7" s="2" t="s">
        <v>723</v>
      </c>
    </row>
    <row r="8" spans="1:16" hidden="1" x14ac:dyDescent="0.25">
      <c r="A8" s="17" t="s">
        <v>542</v>
      </c>
      <c r="B8" s="2" t="s">
        <v>516</v>
      </c>
      <c r="C8" s="27" t="s">
        <v>20</v>
      </c>
      <c r="D8" s="2" t="str">
        <f>VLOOKUP($C8,Sheet1!$A$2:$D$10,2,0)</f>
        <v>141150-91211</v>
      </c>
      <c r="E8" s="8" t="s">
        <v>78</v>
      </c>
      <c r="F8" s="12">
        <v>46033</v>
      </c>
      <c r="G8" s="13">
        <v>0.35416666666666669</v>
      </c>
      <c r="H8" s="2" t="s">
        <v>71</v>
      </c>
      <c r="I8" s="2" t="s">
        <v>54</v>
      </c>
      <c r="J8" s="2">
        <v>42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" si="0">J8/K8</f>
        <v>21</v>
      </c>
      <c r="N8" s="2"/>
      <c r="O8" s="2" t="s">
        <v>119</v>
      </c>
      <c r="P8" s="2" t="s">
        <v>723</v>
      </c>
    </row>
    <row r="9" spans="1:16" hidden="1" x14ac:dyDescent="0.25">
      <c r="A9" s="17" t="s">
        <v>542</v>
      </c>
      <c r="B9" s="2" t="s">
        <v>521</v>
      </c>
      <c r="C9" s="27" t="s">
        <v>23</v>
      </c>
      <c r="D9" s="2" t="str">
        <f>VLOOKUP($C9,Sheet1!$A$2:$D$10,2,0)</f>
        <v>141186-74360</v>
      </c>
      <c r="E9" s="8" t="s">
        <v>85</v>
      </c>
      <c r="F9" s="12">
        <v>46033</v>
      </c>
      <c r="G9" s="13">
        <v>0.35416666666666669</v>
      </c>
      <c r="H9" s="2" t="s">
        <v>71</v>
      </c>
      <c r="I9" s="2" t="s">
        <v>54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 t="shared" ref="N9:N10" si="1">J9/K9</f>
        <v>2</v>
      </c>
      <c r="O9" s="2" t="s">
        <v>119</v>
      </c>
      <c r="P9" s="2">
        <v>910104677</v>
      </c>
    </row>
    <row r="10" spans="1:16" hidden="1" x14ac:dyDescent="0.25">
      <c r="A10" s="17" t="s">
        <v>542</v>
      </c>
      <c r="B10" s="2" t="s">
        <v>522</v>
      </c>
      <c r="C10" s="27" t="s">
        <v>23</v>
      </c>
      <c r="D10" s="2" t="str">
        <f>VLOOKUP($C10,Sheet1!$A$2:$D$10,2,0)</f>
        <v>141186-74360</v>
      </c>
      <c r="E10" s="8" t="s">
        <v>85</v>
      </c>
      <c r="F10" s="12">
        <v>46033</v>
      </c>
      <c r="G10" s="13">
        <v>0.35416666666666669</v>
      </c>
      <c r="H10" s="2" t="s">
        <v>71</v>
      </c>
      <c r="I10" s="2" t="s">
        <v>54</v>
      </c>
      <c r="J10" s="2">
        <v>40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 t="shared" si="1"/>
        <v>1</v>
      </c>
      <c r="O10" s="2" t="s">
        <v>119</v>
      </c>
      <c r="P10" s="2">
        <v>910104677</v>
      </c>
    </row>
    <row r="11" spans="1:16" hidden="1" x14ac:dyDescent="0.25">
      <c r="A11" s="17" t="s">
        <v>543</v>
      </c>
      <c r="B11" s="2" t="s">
        <v>526</v>
      </c>
      <c r="C11" s="27" t="s">
        <v>26</v>
      </c>
      <c r="D11" s="2" t="str">
        <f>VLOOKUP($C11,Sheet1!$A$2:$D$10,2,0)</f>
        <v>116040-92240</v>
      </c>
      <c r="E11" s="8" t="s">
        <v>90</v>
      </c>
      <c r="F11" s="12">
        <v>46033</v>
      </c>
      <c r="G11" s="13">
        <v>0.35416666666666669</v>
      </c>
      <c r="H11" s="2" t="s">
        <v>91</v>
      </c>
      <c r="I11" s="2" t="s">
        <v>54</v>
      </c>
      <c r="J11" s="2">
        <v>84</v>
      </c>
      <c r="K11" s="14">
        <f>VLOOKUP($C11,Sheet1!$A$2:$D$10,4,0)</f>
        <v>6</v>
      </c>
      <c r="L11" s="14" t="str">
        <f>VLOOKUP($C11,Sheet1!$A$2:$E$10,5,0)</f>
        <v>Bin</v>
      </c>
      <c r="M11" s="14">
        <f t="shared" ref="M11:M14" si="2">J11/K11</f>
        <v>14</v>
      </c>
      <c r="N11" s="2"/>
      <c r="O11" s="2" t="s">
        <v>119</v>
      </c>
      <c r="P11" s="2" t="s">
        <v>724</v>
      </c>
    </row>
    <row r="12" spans="1:16" hidden="1" x14ac:dyDescent="0.25">
      <c r="A12" s="17" t="s">
        <v>543</v>
      </c>
      <c r="B12" s="2" t="s">
        <v>531</v>
      </c>
      <c r="C12" s="27" t="s">
        <v>32</v>
      </c>
      <c r="D12" s="2" t="str">
        <f>VLOOKUP($C12,Sheet1!$A$2:$D$10,2,0)</f>
        <v>114010-50820</v>
      </c>
      <c r="E12" s="8" t="s">
        <v>98</v>
      </c>
      <c r="F12" s="12">
        <v>46033</v>
      </c>
      <c r="G12" s="13">
        <v>0.35416666666666669</v>
      </c>
      <c r="H12" s="2" t="s">
        <v>91</v>
      </c>
      <c r="I12" s="2" t="s">
        <v>54</v>
      </c>
      <c r="J12" s="2">
        <v>18</v>
      </c>
      <c r="K12" s="14">
        <f>VLOOKUP($C12,Sheet1!$A$2:$D$10,4,0)</f>
        <v>1</v>
      </c>
      <c r="L12" s="14" t="str">
        <f>VLOOKUP($C12,Sheet1!$A$2:$E$10,5,0)</f>
        <v>Bin</v>
      </c>
      <c r="M12" s="14">
        <f t="shared" si="2"/>
        <v>18</v>
      </c>
      <c r="N12" s="2"/>
      <c r="O12" s="2" t="s">
        <v>119</v>
      </c>
      <c r="P12" s="2" t="s">
        <v>429</v>
      </c>
    </row>
    <row r="13" spans="1:16" hidden="1" x14ac:dyDescent="0.25">
      <c r="A13" s="17" t="s">
        <v>543</v>
      </c>
      <c r="B13" s="2" t="s">
        <v>536</v>
      </c>
      <c r="C13" s="27" t="s">
        <v>29</v>
      </c>
      <c r="D13" s="2" t="str">
        <f>VLOOKUP($C13,Sheet1!$A$2:$D$10,2,0)</f>
        <v>114010-50830</v>
      </c>
      <c r="E13" s="8" t="s">
        <v>98</v>
      </c>
      <c r="F13" s="12">
        <v>46033</v>
      </c>
      <c r="G13" s="13">
        <v>0.35416666666666669</v>
      </c>
      <c r="H13" s="2" t="s">
        <v>91</v>
      </c>
      <c r="I13" s="2" t="s">
        <v>54</v>
      </c>
      <c r="J13" s="2">
        <v>36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2"/>
        <v>36</v>
      </c>
      <c r="N13" s="2"/>
      <c r="O13" s="2" t="s">
        <v>119</v>
      </c>
      <c r="P13" s="2" t="s">
        <v>723</v>
      </c>
    </row>
    <row r="14" spans="1:16" hidden="1" x14ac:dyDescent="0.25">
      <c r="A14" s="17" t="s">
        <v>543</v>
      </c>
      <c r="B14" s="2" t="s">
        <v>537</v>
      </c>
      <c r="C14" s="27" t="s">
        <v>29</v>
      </c>
      <c r="D14" s="2" t="str">
        <f>VLOOKUP($C14,Sheet1!$A$2:$D$10,2,0)</f>
        <v>114010-50830</v>
      </c>
      <c r="E14" s="8" t="s">
        <v>98</v>
      </c>
      <c r="F14" s="12">
        <v>46033</v>
      </c>
      <c r="G14" s="13">
        <v>0.35416666666666669</v>
      </c>
      <c r="H14" s="2" t="s">
        <v>91</v>
      </c>
      <c r="I14" s="2" t="s">
        <v>54</v>
      </c>
      <c r="J14" s="2">
        <v>10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2"/>
        <v>10</v>
      </c>
      <c r="N14" s="2"/>
      <c r="O14" s="2" t="s">
        <v>119</v>
      </c>
      <c r="P14" s="2" t="s">
        <v>723</v>
      </c>
    </row>
    <row r="15" spans="1:16" s="11" customFormat="1" hidden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120</v>
      </c>
      <c r="N15" s="10">
        <v>8</v>
      </c>
      <c r="O15" s="10"/>
      <c r="P15" s="10"/>
    </row>
    <row r="16" spans="1:16" x14ac:dyDescent="0.25">
      <c r="A16" s="17" t="s">
        <v>544</v>
      </c>
      <c r="B16" s="2" t="s">
        <v>499</v>
      </c>
      <c r="C16" s="27" t="s">
        <v>5</v>
      </c>
      <c r="D16" s="2" t="str">
        <f>VLOOKUP($C16,Sheet1!$A$2:$D$10,2,0)</f>
        <v>141110-14600</v>
      </c>
      <c r="E16" s="8" t="s">
        <v>52</v>
      </c>
      <c r="F16" s="12">
        <v>46033</v>
      </c>
      <c r="G16" s="13">
        <v>0.35416666666666669</v>
      </c>
      <c r="H16" s="2" t="s">
        <v>53</v>
      </c>
      <c r="I16" s="2" t="s">
        <v>54</v>
      </c>
      <c r="J16" s="2">
        <v>18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2">
        <v>1</v>
      </c>
      <c r="O16" s="2" t="s">
        <v>121</v>
      </c>
      <c r="P16" s="2" t="s">
        <v>717</v>
      </c>
    </row>
    <row r="17" spans="1:16" hidden="1" x14ac:dyDescent="0.25">
      <c r="A17" s="17" t="s">
        <v>544</v>
      </c>
      <c r="B17" s="2" t="s">
        <v>503</v>
      </c>
      <c r="C17" s="27" t="s">
        <v>9</v>
      </c>
      <c r="D17" s="2" t="str">
        <f>VLOOKUP($C17,Sheet1!$A$2:$D$10,2,0)</f>
        <v>141120-14600</v>
      </c>
      <c r="E17" s="8" t="s">
        <v>60</v>
      </c>
      <c r="F17" s="12">
        <v>46033</v>
      </c>
      <c r="G17" s="13">
        <v>0.35416666666666669</v>
      </c>
      <c r="H17" s="2" t="s">
        <v>53</v>
      </c>
      <c r="I17" s="2" t="s">
        <v>54</v>
      </c>
      <c r="J17" s="2">
        <v>18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3"/>
      <c r="O17" s="2" t="s">
        <v>121</v>
      </c>
      <c r="P17" s="2" t="s">
        <v>717</v>
      </c>
    </row>
    <row r="18" spans="1:16" hidden="1" x14ac:dyDescent="0.25">
      <c r="A18" s="17" t="s">
        <v>544</v>
      </c>
      <c r="B18" s="2" t="s">
        <v>507</v>
      </c>
      <c r="C18" s="27" t="s">
        <v>12</v>
      </c>
      <c r="D18" s="2" t="str">
        <f>VLOOKUP($C18,Sheet1!$A$2:$D$10,2,0)</f>
        <v>141185-74670</v>
      </c>
      <c r="E18" s="8" t="s">
        <v>66</v>
      </c>
      <c r="F18" s="12">
        <v>46033</v>
      </c>
      <c r="G18" s="13">
        <v>0.35416666666666669</v>
      </c>
      <c r="H18" s="2" t="s">
        <v>53</v>
      </c>
      <c r="I18" s="2" t="s">
        <v>54</v>
      </c>
      <c r="J18" s="2">
        <v>80</v>
      </c>
      <c r="K18" s="14">
        <f>VLOOKUP($C18,Sheet1!$A$2:$D$10,4,0)</f>
        <v>40</v>
      </c>
      <c r="L18" s="14" t="str">
        <f>VLOOKUP($C18,Sheet1!$A$2:$E$10,5,0)</f>
        <v>Trolley</v>
      </c>
      <c r="M18" s="14"/>
      <c r="N18" s="2">
        <f>J18/K18</f>
        <v>2</v>
      </c>
      <c r="O18" s="2" t="s">
        <v>121</v>
      </c>
      <c r="P18" s="2">
        <v>910105502</v>
      </c>
    </row>
    <row r="19" spans="1:16" hidden="1" x14ac:dyDescent="0.25">
      <c r="A19" s="17" t="s">
        <v>544</v>
      </c>
      <c r="B19" s="2" t="s">
        <v>511</v>
      </c>
      <c r="C19" s="27" t="s">
        <v>16</v>
      </c>
      <c r="D19" s="2" t="str">
        <f>VLOOKUP($C19,Sheet1!$A$2:$D$10,2,0)</f>
        <v>141140-91211</v>
      </c>
      <c r="E19" s="8" t="s">
        <v>70</v>
      </c>
      <c r="F19" s="12">
        <v>46033</v>
      </c>
      <c r="G19" s="13">
        <v>0.35416666666666669</v>
      </c>
      <c r="H19" s="2" t="s">
        <v>71</v>
      </c>
      <c r="I19" s="2" t="s">
        <v>54</v>
      </c>
      <c r="J19" s="2">
        <v>42</v>
      </c>
      <c r="K19" s="14">
        <f>VLOOKUP($C19,Sheet1!$A$2:$D$10,4,0)</f>
        <v>2</v>
      </c>
      <c r="L19" s="14" t="str">
        <f>VLOOKUP($C19,Sheet1!$A$2:$E$10,5,0)</f>
        <v>Bin</v>
      </c>
      <c r="M19" s="14">
        <f>J19/K19</f>
        <v>21</v>
      </c>
      <c r="N19" s="2"/>
      <c r="O19" s="2" t="s">
        <v>121</v>
      </c>
      <c r="P19" s="2" t="s">
        <v>723</v>
      </c>
    </row>
    <row r="20" spans="1:16" hidden="1" x14ac:dyDescent="0.25">
      <c r="A20" s="17" t="s">
        <v>544</v>
      </c>
      <c r="B20" s="2" t="s">
        <v>512</v>
      </c>
      <c r="C20" s="27" t="s">
        <v>16</v>
      </c>
      <c r="D20" s="2" t="str">
        <f>VLOOKUP($C20,Sheet1!$A$2:$D$10,2,0)</f>
        <v>141140-91211</v>
      </c>
      <c r="E20" s="8" t="s">
        <v>70</v>
      </c>
      <c r="F20" s="12">
        <v>46033</v>
      </c>
      <c r="G20" s="13">
        <v>0.35416666666666669</v>
      </c>
      <c r="H20" s="2" t="s">
        <v>71</v>
      </c>
      <c r="I20" s="2" t="s">
        <v>54</v>
      </c>
      <c r="J20" s="2">
        <v>14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7</v>
      </c>
      <c r="N20" s="2"/>
      <c r="O20" s="2" t="s">
        <v>121</v>
      </c>
      <c r="P20" s="2" t="s">
        <v>723</v>
      </c>
    </row>
    <row r="21" spans="1:16" hidden="1" x14ac:dyDescent="0.25">
      <c r="A21" s="17" t="s">
        <v>544</v>
      </c>
      <c r="B21" s="2" t="s">
        <v>516</v>
      </c>
      <c r="C21" s="27" t="s">
        <v>20</v>
      </c>
      <c r="D21" s="2" t="str">
        <f>VLOOKUP($C21,Sheet1!$A$2:$D$10,2,0)</f>
        <v>141150-91211</v>
      </c>
      <c r="E21" s="8" t="s">
        <v>78</v>
      </c>
      <c r="F21" s="12">
        <v>46033</v>
      </c>
      <c r="G21" s="13">
        <v>0.35416666666666669</v>
      </c>
      <c r="H21" s="2" t="s">
        <v>71</v>
      </c>
      <c r="I21" s="2" t="s">
        <v>54</v>
      </c>
      <c r="J21" s="2">
        <v>42</v>
      </c>
      <c r="K21" s="14">
        <f>VLOOKUP($C21,Sheet1!$A$2:$D$10,4,0)</f>
        <v>2</v>
      </c>
      <c r="L21" s="14" t="str">
        <f>VLOOKUP($C21,Sheet1!$A$2:$E$10,5,0)</f>
        <v>Bin</v>
      </c>
      <c r="M21" s="14">
        <f t="shared" ref="M21" si="3">J21/K21</f>
        <v>21</v>
      </c>
      <c r="N21" s="2"/>
      <c r="O21" s="2" t="s">
        <v>121</v>
      </c>
      <c r="P21" s="2" t="s">
        <v>723</v>
      </c>
    </row>
    <row r="22" spans="1:16" hidden="1" x14ac:dyDescent="0.25">
      <c r="A22" s="17" t="s">
        <v>544</v>
      </c>
      <c r="B22" s="2" t="s">
        <v>517</v>
      </c>
      <c r="C22" s="27" t="s">
        <v>20</v>
      </c>
      <c r="D22" s="2" t="str">
        <f>VLOOKUP($C22,Sheet1!$A$2:$D$10,2,0)</f>
        <v>141150-91211</v>
      </c>
      <c r="E22" s="8" t="s">
        <v>78</v>
      </c>
      <c r="F22" s="12">
        <v>46033</v>
      </c>
      <c r="G22" s="13">
        <v>0.35416666666666669</v>
      </c>
      <c r="H22" s="2" t="s">
        <v>71</v>
      </c>
      <c r="I22" s="2" t="s">
        <v>54</v>
      </c>
      <c r="J22" s="2">
        <v>14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7</v>
      </c>
      <c r="N22" s="2"/>
      <c r="O22" s="2" t="s">
        <v>121</v>
      </c>
      <c r="P22" s="2" t="s">
        <v>723</v>
      </c>
    </row>
    <row r="23" spans="1:16" hidden="1" x14ac:dyDescent="0.25">
      <c r="A23" s="17" t="s">
        <v>544</v>
      </c>
      <c r="B23" s="2" t="s">
        <v>521</v>
      </c>
      <c r="C23" s="27" t="s">
        <v>23</v>
      </c>
      <c r="D23" s="2" t="str">
        <f>VLOOKUP($C23,Sheet1!$A$2:$D$10,2,0)</f>
        <v>141186-74360</v>
      </c>
      <c r="E23" s="8" t="s">
        <v>85</v>
      </c>
      <c r="F23" s="12">
        <v>46033</v>
      </c>
      <c r="G23" s="13">
        <v>0.35416666666666669</v>
      </c>
      <c r="H23" s="2" t="s">
        <v>71</v>
      </c>
      <c r="I23" s="2" t="s">
        <v>54</v>
      </c>
      <c r="J23" s="2">
        <v>80</v>
      </c>
      <c r="K23" s="14">
        <f>VLOOKUP($C23,Sheet1!$A$2:$D$10,4,0)</f>
        <v>40</v>
      </c>
      <c r="L23" s="14" t="str">
        <f>VLOOKUP($C23,Sheet1!$A$2:$E$10,5,0)</f>
        <v>Trolley</v>
      </c>
      <c r="M23" s="14"/>
      <c r="N23" s="2">
        <f t="shared" ref="N23" si="4">J23/K23</f>
        <v>2</v>
      </c>
      <c r="O23" s="2" t="s">
        <v>121</v>
      </c>
      <c r="P23" s="2" t="s">
        <v>727</v>
      </c>
    </row>
    <row r="24" spans="1:16" hidden="1" x14ac:dyDescent="0.25">
      <c r="A24" s="17" t="s">
        <v>545</v>
      </c>
      <c r="B24" s="2" t="s">
        <v>527</v>
      </c>
      <c r="C24" s="27" t="s">
        <v>26</v>
      </c>
      <c r="D24" s="2" t="str">
        <f>VLOOKUP($C24,Sheet1!$A$2:$D$10,2,0)</f>
        <v>116040-92240</v>
      </c>
      <c r="E24" s="8" t="s">
        <v>90</v>
      </c>
      <c r="F24" s="12">
        <v>46033</v>
      </c>
      <c r="G24" s="13">
        <v>0.35416666666666669</v>
      </c>
      <c r="H24" s="2" t="s">
        <v>91</v>
      </c>
      <c r="I24" s="2" t="s">
        <v>54</v>
      </c>
      <c r="J24" s="2">
        <v>12</v>
      </c>
      <c r="K24" s="14">
        <f>VLOOKUP($C24,Sheet1!$A$2:$D$10,4,0)</f>
        <v>6</v>
      </c>
      <c r="L24" s="14" t="str">
        <f>VLOOKUP($C24,Sheet1!$A$2:$E$10,5,0)</f>
        <v>Bin</v>
      </c>
      <c r="M24" s="14">
        <f>J24/K24</f>
        <v>2</v>
      </c>
      <c r="N24" s="2"/>
      <c r="O24" s="2" t="s">
        <v>121</v>
      </c>
      <c r="P24" s="2" t="s">
        <v>724</v>
      </c>
    </row>
    <row r="25" spans="1:16" hidden="1" x14ac:dyDescent="0.25">
      <c r="A25" s="17" t="s">
        <v>545</v>
      </c>
      <c r="B25" s="2" t="s">
        <v>532</v>
      </c>
      <c r="C25" s="27" t="s">
        <v>32</v>
      </c>
      <c r="D25" s="2" t="str">
        <f>VLOOKUP($C25,Sheet1!$A$2:$D$10,2,0)</f>
        <v>114010-50820</v>
      </c>
      <c r="E25" s="8" t="s">
        <v>98</v>
      </c>
      <c r="F25" s="12">
        <v>46033</v>
      </c>
      <c r="G25" s="13">
        <v>0.35416666666666669</v>
      </c>
      <c r="H25" s="2" t="s">
        <v>91</v>
      </c>
      <c r="I25" s="2" t="s">
        <v>54</v>
      </c>
      <c r="J25" s="2">
        <v>4</v>
      </c>
      <c r="K25" s="14">
        <f>VLOOKUP($C25,Sheet1!$A$2:$D$10,4,0)</f>
        <v>1</v>
      </c>
      <c r="L25" s="14" t="str">
        <f>VLOOKUP($C25,Sheet1!$A$2:$E$10,5,0)</f>
        <v>Bin</v>
      </c>
      <c r="M25" s="14">
        <f>J25/K25</f>
        <v>4</v>
      </c>
      <c r="N25" s="2"/>
      <c r="O25" s="2" t="s">
        <v>121</v>
      </c>
      <c r="P25" s="2" t="s">
        <v>429</v>
      </c>
    </row>
    <row r="26" spans="1:16" hidden="1" x14ac:dyDescent="0.25">
      <c r="A26" s="17" t="s">
        <v>545</v>
      </c>
      <c r="B26" s="2" t="s">
        <v>536</v>
      </c>
      <c r="C26" s="27" t="s">
        <v>29</v>
      </c>
      <c r="D26" s="2" t="str">
        <f>VLOOKUP($C26,Sheet1!$A$2:$D$10,2,0)</f>
        <v>114010-50830</v>
      </c>
      <c r="E26" s="8" t="s">
        <v>98</v>
      </c>
      <c r="F26" s="12">
        <v>46033</v>
      </c>
      <c r="G26" s="13">
        <v>0.35416666666666669</v>
      </c>
      <c r="H26" s="2" t="s">
        <v>91</v>
      </c>
      <c r="I26" s="2" t="s">
        <v>54</v>
      </c>
      <c r="J26" s="2">
        <v>30</v>
      </c>
      <c r="K26" s="14">
        <f>VLOOKUP($C26,Sheet1!$A$2:$D$10,4,0)</f>
        <v>1</v>
      </c>
      <c r="L26" s="14" t="str">
        <f>VLOOKUP($C26,Sheet1!$A$2:$E$10,5,0)</f>
        <v>Bin</v>
      </c>
      <c r="M26" s="14">
        <f t="shared" ref="M26" si="5">J26/K26</f>
        <v>30</v>
      </c>
      <c r="N26" s="2"/>
      <c r="O26" s="2" t="s">
        <v>121</v>
      </c>
      <c r="P26" s="2" t="s">
        <v>723</v>
      </c>
    </row>
    <row r="27" spans="1:16" s="11" customFormat="1" hidden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>
        <v>92</v>
      </c>
      <c r="N27" s="10">
        <v>5</v>
      </c>
      <c r="O27" s="10"/>
      <c r="P27" s="10"/>
    </row>
    <row r="28" spans="1:16" x14ac:dyDescent="0.25">
      <c r="A28" s="17" t="s">
        <v>546</v>
      </c>
      <c r="B28" s="2" t="s">
        <v>500</v>
      </c>
      <c r="C28" s="27" t="s">
        <v>5</v>
      </c>
      <c r="D28" s="2" t="str">
        <f>VLOOKUP($C28,Sheet1!$A$2:$D$10,2,0)</f>
        <v>141110-14600</v>
      </c>
      <c r="E28" s="8" t="s">
        <v>52</v>
      </c>
      <c r="F28" s="12">
        <v>46033</v>
      </c>
      <c r="G28" s="13">
        <v>0.5625</v>
      </c>
      <c r="H28" s="2" t="s">
        <v>53</v>
      </c>
      <c r="I28" s="2" t="s">
        <v>54</v>
      </c>
      <c r="J28" s="2">
        <v>54</v>
      </c>
      <c r="K28" s="14">
        <f>VLOOKUP($C28,Sheet1!$A$2:$D$10,4,0)</f>
        <v>18</v>
      </c>
      <c r="L28" s="14" t="str">
        <f>VLOOKUP($C28,Sheet1!$A$2:$E$10,5,0)</f>
        <v>Trolley (H)</v>
      </c>
      <c r="M28" s="14"/>
      <c r="N28" s="52">
        <v>3</v>
      </c>
      <c r="O28" s="2" t="s">
        <v>122</v>
      </c>
      <c r="P28" s="2" t="s">
        <v>717</v>
      </c>
    </row>
    <row r="29" spans="1:16" hidden="1" x14ac:dyDescent="0.25">
      <c r="A29" s="17" t="s">
        <v>546</v>
      </c>
      <c r="B29" s="2" t="s">
        <v>504</v>
      </c>
      <c r="C29" s="27" t="s">
        <v>9</v>
      </c>
      <c r="D29" s="2" t="str">
        <f>VLOOKUP($C29,Sheet1!$A$2:$D$10,2,0)</f>
        <v>141120-14600</v>
      </c>
      <c r="E29" s="8" t="s">
        <v>60</v>
      </c>
      <c r="F29" s="12">
        <v>46033</v>
      </c>
      <c r="G29" s="13">
        <v>0.5625</v>
      </c>
      <c r="H29" s="2" t="s">
        <v>53</v>
      </c>
      <c r="I29" s="2" t="s">
        <v>54</v>
      </c>
      <c r="J29" s="2">
        <v>54</v>
      </c>
      <c r="K29" s="14">
        <f>VLOOKUP($C29,Sheet1!$A$2:$D$10,4,0)</f>
        <v>18</v>
      </c>
      <c r="L29" s="14" t="str">
        <f>VLOOKUP($C29,Sheet1!$A$2:$E$10,5,0)</f>
        <v>Trolley (H)</v>
      </c>
      <c r="M29" s="14"/>
      <c r="N29" s="53"/>
      <c r="O29" s="2" t="s">
        <v>122</v>
      </c>
      <c r="P29" s="2" t="s">
        <v>717</v>
      </c>
    </row>
    <row r="30" spans="1:16" hidden="1" x14ac:dyDescent="0.25">
      <c r="A30" s="17" t="s">
        <v>546</v>
      </c>
      <c r="B30" s="2" t="s">
        <v>508</v>
      </c>
      <c r="C30" s="27" t="s">
        <v>12</v>
      </c>
      <c r="D30" s="2" t="str">
        <f>VLOOKUP($C30,Sheet1!$A$2:$D$10,2,0)</f>
        <v>141185-74670</v>
      </c>
      <c r="E30" s="8" t="s">
        <v>66</v>
      </c>
      <c r="F30" s="12">
        <v>46033</v>
      </c>
      <c r="G30" s="13">
        <v>0.5625</v>
      </c>
      <c r="H30" s="2" t="s">
        <v>53</v>
      </c>
      <c r="I30" s="2" t="s">
        <v>54</v>
      </c>
      <c r="J30" s="2">
        <v>120</v>
      </c>
      <c r="K30" s="14">
        <f>VLOOKUP($C30,Sheet1!$A$2:$D$10,4,0)</f>
        <v>40</v>
      </c>
      <c r="L30" s="14" t="str">
        <f>VLOOKUP($C30,Sheet1!$A$2:$E$10,5,0)</f>
        <v>Trolley</v>
      </c>
      <c r="M30" s="14"/>
      <c r="N30" s="2">
        <f>J30/K30</f>
        <v>3</v>
      </c>
      <c r="O30" s="2" t="s">
        <v>122</v>
      </c>
      <c r="P30" s="2">
        <v>910105502</v>
      </c>
    </row>
    <row r="31" spans="1:16" ht="15.75" hidden="1" customHeight="1" x14ac:dyDescent="0.25">
      <c r="A31" s="17" t="s">
        <v>546</v>
      </c>
      <c r="B31" s="2" t="s">
        <v>513</v>
      </c>
      <c r="C31" s="27" t="s">
        <v>16</v>
      </c>
      <c r="D31" s="2" t="str">
        <f>VLOOKUP($C31,Sheet1!$A$2:$D$10,2,0)</f>
        <v>141140-91211</v>
      </c>
      <c r="E31" s="8" t="s">
        <v>70</v>
      </c>
      <c r="F31" s="12">
        <v>46033</v>
      </c>
      <c r="G31" s="13">
        <v>0.5625</v>
      </c>
      <c r="H31" s="2" t="s">
        <v>71</v>
      </c>
      <c r="I31" s="2" t="s">
        <v>54</v>
      </c>
      <c r="J31" s="2">
        <v>54</v>
      </c>
      <c r="K31" s="14">
        <f>VLOOKUP($C31,Sheet1!$A$2:$D$10,4,0)</f>
        <v>2</v>
      </c>
      <c r="L31" s="14" t="str">
        <f>VLOOKUP($C31,Sheet1!$A$2:$E$10,5,0)</f>
        <v>Bin</v>
      </c>
      <c r="M31" s="14">
        <f t="shared" ref="M31:M32" si="6">J31/K31</f>
        <v>27</v>
      </c>
      <c r="N31" s="2"/>
      <c r="O31" s="2" t="s">
        <v>122</v>
      </c>
      <c r="P31" s="2" t="s">
        <v>723</v>
      </c>
    </row>
    <row r="32" spans="1:16" ht="15.75" hidden="1" customHeight="1" x14ac:dyDescent="0.25">
      <c r="A32" s="17" t="s">
        <v>546</v>
      </c>
      <c r="B32" s="2" t="s">
        <v>518</v>
      </c>
      <c r="C32" s="27" t="s">
        <v>20</v>
      </c>
      <c r="D32" s="2" t="str">
        <f>VLOOKUP($C32,Sheet1!$A$2:$D$10,2,0)</f>
        <v>141150-91211</v>
      </c>
      <c r="E32" s="8" t="s">
        <v>78</v>
      </c>
      <c r="F32" s="12">
        <v>46033</v>
      </c>
      <c r="G32" s="13">
        <v>0.5625</v>
      </c>
      <c r="H32" s="2" t="s">
        <v>71</v>
      </c>
      <c r="I32" s="2" t="s">
        <v>54</v>
      </c>
      <c r="J32" s="2">
        <v>54</v>
      </c>
      <c r="K32" s="14">
        <f>VLOOKUP($C32,Sheet1!$A$2:$D$10,4,0)</f>
        <v>2</v>
      </c>
      <c r="L32" s="14" t="str">
        <f>VLOOKUP($C32,Sheet1!$A$2:$E$10,5,0)</f>
        <v>Bin</v>
      </c>
      <c r="M32" s="14">
        <f t="shared" si="6"/>
        <v>27</v>
      </c>
      <c r="N32" s="2"/>
      <c r="O32" s="2" t="s">
        <v>122</v>
      </c>
      <c r="P32" s="2" t="s">
        <v>723</v>
      </c>
    </row>
    <row r="33" spans="1:16" hidden="1" x14ac:dyDescent="0.25">
      <c r="A33" s="17" t="s">
        <v>546</v>
      </c>
      <c r="B33" s="2" t="s">
        <v>523</v>
      </c>
      <c r="C33" s="27" t="s">
        <v>23</v>
      </c>
      <c r="D33" s="2" t="str">
        <f>VLOOKUP($C33,Sheet1!$A$2:$D$10,2,0)</f>
        <v>141186-74360</v>
      </c>
      <c r="E33" s="8" t="s">
        <v>85</v>
      </c>
      <c r="F33" s="12">
        <v>46033</v>
      </c>
      <c r="G33" s="13">
        <v>0.5625</v>
      </c>
      <c r="H33" s="2" t="s">
        <v>71</v>
      </c>
      <c r="I33" s="2" t="s">
        <v>54</v>
      </c>
      <c r="J33" s="2">
        <v>120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3</v>
      </c>
      <c r="O33" s="2" t="s">
        <v>122</v>
      </c>
      <c r="P33" s="2" t="s">
        <v>728</v>
      </c>
    </row>
    <row r="34" spans="1:16" hidden="1" x14ac:dyDescent="0.25">
      <c r="A34" s="17" t="s">
        <v>547</v>
      </c>
      <c r="B34" s="2" t="s">
        <v>528</v>
      </c>
      <c r="C34" s="27" t="s">
        <v>26</v>
      </c>
      <c r="D34" s="2" t="str">
        <f>VLOOKUP($C34,Sheet1!$A$2:$D$10,2,0)</f>
        <v>116040-92240</v>
      </c>
      <c r="E34" s="8" t="s">
        <v>90</v>
      </c>
      <c r="F34" s="12">
        <v>46033</v>
      </c>
      <c r="G34" s="13">
        <v>0.5625</v>
      </c>
      <c r="H34" s="2" t="s">
        <v>91</v>
      </c>
      <c r="I34" s="2" t="s">
        <v>54</v>
      </c>
      <c r="J34" s="2">
        <v>54</v>
      </c>
      <c r="K34" s="14">
        <f>VLOOKUP($C34,Sheet1!$A$2:$D$10,4,0)</f>
        <v>6</v>
      </c>
      <c r="L34" s="14" t="str">
        <f>VLOOKUP($C34,Sheet1!$A$2:$E$10,5,0)</f>
        <v>Bin</v>
      </c>
      <c r="M34" s="14">
        <f t="shared" ref="M34:M36" si="7">J34/K34</f>
        <v>9</v>
      </c>
      <c r="N34" s="2"/>
      <c r="O34" s="2" t="s">
        <v>122</v>
      </c>
      <c r="P34" s="2" t="s">
        <v>724</v>
      </c>
    </row>
    <row r="35" spans="1:16" hidden="1" x14ac:dyDescent="0.25">
      <c r="A35" s="17" t="s">
        <v>547</v>
      </c>
      <c r="B35" s="2" t="s">
        <v>533</v>
      </c>
      <c r="C35" s="27" t="s">
        <v>32</v>
      </c>
      <c r="D35" s="2" t="str">
        <f>VLOOKUP($C35,Sheet1!$A$2:$D$10,2,0)</f>
        <v>114010-50820</v>
      </c>
      <c r="E35" s="8" t="s">
        <v>98</v>
      </c>
      <c r="F35" s="12">
        <v>46033</v>
      </c>
      <c r="G35" s="13">
        <v>0.5625</v>
      </c>
      <c r="H35" s="2" t="s">
        <v>91</v>
      </c>
      <c r="I35" s="2" t="s">
        <v>54</v>
      </c>
      <c r="J35" s="2">
        <v>12</v>
      </c>
      <c r="K35" s="14">
        <f>VLOOKUP($C35,Sheet1!$A$2:$D$10,4,0)</f>
        <v>1</v>
      </c>
      <c r="L35" s="14" t="str">
        <f>VLOOKUP($C35,Sheet1!$A$2:$E$10,5,0)</f>
        <v>Bin</v>
      </c>
      <c r="M35" s="14">
        <f t="shared" si="7"/>
        <v>12</v>
      </c>
      <c r="N35" s="2"/>
      <c r="O35" s="2" t="s">
        <v>122</v>
      </c>
      <c r="P35" s="2" t="s">
        <v>429</v>
      </c>
    </row>
    <row r="36" spans="1:16" hidden="1" x14ac:dyDescent="0.25">
      <c r="A36" s="17" t="s">
        <v>547</v>
      </c>
      <c r="B36" s="2" t="s">
        <v>538</v>
      </c>
      <c r="C36" s="27" t="s">
        <v>29</v>
      </c>
      <c r="D36" s="2" t="str">
        <f>VLOOKUP($C36,Sheet1!$A$2:$D$10,2,0)</f>
        <v>114010-50830</v>
      </c>
      <c r="E36" s="8" t="s">
        <v>98</v>
      </c>
      <c r="F36" s="12">
        <v>46033</v>
      </c>
      <c r="G36" s="13">
        <v>0.5625</v>
      </c>
      <c r="H36" s="2" t="s">
        <v>91</v>
      </c>
      <c r="I36" s="2" t="s">
        <v>54</v>
      </c>
      <c r="J36" s="2">
        <v>42</v>
      </c>
      <c r="K36" s="14">
        <f>VLOOKUP($C36,Sheet1!$A$2:$D$10,4,0)</f>
        <v>1</v>
      </c>
      <c r="L36" s="14" t="str">
        <f>VLOOKUP($C36,Sheet1!$A$2:$E$10,5,0)</f>
        <v>Bin</v>
      </c>
      <c r="M36" s="14">
        <f t="shared" si="7"/>
        <v>42</v>
      </c>
      <c r="N36" s="2"/>
      <c r="O36" s="2" t="s">
        <v>122</v>
      </c>
      <c r="P36" s="2" t="s">
        <v>723</v>
      </c>
    </row>
    <row r="37" spans="1:16" s="11" customFormat="1" hidden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>
        <v>117</v>
      </c>
      <c r="N37" s="10">
        <v>9</v>
      </c>
      <c r="O37" s="10"/>
      <c r="P37" s="10"/>
    </row>
    <row r="38" spans="1:16" x14ac:dyDescent="0.25">
      <c r="A38" s="17" t="s">
        <v>548</v>
      </c>
      <c r="B38" s="2" t="s">
        <v>501</v>
      </c>
      <c r="C38" s="27" t="s">
        <v>5</v>
      </c>
      <c r="D38" s="2" t="str">
        <f>VLOOKUP($C38,Sheet1!$A$2:$D$10,2,0)</f>
        <v>141110-14600</v>
      </c>
      <c r="E38" s="8" t="s">
        <v>52</v>
      </c>
      <c r="F38" s="12">
        <v>46033</v>
      </c>
      <c r="G38" s="13">
        <v>0.77083333333333337</v>
      </c>
      <c r="H38" s="2" t="s">
        <v>53</v>
      </c>
      <c r="I38" s="2" t="s">
        <v>54</v>
      </c>
      <c r="J38" s="2">
        <v>54</v>
      </c>
      <c r="K38" s="14">
        <f>VLOOKUP($C38,Sheet1!$A$2:$D$10,4,0)</f>
        <v>18</v>
      </c>
      <c r="L38" s="14" t="str">
        <f>VLOOKUP($C38,Sheet1!$A$2:$E$10,5,0)</f>
        <v>Trolley (H)</v>
      </c>
      <c r="M38" s="14"/>
      <c r="N38" s="52">
        <v>3</v>
      </c>
      <c r="O38" s="2" t="s">
        <v>359</v>
      </c>
      <c r="P38" s="2" t="s">
        <v>717</v>
      </c>
    </row>
    <row r="39" spans="1:16" hidden="1" x14ac:dyDescent="0.25">
      <c r="A39" s="17" t="s">
        <v>548</v>
      </c>
      <c r="B39" s="2" t="s">
        <v>505</v>
      </c>
      <c r="C39" s="27" t="s">
        <v>9</v>
      </c>
      <c r="D39" s="2" t="str">
        <f>VLOOKUP($C39,Sheet1!$A$2:$D$10,2,0)</f>
        <v>141120-14600</v>
      </c>
      <c r="E39" s="8" t="s">
        <v>60</v>
      </c>
      <c r="F39" s="12">
        <v>46033</v>
      </c>
      <c r="G39" s="13">
        <v>0.77083333333333337</v>
      </c>
      <c r="H39" s="2" t="s">
        <v>53</v>
      </c>
      <c r="I39" s="2" t="s">
        <v>54</v>
      </c>
      <c r="J39" s="2">
        <v>54</v>
      </c>
      <c r="K39" s="14">
        <f>VLOOKUP($C39,Sheet1!$A$2:$D$10,4,0)</f>
        <v>18</v>
      </c>
      <c r="L39" s="14" t="str">
        <f>VLOOKUP($C39,Sheet1!$A$2:$E$10,5,0)</f>
        <v>Trolley (H)</v>
      </c>
      <c r="M39" s="14"/>
      <c r="N39" s="53"/>
      <c r="O39" s="2" t="s">
        <v>359</v>
      </c>
      <c r="P39" s="2" t="s">
        <v>729</v>
      </c>
    </row>
    <row r="40" spans="1:16" hidden="1" x14ac:dyDescent="0.25">
      <c r="A40" s="17" t="s">
        <v>548</v>
      </c>
      <c r="B40" s="2" t="s">
        <v>509</v>
      </c>
      <c r="C40" s="27" t="s">
        <v>12</v>
      </c>
      <c r="D40" s="2" t="str">
        <f>VLOOKUP($C40,Sheet1!$A$2:$D$10,2,0)</f>
        <v>141185-74670</v>
      </c>
      <c r="E40" s="8" t="s">
        <v>66</v>
      </c>
      <c r="F40" s="12">
        <v>46033</v>
      </c>
      <c r="G40" s="13">
        <v>0.77083333333333337</v>
      </c>
      <c r="H40" s="2" t="s">
        <v>53</v>
      </c>
      <c r="I40" s="2" t="s">
        <v>54</v>
      </c>
      <c r="J40" s="2">
        <v>80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>J40/K40</f>
        <v>2</v>
      </c>
      <c r="O40" s="2" t="s">
        <v>359</v>
      </c>
      <c r="P40" s="2">
        <v>910105502</v>
      </c>
    </row>
    <row r="41" spans="1:16" hidden="1" x14ac:dyDescent="0.25">
      <c r="A41" s="17" t="s">
        <v>548</v>
      </c>
      <c r="B41" s="2" t="s">
        <v>514</v>
      </c>
      <c r="C41" s="27" t="s">
        <v>16</v>
      </c>
      <c r="D41" s="2" t="str">
        <f>VLOOKUP($C41,Sheet1!$A$2:$D$10,2,0)</f>
        <v>141140-91211</v>
      </c>
      <c r="E41" s="8" t="s">
        <v>70</v>
      </c>
      <c r="F41" s="12">
        <v>46033</v>
      </c>
      <c r="G41" s="13">
        <v>0.77083333333333337</v>
      </c>
      <c r="H41" s="2" t="s">
        <v>71</v>
      </c>
      <c r="I41" s="2" t="s">
        <v>54</v>
      </c>
      <c r="J41" s="2">
        <v>48</v>
      </c>
      <c r="K41" s="14">
        <f>VLOOKUP($C41,Sheet1!$A$2:$D$10,4,0)</f>
        <v>2</v>
      </c>
      <c r="L41" s="14" t="str">
        <f>VLOOKUP($C41,Sheet1!$A$2:$E$10,5,0)</f>
        <v>Bin</v>
      </c>
      <c r="M41" s="14">
        <f t="shared" ref="M41:M42" si="8">J41/K41</f>
        <v>24</v>
      </c>
      <c r="N41" s="2"/>
      <c r="O41" s="2" t="s">
        <v>359</v>
      </c>
      <c r="P41" s="2" t="s">
        <v>723</v>
      </c>
    </row>
    <row r="42" spans="1:16" hidden="1" x14ac:dyDescent="0.25">
      <c r="A42" s="17" t="s">
        <v>548</v>
      </c>
      <c r="B42" s="2" t="s">
        <v>519</v>
      </c>
      <c r="C42" s="27" t="s">
        <v>20</v>
      </c>
      <c r="D42" s="2" t="str">
        <f>VLOOKUP($C42,Sheet1!$A$2:$D$10,2,0)</f>
        <v>141150-91211</v>
      </c>
      <c r="E42" s="8" t="s">
        <v>78</v>
      </c>
      <c r="F42" s="12">
        <v>46033</v>
      </c>
      <c r="G42" s="13">
        <v>0.77083333333333337</v>
      </c>
      <c r="H42" s="2" t="s">
        <v>71</v>
      </c>
      <c r="I42" s="2" t="s">
        <v>54</v>
      </c>
      <c r="J42" s="2">
        <v>48</v>
      </c>
      <c r="K42" s="14">
        <f>VLOOKUP($C42,Sheet1!$A$2:$D$10,4,0)</f>
        <v>2</v>
      </c>
      <c r="L42" s="14" t="str">
        <f>VLOOKUP($C42,Sheet1!$A$2:$E$10,5,0)</f>
        <v>Bin</v>
      </c>
      <c r="M42" s="14">
        <f t="shared" si="8"/>
        <v>24</v>
      </c>
      <c r="N42" s="2"/>
      <c r="O42" s="2" t="s">
        <v>359</v>
      </c>
      <c r="P42" s="2" t="s">
        <v>723</v>
      </c>
    </row>
    <row r="43" spans="1:16" hidden="1" x14ac:dyDescent="0.25">
      <c r="A43" s="17" t="s">
        <v>548</v>
      </c>
      <c r="B43" s="2" t="s">
        <v>524</v>
      </c>
      <c r="C43" s="27" t="s">
        <v>23</v>
      </c>
      <c r="D43" s="2" t="str">
        <f>VLOOKUP($C43,Sheet1!$A$2:$D$10,2,0)</f>
        <v>141186-74360</v>
      </c>
      <c r="E43" s="8" t="s">
        <v>85</v>
      </c>
      <c r="F43" s="12">
        <v>46033</v>
      </c>
      <c r="G43" s="13">
        <v>0.77083333333333337</v>
      </c>
      <c r="H43" s="2" t="s">
        <v>71</v>
      </c>
      <c r="I43" s="2" t="s">
        <v>54</v>
      </c>
      <c r="J43" s="2">
        <v>80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2</v>
      </c>
      <c r="O43" s="2" t="s">
        <v>359</v>
      </c>
      <c r="P43" s="2">
        <v>910105502</v>
      </c>
    </row>
    <row r="44" spans="1:16" hidden="1" x14ac:dyDescent="0.25">
      <c r="A44" s="17" t="s">
        <v>549</v>
      </c>
      <c r="B44" s="2" t="s">
        <v>529</v>
      </c>
      <c r="C44" s="27" t="s">
        <v>26</v>
      </c>
      <c r="D44" s="2" t="str">
        <f>VLOOKUP($C44,Sheet1!$A$2:$D$10,2,0)</f>
        <v>116040-92240</v>
      </c>
      <c r="E44" s="8" t="s">
        <v>90</v>
      </c>
      <c r="F44" s="12">
        <v>46033</v>
      </c>
      <c r="G44" s="13">
        <v>0.77083333333333337</v>
      </c>
      <c r="H44" s="2" t="s">
        <v>91</v>
      </c>
      <c r="I44" s="2" t="s">
        <v>54</v>
      </c>
      <c r="J44" s="2">
        <v>48</v>
      </c>
      <c r="K44" s="14">
        <f>VLOOKUP($C44,Sheet1!$A$2:$D$10,4,0)</f>
        <v>6</v>
      </c>
      <c r="L44" s="14" t="str">
        <f>VLOOKUP($C44,Sheet1!$A$2:$E$10,5,0)</f>
        <v>Bin</v>
      </c>
      <c r="M44" s="14">
        <f t="shared" ref="M44:M46" si="9">J44/K44</f>
        <v>8</v>
      </c>
      <c r="N44" s="2"/>
      <c r="O44" s="2" t="s">
        <v>359</v>
      </c>
      <c r="P44" s="2" t="s">
        <v>724</v>
      </c>
    </row>
    <row r="45" spans="1:16" hidden="1" x14ac:dyDescent="0.25">
      <c r="A45" s="17" t="s">
        <v>549</v>
      </c>
      <c r="B45" s="2" t="s">
        <v>534</v>
      </c>
      <c r="C45" s="27" t="s">
        <v>32</v>
      </c>
      <c r="D45" s="2" t="str">
        <f>VLOOKUP($C45,Sheet1!$A$2:$D$10,2,0)</f>
        <v>114010-50820</v>
      </c>
      <c r="E45" s="8" t="s">
        <v>98</v>
      </c>
      <c r="F45" s="12">
        <v>46033</v>
      </c>
      <c r="G45" s="13">
        <v>0.77083333333333337</v>
      </c>
      <c r="H45" s="2" t="s">
        <v>91</v>
      </c>
      <c r="I45" s="2" t="s">
        <v>54</v>
      </c>
      <c r="J45" s="2">
        <v>9</v>
      </c>
      <c r="K45" s="14">
        <f>VLOOKUP($C45,Sheet1!$A$2:$D$10,4,0)</f>
        <v>1</v>
      </c>
      <c r="L45" s="14" t="str">
        <f>VLOOKUP($C45,Sheet1!$A$2:$E$10,5,0)</f>
        <v>Bin</v>
      </c>
      <c r="M45" s="14">
        <f t="shared" si="9"/>
        <v>9</v>
      </c>
      <c r="N45" s="2"/>
      <c r="O45" s="2" t="s">
        <v>359</v>
      </c>
      <c r="P45" s="2" t="s">
        <v>429</v>
      </c>
    </row>
    <row r="46" spans="1:16" hidden="1" x14ac:dyDescent="0.25">
      <c r="A46" s="17" t="s">
        <v>549</v>
      </c>
      <c r="B46" s="2" t="s">
        <v>539</v>
      </c>
      <c r="C46" s="27" t="s">
        <v>29</v>
      </c>
      <c r="D46" s="2" t="str">
        <f>VLOOKUP($C46,Sheet1!$A$2:$D$10,2,0)</f>
        <v>114010-50830</v>
      </c>
      <c r="E46" s="8" t="s">
        <v>98</v>
      </c>
      <c r="F46" s="12">
        <v>46033</v>
      </c>
      <c r="G46" s="13">
        <v>0.77083333333333337</v>
      </c>
      <c r="H46" s="2" t="s">
        <v>91</v>
      </c>
      <c r="I46" s="2" t="s">
        <v>54</v>
      </c>
      <c r="J46" s="2">
        <v>40</v>
      </c>
      <c r="K46" s="14">
        <f>VLOOKUP($C46,Sheet1!$A$2:$D$10,4,0)</f>
        <v>1</v>
      </c>
      <c r="L46" s="14" t="str">
        <f>VLOOKUP($C46,Sheet1!$A$2:$E$10,5,0)</f>
        <v>Bin</v>
      </c>
      <c r="M46" s="14">
        <f t="shared" si="9"/>
        <v>40</v>
      </c>
      <c r="N46" s="2"/>
      <c r="O46" s="2" t="s">
        <v>359</v>
      </c>
      <c r="P46" s="2" t="s">
        <v>723</v>
      </c>
    </row>
    <row r="47" spans="1:16" s="11" customFormat="1" hidden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>
        <v>105</v>
      </c>
      <c r="N47" s="10">
        <v>7</v>
      </c>
      <c r="O47" s="10"/>
      <c r="P47" s="10"/>
    </row>
    <row r="48" spans="1:16" x14ac:dyDescent="0.25">
      <c r="A48" s="17" t="s">
        <v>550</v>
      </c>
      <c r="B48" s="2" t="s">
        <v>502</v>
      </c>
      <c r="C48" s="27" t="s">
        <v>5</v>
      </c>
      <c r="D48" s="2" t="str">
        <f>VLOOKUP($C48,Sheet1!$A$2:$D$10,2,0)</f>
        <v>141110-14600</v>
      </c>
      <c r="E48" s="8" t="s">
        <v>52</v>
      </c>
      <c r="F48" s="12">
        <v>46033</v>
      </c>
      <c r="G48" s="13">
        <v>0.97916666666666663</v>
      </c>
      <c r="H48" s="2" t="s">
        <v>53</v>
      </c>
      <c r="I48" s="2" t="s">
        <v>54</v>
      </c>
      <c r="J48" s="2">
        <v>54</v>
      </c>
      <c r="K48" s="14">
        <f>VLOOKUP($C48,Sheet1!$A$2:$D$10,4,0)</f>
        <v>18</v>
      </c>
      <c r="L48" s="14" t="str">
        <f>VLOOKUP($C48,Sheet1!$A$2:$E$10,5,0)</f>
        <v>Trolley (H)</v>
      </c>
      <c r="M48" s="14"/>
      <c r="N48" s="52">
        <v>3</v>
      </c>
      <c r="O48" s="2" t="s">
        <v>119</v>
      </c>
      <c r="P48" s="2" t="s">
        <v>730</v>
      </c>
    </row>
    <row r="49" spans="1:16" hidden="1" x14ac:dyDescent="0.25">
      <c r="A49" s="17" t="s">
        <v>550</v>
      </c>
      <c r="B49" s="2" t="s">
        <v>506</v>
      </c>
      <c r="C49" s="27" t="s">
        <v>9</v>
      </c>
      <c r="D49" s="2" t="str">
        <f>VLOOKUP($C49,Sheet1!$A$2:$D$10,2,0)</f>
        <v>141120-14600</v>
      </c>
      <c r="E49" s="8" t="s">
        <v>60</v>
      </c>
      <c r="F49" s="12">
        <v>46033</v>
      </c>
      <c r="G49" s="13">
        <v>0.97916666666666663</v>
      </c>
      <c r="H49" s="2" t="s">
        <v>53</v>
      </c>
      <c r="I49" s="2" t="s">
        <v>54</v>
      </c>
      <c r="J49" s="2">
        <v>54</v>
      </c>
      <c r="K49" s="14">
        <f>VLOOKUP($C49,Sheet1!$A$2:$D$10,4,0)</f>
        <v>18</v>
      </c>
      <c r="L49" s="14" t="str">
        <f>VLOOKUP($C49,Sheet1!$A$2:$E$10,5,0)</f>
        <v>Trolley (H)</v>
      </c>
      <c r="M49" s="14"/>
      <c r="N49" s="53"/>
      <c r="O49" s="2" t="s">
        <v>119</v>
      </c>
      <c r="P49" s="2" t="s">
        <v>731</v>
      </c>
    </row>
    <row r="50" spans="1:16" hidden="1" x14ac:dyDescent="0.25">
      <c r="A50" s="17" t="s">
        <v>550</v>
      </c>
      <c r="B50" s="2" t="s">
        <v>510</v>
      </c>
      <c r="C50" s="27" t="s">
        <v>12</v>
      </c>
      <c r="D50" s="2" t="str">
        <f>VLOOKUP($C50,Sheet1!$A$2:$D$10,2,0)</f>
        <v>141185-74670</v>
      </c>
      <c r="E50" s="8" t="s">
        <v>66</v>
      </c>
      <c r="F50" s="12">
        <v>46033</v>
      </c>
      <c r="G50" s="13">
        <v>0.97916666666666663</v>
      </c>
      <c r="H50" s="2" t="s">
        <v>53</v>
      </c>
      <c r="I50" s="2" t="s">
        <v>54</v>
      </c>
      <c r="J50" s="2">
        <v>120</v>
      </c>
      <c r="K50" s="14">
        <f>VLOOKUP($C50,Sheet1!$A$2:$D$10,4,0)</f>
        <v>40</v>
      </c>
      <c r="L50" s="14" t="str">
        <f>VLOOKUP($C50,Sheet1!$A$2:$E$10,5,0)</f>
        <v>Trolley</v>
      </c>
      <c r="M50" s="14"/>
      <c r="N50" s="2">
        <f>J50/K50</f>
        <v>3</v>
      </c>
      <c r="O50" s="2" t="s">
        <v>119</v>
      </c>
      <c r="P50" s="2">
        <v>910105502</v>
      </c>
    </row>
    <row r="51" spans="1:16" hidden="1" x14ac:dyDescent="0.25">
      <c r="A51" s="17" t="s">
        <v>550</v>
      </c>
      <c r="B51" s="2" t="s">
        <v>515</v>
      </c>
      <c r="C51" s="27" t="s">
        <v>16</v>
      </c>
      <c r="D51" s="2" t="str">
        <f>VLOOKUP($C51,Sheet1!$A$2:$D$10,2,0)</f>
        <v>141140-91211</v>
      </c>
      <c r="E51" s="8" t="s">
        <v>70</v>
      </c>
      <c r="F51" s="12">
        <v>46033</v>
      </c>
      <c r="G51" s="13">
        <v>0.97916666666666663</v>
      </c>
      <c r="H51" s="2" t="s">
        <v>71</v>
      </c>
      <c r="I51" s="2" t="s">
        <v>54</v>
      </c>
      <c r="J51" s="2">
        <v>44</v>
      </c>
      <c r="K51" s="14">
        <f>VLOOKUP($C51,Sheet1!$A$2:$D$10,4,0)</f>
        <v>2</v>
      </c>
      <c r="L51" s="14" t="str">
        <f>VLOOKUP($C51,Sheet1!$A$2:$E$10,5,0)</f>
        <v>Bin</v>
      </c>
      <c r="M51" s="14">
        <f t="shared" ref="M51:M52" si="10">J51/K51</f>
        <v>22</v>
      </c>
      <c r="N51" s="2"/>
      <c r="O51" s="2" t="s">
        <v>119</v>
      </c>
      <c r="P51" s="2" t="s">
        <v>723</v>
      </c>
    </row>
    <row r="52" spans="1:16" hidden="1" x14ac:dyDescent="0.25">
      <c r="A52" s="17" t="s">
        <v>550</v>
      </c>
      <c r="B52" s="2" t="s">
        <v>520</v>
      </c>
      <c r="C52" s="27" t="s">
        <v>20</v>
      </c>
      <c r="D52" s="2" t="str">
        <f>VLOOKUP($C52,Sheet1!$A$2:$D$10,2,0)</f>
        <v>141150-91211</v>
      </c>
      <c r="E52" s="8" t="s">
        <v>78</v>
      </c>
      <c r="F52" s="12">
        <v>46033</v>
      </c>
      <c r="G52" s="13">
        <v>0.97916666666666663</v>
      </c>
      <c r="H52" s="2" t="s">
        <v>71</v>
      </c>
      <c r="I52" s="2" t="s">
        <v>54</v>
      </c>
      <c r="J52" s="2">
        <v>44</v>
      </c>
      <c r="K52" s="14">
        <f>VLOOKUP($C52,Sheet1!$A$2:$D$10,4,0)</f>
        <v>2</v>
      </c>
      <c r="L52" s="14" t="str">
        <f>VLOOKUP($C52,Sheet1!$A$2:$E$10,5,0)</f>
        <v>Bin</v>
      </c>
      <c r="M52" s="14">
        <f t="shared" si="10"/>
        <v>22</v>
      </c>
      <c r="N52" s="2"/>
      <c r="O52" s="2" t="s">
        <v>119</v>
      </c>
      <c r="P52" s="2" t="s">
        <v>723</v>
      </c>
    </row>
    <row r="53" spans="1:16" hidden="1" x14ac:dyDescent="0.25">
      <c r="A53" s="17" t="s">
        <v>550</v>
      </c>
      <c r="B53" s="2" t="s">
        <v>525</v>
      </c>
      <c r="C53" s="27" t="s">
        <v>23</v>
      </c>
      <c r="D53" s="2" t="str">
        <f>VLOOKUP($C53,Sheet1!$A$2:$D$10,2,0)</f>
        <v>141186-74360</v>
      </c>
      <c r="E53" s="8" t="s">
        <v>85</v>
      </c>
      <c r="F53" s="12">
        <v>46033</v>
      </c>
      <c r="G53" s="13">
        <v>0.97916666666666663</v>
      </c>
      <c r="H53" s="2" t="s">
        <v>71</v>
      </c>
      <c r="I53" s="2" t="s">
        <v>54</v>
      </c>
      <c r="J53" s="2">
        <v>80</v>
      </c>
      <c r="K53" s="14">
        <f>VLOOKUP($C53,Sheet1!$A$2:$D$10,4,0)</f>
        <v>40</v>
      </c>
      <c r="L53" s="14" t="str">
        <f>VLOOKUP($C53,Sheet1!$A$2:$E$10,5,0)</f>
        <v>Trolley</v>
      </c>
      <c r="M53" s="14"/>
      <c r="N53" s="2">
        <f>J53/K53</f>
        <v>2</v>
      </c>
      <c r="O53" s="2" t="s">
        <v>119</v>
      </c>
      <c r="P53" s="2">
        <v>910105502</v>
      </c>
    </row>
    <row r="54" spans="1:16" hidden="1" x14ac:dyDescent="0.25">
      <c r="A54" s="17" t="s">
        <v>551</v>
      </c>
      <c r="B54" s="2" t="s">
        <v>530</v>
      </c>
      <c r="C54" s="27" t="s">
        <v>26</v>
      </c>
      <c r="D54" s="2" t="str">
        <f>VLOOKUP($C54,Sheet1!$A$2:$D$10,2,0)</f>
        <v>116040-92240</v>
      </c>
      <c r="E54" s="8" t="s">
        <v>90</v>
      </c>
      <c r="F54" s="12">
        <v>46033</v>
      </c>
      <c r="G54" s="13">
        <v>0.97916666666666663</v>
      </c>
      <c r="H54" s="2" t="s">
        <v>91</v>
      </c>
      <c r="I54" s="2" t="s">
        <v>54</v>
      </c>
      <c r="J54" s="2">
        <v>48</v>
      </c>
      <c r="K54" s="14">
        <f>VLOOKUP($C54,Sheet1!$A$2:$D$10,4,0)</f>
        <v>6</v>
      </c>
      <c r="L54" s="14" t="str">
        <f>VLOOKUP($C54,Sheet1!$A$2:$E$10,5,0)</f>
        <v>Bin</v>
      </c>
      <c r="M54" s="14">
        <f t="shared" ref="M54:M56" si="11">J54/K54</f>
        <v>8</v>
      </c>
      <c r="N54" s="2"/>
      <c r="O54" s="2" t="s">
        <v>119</v>
      </c>
      <c r="P54" s="2" t="s">
        <v>732</v>
      </c>
    </row>
    <row r="55" spans="1:16" hidden="1" x14ac:dyDescent="0.25">
      <c r="A55" s="17" t="s">
        <v>551</v>
      </c>
      <c r="B55" s="2" t="s">
        <v>535</v>
      </c>
      <c r="C55" s="27" t="s">
        <v>32</v>
      </c>
      <c r="D55" s="2" t="str">
        <f>VLOOKUP($C55,Sheet1!$A$2:$D$10,2,0)</f>
        <v>114010-50820</v>
      </c>
      <c r="E55" s="8" t="s">
        <v>98</v>
      </c>
      <c r="F55" s="12">
        <v>46033</v>
      </c>
      <c r="G55" s="13">
        <v>0.97916666666666663</v>
      </c>
      <c r="H55" s="2" t="s">
        <v>91</v>
      </c>
      <c r="I55" s="2" t="s">
        <v>54</v>
      </c>
      <c r="J55" s="2">
        <v>4</v>
      </c>
      <c r="K55" s="14">
        <f>VLOOKUP($C55,Sheet1!$A$2:$D$10,4,0)</f>
        <v>1</v>
      </c>
      <c r="L55" s="14" t="str">
        <f>VLOOKUP($C55,Sheet1!$A$2:$E$10,5,0)</f>
        <v>Bin</v>
      </c>
      <c r="M55" s="14">
        <f t="shared" si="11"/>
        <v>4</v>
      </c>
      <c r="N55" s="2"/>
      <c r="O55" s="2" t="s">
        <v>119</v>
      </c>
      <c r="P55" s="2" t="s">
        <v>429</v>
      </c>
    </row>
    <row r="56" spans="1:16" hidden="1" x14ac:dyDescent="0.25">
      <c r="A56" s="17" t="s">
        <v>551</v>
      </c>
      <c r="B56" s="2" t="s">
        <v>540</v>
      </c>
      <c r="C56" s="27" t="s">
        <v>29</v>
      </c>
      <c r="D56" s="2" t="str">
        <f>VLOOKUP($C56,Sheet1!$A$2:$D$10,2,0)</f>
        <v>114010-50830</v>
      </c>
      <c r="E56" s="8" t="s">
        <v>98</v>
      </c>
      <c r="F56" s="12">
        <v>46033</v>
      </c>
      <c r="G56" s="13">
        <v>0.97916666666666663</v>
      </c>
      <c r="H56" s="2" t="s">
        <v>91</v>
      </c>
      <c r="I56" s="2" t="s">
        <v>54</v>
      </c>
      <c r="J56" s="2">
        <v>40</v>
      </c>
      <c r="K56" s="14">
        <f>VLOOKUP($C56,Sheet1!$A$2:$D$10,4,0)</f>
        <v>1</v>
      </c>
      <c r="L56" s="14" t="str">
        <f>VLOOKUP($C56,Sheet1!$A$2:$E$10,5,0)</f>
        <v>Bin</v>
      </c>
      <c r="M56" s="14">
        <f t="shared" si="11"/>
        <v>40</v>
      </c>
      <c r="N56" s="2"/>
      <c r="O56" s="2" t="s">
        <v>119</v>
      </c>
      <c r="P56" s="2" t="s">
        <v>723</v>
      </c>
    </row>
    <row r="57" spans="1:16" s="11" customFormat="1" hidden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>
        <v>96</v>
      </c>
      <c r="N57" s="10">
        <v>8</v>
      </c>
      <c r="O57" s="10"/>
      <c r="P57" s="10"/>
    </row>
    <row r="58" spans="1:16" hidden="1" x14ac:dyDescent="0.25">
      <c r="A58" s="2"/>
      <c r="B58" s="2" t="s">
        <v>541</v>
      </c>
      <c r="C58" s="2"/>
      <c r="D58" s="2"/>
      <c r="E58" s="8"/>
      <c r="F58" s="12"/>
      <c r="G58" s="13"/>
      <c r="H58" s="2"/>
      <c r="I58" s="2"/>
      <c r="J58" s="2"/>
      <c r="K58" s="14"/>
      <c r="L58" s="14"/>
      <c r="M58" s="14"/>
      <c r="N58" s="2"/>
      <c r="O58" s="2"/>
      <c r="P58" s="2"/>
    </row>
    <row r="59" spans="1:16" x14ac:dyDescent="0.25">
      <c r="A59" s="2"/>
      <c r="B59" s="2"/>
      <c r="C59" s="2"/>
      <c r="D59" s="2"/>
      <c r="E59" s="8"/>
      <c r="F59" s="12"/>
      <c r="G59" s="13"/>
      <c r="H59" s="2"/>
      <c r="I59" s="2"/>
      <c r="J59" s="2"/>
      <c r="K59" s="14"/>
      <c r="L59" s="14"/>
      <c r="M59" s="14"/>
      <c r="N59" s="2"/>
      <c r="O59" s="2"/>
      <c r="P59" s="2"/>
    </row>
  </sheetData>
  <autoFilter ref="A3:P58" xr:uid="{DD82DE12-9807-44B6-BDFD-47219B4118FF}">
    <filterColumn colId="2">
      <filters>
        <filter val="55101M58U10"/>
      </filters>
    </filterColumn>
  </autoFilter>
  <mergeCells count="8">
    <mergeCell ref="N28:N29"/>
    <mergeCell ref="N38:N39"/>
    <mergeCell ref="N48:N49"/>
    <mergeCell ref="N16:N17"/>
    <mergeCell ref="A1:F1"/>
    <mergeCell ref="J1:N1"/>
    <mergeCell ref="L2:N2"/>
    <mergeCell ref="N4:N5"/>
  </mergeCells>
  <conditionalFormatting sqref="B2">
    <cfRule type="duplicateValues" dxfId="104" priority="5"/>
    <cfRule type="duplicateValues" dxfId="103" priority="6"/>
  </conditionalFormatting>
  <conditionalFormatting sqref="B4:B14 B16:B26 B58:B59 B28:B36 B38:B46 B48:B56">
    <cfRule type="duplicateValues" dxfId="102" priority="4"/>
  </conditionalFormatting>
  <conditionalFormatting sqref="C28:C36">
    <cfRule type="duplicateValues" dxfId="101" priority="3"/>
  </conditionalFormatting>
  <conditionalFormatting sqref="C38:C46">
    <cfRule type="duplicateValues" dxfId="100" priority="2"/>
  </conditionalFormatting>
  <conditionalFormatting sqref="C48:C56">
    <cfRule type="duplicateValues" dxfId="99" priority="1"/>
  </conditionalFormatting>
  <conditionalFormatting sqref="C2:D2">
    <cfRule type="duplicateValues" dxfId="98" priority="7"/>
    <cfRule type="duplicateValues" dxfId="97" priority="8"/>
  </conditionalFormatting>
  <hyperlinks>
    <hyperlink ref="B58" r:id="rId1" display="http://192.168.1.249/downloads/temp/X539_eNagare_2026110.log" xr:uid="{925AC12B-FCF1-4930-BCF9-20DAEB4340DE}"/>
  </hyperlinks>
  <pageMargins left="0.17" right="0.17" top="0.17" bottom="0.17" header="0.17" footer="0.3"/>
  <pageSetup paperSize="9" scale="14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C731-34F2-4925-B05F-1115EFAC1373}">
  <sheetPr filterMode="1">
    <tabColor rgb="FF00B050"/>
    <pageSetUpPr fitToPage="1"/>
  </sheetPr>
  <dimension ref="A1:Q67"/>
  <sheetViews>
    <sheetView zoomScale="235" zoomScaleNormal="235" workbookViewId="0">
      <selection activeCell="B12" sqref="B4:B12"/>
    </sheetView>
  </sheetViews>
  <sheetFormatPr defaultColWidth="49.5703125" defaultRowHeight="15" x14ac:dyDescent="0.25"/>
  <cols>
    <col min="1" max="1" width="15.140625" bestFit="1" customWidth="1"/>
    <col min="2" max="2" width="18" customWidth="1"/>
    <col min="3" max="3" width="14.140625" bestFit="1" customWidth="1"/>
    <col min="4" max="4" width="14.140625" customWidth="1"/>
    <col min="5" max="5" width="27.28515625" customWidth="1"/>
    <col min="6" max="6" width="11.42578125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1.85546875" customWidth="1"/>
    <col min="13" max="13" width="7.140625" bestFit="1" customWidth="1"/>
    <col min="14" max="14" width="7.85546875" bestFit="1" customWidth="1"/>
    <col min="15" max="15" width="10.7109375" customWidth="1"/>
    <col min="16" max="16" width="47.570312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46034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594</v>
      </c>
      <c r="B4" s="2" t="s">
        <v>552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46034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69">
        <v>3</v>
      </c>
      <c r="O4" s="2" t="s">
        <v>121</v>
      </c>
      <c r="P4" s="2" t="s">
        <v>731</v>
      </c>
    </row>
    <row r="5" spans="1:16" x14ac:dyDescent="0.25">
      <c r="A5" s="17" t="s">
        <v>594</v>
      </c>
      <c r="B5" s="2" t="s">
        <v>556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46034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69"/>
      <c r="O5" s="2" t="s">
        <v>121</v>
      </c>
      <c r="P5" s="2" t="s">
        <v>731</v>
      </c>
    </row>
    <row r="6" spans="1:16" x14ac:dyDescent="0.25">
      <c r="A6" s="17" t="s">
        <v>594</v>
      </c>
      <c r="B6" s="2" t="s">
        <v>560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46034</v>
      </c>
      <c r="G6" s="13">
        <v>0.35416666666666669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121</v>
      </c>
      <c r="P6" s="2">
        <v>910105502</v>
      </c>
    </row>
    <row r="7" spans="1:16" x14ac:dyDescent="0.25">
      <c r="A7" s="17" t="s">
        <v>594</v>
      </c>
      <c r="B7" s="2" t="s">
        <v>561</v>
      </c>
      <c r="C7" s="27" t="s">
        <v>12</v>
      </c>
      <c r="D7" s="2" t="str">
        <f>VLOOKUP($C7,Sheet1!$A$2:$D$10,2,0)</f>
        <v>141185-74670</v>
      </c>
      <c r="E7" s="8" t="s">
        <v>66</v>
      </c>
      <c r="F7" s="12">
        <v>46034</v>
      </c>
      <c r="G7" s="13">
        <v>0.35416666666666669</v>
      </c>
      <c r="H7" s="2" t="s">
        <v>53</v>
      </c>
      <c r="I7" s="2" t="s">
        <v>54</v>
      </c>
      <c r="J7" s="2">
        <v>40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1</v>
      </c>
      <c r="O7" s="2" t="s">
        <v>121</v>
      </c>
      <c r="P7" s="2">
        <v>910105502</v>
      </c>
    </row>
    <row r="8" spans="1:16" x14ac:dyDescent="0.25">
      <c r="A8" s="17" t="s">
        <v>594</v>
      </c>
      <c r="B8" s="2" t="s">
        <v>565</v>
      </c>
      <c r="C8" s="27" t="s">
        <v>16</v>
      </c>
      <c r="D8" s="2" t="str">
        <f>VLOOKUP($C8,Sheet1!$A$2:$D$10,2,0)</f>
        <v>141140-91211</v>
      </c>
      <c r="E8" s="8" t="s">
        <v>70</v>
      </c>
      <c r="F8" s="12">
        <v>46034</v>
      </c>
      <c r="G8" s="13">
        <v>0.35416666666666669</v>
      </c>
      <c r="H8" s="2" t="s">
        <v>71</v>
      </c>
      <c r="I8" s="2" t="s">
        <v>54</v>
      </c>
      <c r="J8" s="2">
        <v>48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24</v>
      </c>
      <c r="N8" s="2"/>
      <c r="O8" s="2" t="s">
        <v>121</v>
      </c>
      <c r="P8" s="2" t="s">
        <v>723</v>
      </c>
    </row>
    <row r="9" spans="1:16" x14ac:dyDescent="0.25">
      <c r="A9" s="17" t="s">
        <v>594</v>
      </c>
      <c r="B9" s="2" t="s">
        <v>566</v>
      </c>
      <c r="C9" s="27" t="s">
        <v>16</v>
      </c>
      <c r="D9" s="2" t="str">
        <f>VLOOKUP($C9,Sheet1!$A$2:$D$10,2,0)</f>
        <v>141140-91211</v>
      </c>
      <c r="E9" s="8" t="s">
        <v>70</v>
      </c>
      <c r="F9" s="12">
        <v>46034</v>
      </c>
      <c r="G9" s="13">
        <v>0.35416666666666669</v>
      </c>
      <c r="H9" s="2" t="s">
        <v>71</v>
      </c>
      <c r="I9" s="2" t="s">
        <v>54</v>
      </c>
      <c r="J9" s="2">
        <v>2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:M11" si="0">J9/K9</f>
        <v>1</v>
      </c>
      <c r="N9" s="2"/>
      <c r="O9" s="2" t="s">
        <v>121</v>
      </c>
      <c r="P9" s="2" t="s">
        <v>723</v>
      </c>
    </row>
    <row r="10" spans="1:16" x14ac:dyDescent="0.25">
      <c r="A10" s="17" t="s">
        <v>594</v>
      </c>
      <c r="B10" s="2" t="s">
        <v>570</v>
      </c>
      <c r="C10" s="27" t="s">
        <v>20</v>
      </c>
      <c r="D10" s="2" t="str">
        <f>VLOOKUP($C10,Sheet1!$A$2:$D$10,2,0)</f>
        <v>141150-91211</v>
      </c>
      <c r="E10" s="8" t="s">
        <v>78</v>
      </c>
      <c r="F10" s="12">
        <v>46034</v>
      </c>
      <c r="G10" s="13">
        <v>0.35416666666666669</v>
      </c>
      <c r="H10" s="2" t="s">
        <v>71</v>
      </c>
      <c r="I10" s="2" t="s">
        <v>54</v>
      </c>
      <c r="J10" s="2">
        <v>48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24</v>
      </c>
      <c r="N10" s="2"/>
      <c r="O10" s="2" t="s">
        <v>121</v>
      </c>
      <c r="P10" s="2" t="s">
        <v>723</v>
      </c>
    </row>
    <row r="11" spans="1:16" x14ac:dyDescent="0.25">
      <c r="A11" s="17" t="s">
        <v>594</v>
      </c>
      <c r="B11" s="2" t="s">
        <v>571</v>
      </c>
      <c r="C11" s="27" t="s">
        <v>20</v>
      </c>
      <c r="D11" s="2" t="str">
        <f>VLOOKUP($C11,Sheet1!$A$2:$D$10,2,0)</f>
        <v>141150-91211</v>
      </c>
      <c r="E11" s="8" t="s">
        <v>78</v>
      </c>
      <c r="F11" s="12">
        <v>46034</v>
      </c>
      <c r="G11" s="13">
        <v>0.35416666666666669</v>
      </c>
      <c r="H11" s="2" t="s">
        <v>71</v>
      </c>
      <c r="I11" s="2" t="s">
        <v>54</v>
      </c>
      <c r="J11" s="2">
        <v>2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si="0"/>
        <v>1</v>
      </c>
      <c r="N11" s="2"/>
      <c r="O11" s="2" t="s">
        <v>121</v>
      </c>
      <c r="P11" s="2" t="s">
        <v>723</v>
      </c>
    </row>
    <row r="12" spans="1:16" x14ac:dyDescent="0.25">
      <c r="A12" s="17" t="s">
        <v>594</v>
      </c>
      <c r="B12" s="2" t="s">
        <v>575</v>
      </c>
      <c r="C12" s="27" t="s">
        <v>23</v>
      </c>
      <c r="D12" s="2" t="str">
        <f>VLOOKUP($C12,Sheet1!$A$2:$D$10,2,0)</f>
        <v>141186-74360</v>
      </c>
      <c r="E12" s="8" t="s">
        <v>85</v>
      </c>
      <c r="F12" s="12">
        <v>46034</v>
      </c>
      <c r="G12" s="13">
        <v>0.35416666666666669</v>
      </c>
      <c r="H12" s="2" t="s">
        <v>71</v>
      </c>
      <c r="I12" s="2" t="s">
        <v>54</v>
      </c>
      <c r="J12" s="2">
        <v>120</v>
      </c>
      <c r="K12" s="14">
        <f>VLOOKUP($C12,Sheet1!$A$2:$D$10,4,0)</f>
        <v>40</v>
      </c>
      <c r="L12" s="14" t="str">
        <f>VLOOKUP($C12,Sheet1!$A$2:$E$10,5,0)</f>
        <v>Trolley</v>
      </c>
      <c r="M12" s="14"/>
      <c r="N12" s="2">
        <f>J12/K12</f>
        <v>3</v>
      </c>
      <c r="O12" s="2" t="s">
        <v>121</v>
      </c>
      <c r="P12" s="2">
        <v>910105502</v>
      </c>
    </row>
    <row r="13" spans="1:16" hidden="1" x14ac:dyDescent="0.25">
      <c r="A13" s="17" t="s">
        <v>595</v>
      </c>
      <c r="B13" s="2" t="s">
        <v>579</v>
      </c>
      <c r="C13" s="27" t="s">
        <v>26</v>
      </c>
      <c r="D13" s="2" t="str">
        <f>VLOOKUP($C13,Sheet1!$A$2:$D$10,2,0)</f>
        <v>116040-92240</v>
      </c>
      <c r="E13" s="8" t="s">
        <v>90</v>
      </c>
      <c r="F13" s="12">
        <v>46034</v>
      </c>
      <c r="G13" s="13">
        <v>0.35416666666666669</v>
      </c>
      <c r="H13" s="2" t="s">
        <v>91</v>
      </c>
      <c r="I13" s="2" t="s">
        <v>54</v>
      </c>
      <c r="J13" s="2">
        <v>96</v>
      </c>
      <c r="K13" s="14">
        <f>VLOOKUP($C13,Sheet1!$A$2:$D$10,4,0)</f>
        <v>6</v>
      </c>
      <c r="L13" s="14" t="str">
        <f>VLOOKUP($C13,Sheet1!$A$2:$E$10,5,0)</f>
        <v>Bin</v>
      </c>
      <c r="M13" s="14">
        <f t="shared" ref="M13:M17" si="1">J13/K13</f>
        <v>16</v>
      </c>
      <c r="N13" s="2"/>
      <c r="O13" s="2" t="s">
        <v>121</v>
      </c>
      <c r="P13" s="2" t="s">
        <v>733</v>
      </c>
    </row>
    <row r="14" spans="1:16" hidden="1" x14ac:dyDescent="0.25">
      <c r="A14" s="17" t="s">
        <v>595</v>
      </c>
      <c r="B14" s="2" t="s">
        <v>580</v>
      </c>
      <c r="C14" s="27" t="s">
        <v>26</v>
      </c>
      <c r="D14" s="2" t="str">
        <f>VLOOKUP($C14,Sheet1!$A$2:$D$10,2,0)</f>
        <v>116040-92240</v>
      </c>
      <c r="E14" s="8" t="s">
        <v>90</v>
      </c>
      <c r="F14" s="12">
        <v>46034</v>
      </c>
      <c r="G14" s="13">
        <v>0.35416666666666669</v>
      </c>
      <c r="H14" s="2" t="s">
        <v>91</v>
      </c>
      <c r="I14" s="2" t="s">
        <v>54</v>
      </c>
      <c r="J14" s="2">
        <v>6</v>
      </c>
      <c r="K14" s="14">
        <f>VLOOKUP($C14,Sheet1!$A$2:$D$10,4,0)</f>
        <v>6</v>
      </c>
      <c r="L14" s="14" t="str">
        <f>VLOOKUP($C14,Sheet1!$A$2:$E$10,5,0)</f>
        <v>Bin</v>
      </c>
      <c r="M14" s="14">
        <f t="shared" si="1"/>
        <v>1</v>
      </c>
      <c r="N14" s="2"/>
      <c r="O14" s="2" t="s">
        <v>121</v>
      </c>
      <c r="P14" s="2" t="s">
        <v>733</v>
      </c>
    </row>
    <row r="15" spans="1:16" hidden="1" x14ac:dyDescent="0.25">
      <c r="A15" s="17" t="s">
        <v>595</v>
      </c>
      <c r="B15" s="2" t="s">
        <v>584</v>
      </c>
      <c r="C15" s="27" t="s">
        <v>32</v>
      </c>
      <c r="D15" s="2" t="str">
        <f>VLOOKUP($C15,Sheet1!$A$2:$D$10,2,0)</f>
        <v>114010-50820</v>
      </c>
      <c r="E15" s="8" t="s">
        <v>98</v>
      </c>
      <c r="F15" s="12">
        <v>46034</v>
      </c>
      <c r="G15" s="13">
        <v>0.35416666666666669</v>
      </c>
      <c r="H15" s="2" t="s">
        <v>91</v>
      </c>
      <c r="I15" s="2" t="s">
        <v>54</v>
      </c>
      <c r="J15" s="2">
        <v>10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1"/>
        <v>10</v>
      </c>
      <c r="N15" s="2"/>
      <c r="O15" s="2" t="s">
        <v>121</v>
      </c>
      <c r="P15" s="2" t="s">
        <v>429</v>
      </c>
    </row>
    <row r="16" spans="1:16" hidden="1" x14ac:dyDescent="0.25">
      <c r="A16" s="17" t="s">
        <v>595</v>
      </c>
      <c r="B16" s="2" t="s">
        <v>585</v>
      </c>
      <c r="C16" s="27" t="s">
        <v>32</v>
      </c>
      <c r="D16" s="2" t="str">
        <f>VLOOKUP($C16,Sheet1!$A$2:$D$10,2,0)</f>
        <v>114010-50820</v>
      </c>
      <c r="E16" s="8" t="s">
        <v>98</v>
      </c>
      <c r="F16" s="12">
        <v>46034</v>
      </c>
      <c r="G16" s="13">
        <v>0.35416666666666669</v>
      </c>
      <c r="H16" s="2" t="s">
        <v>91</v>
      </c>
      <c r="I16" s="2" t="s">
        <v>54</v>
      </c>
      <c r="J16" s="2">
        <v>3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1"/>
        <v>3</v>
      </c>
      <c r="N16" s="2"/>
      <c r="O16" s="2" t="s">
        <v>121</v>
      </c>
      <c r="P16" s="2" t="s">
        <v>429</v>
      </c>
    </row>
    <row r="17" spans="1:16" hidden="1" x14ac:dyDescent="0.25">
      <c r="A17" s="17" t="s">
        <v>595</v>
      </c>
      <c r="B17" s="2" t="s">
        <v>589</v>
      </c>
      <c r="C17" s="27" t="s">
        <v>29</v>
      </c>
      <c r="D17" s="2" t="str">
        <f>VLOOKUP($C17,Sheet1!$A$2:$D$10,2,0)</f>
        <v>114010-50830</v>
      </c>
      <c r="E17" s="8" t="s">
        <v>98</v>
      </c>
      <c r="F17" s="12">
        <v>46034</v>
      </c>
      <c r="G17" s="13">
        <v>0.35416666666666669</v>
      </c>
      <c r="H17" s="2" t="s">
        <v>91</v>
      </c>
      <c r="I17" s="2" t="s">
        <v>54</v>
      </c>
      <c r="J17" s="2">
        <v>23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1"/>
        <v>23</v>
      </c>
      <c r="N17" s="2"/>
      <c r="O17" s="2" t="s">
        <v>121</v>
      </c>
      <c r="P17" s="2" t="s">
        <v>723</v>
      </c>
    </row>
    <row r="18" spans="1:16" s="11" customFormat="1" hidden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>
        <v>103</v>
      </c>
      <c r="N18" s="10">
        <v>9</v>
      </c>
      <c r="O18" s="10"/>
      <c r="P18" s="10"/>
    </row>
    <row r="19" spans="1:16" hidden="1" x14ac:dyDescent="0.25">
      <c r="A19" s="17" t="s">
        <v>596</v>
      </c>
      <c r="B19" s="2" t="s">
        <v>552</v>
      </c>
      <c r="C19" s="27" t="s">
        <v>5</v>
      </c>
      <c r="D19" s="2" t="str">
        <f>VLOOKUP($C19,Sheet1!$A$2:$D$10,2,0)</f>
        <v>141110-14600</v>
      </c>
      <c r="E19" s="8" t="s">
        <v>52</v>
      </c>
      <c r="F19" s="12">
        <v>46034</v>
      </c>
      <c r="G19" s="13">
        <v>0.35416666666666669</v>
      </c>
      <c r="H19" s="2" t="s">
        <v>53</v>
      </c>
      <c r="I19" s="2" t="s">
        <v>54</v>
      </c>
      <c r="J19" s="2">
        <v>54</v>
      </c>
      <c r="K19" s="14">
        <f>VLOOKUP($C19,Sheet1!$A$2:$D$10,4,0)</f>
        <v>18</v>
      </c>
      <c r="L19" s="14" t="str">
        <f>VLOOKUP($C19,Sheet1!$A$2:$E$10,5,0)</f>
        <v>Trolley (H)</v>
      </c>
      <c r="M19" s="14"/>
      <c r="N19" s="69">
        <v>3</v>
      </c>
      <c r="O19" s="2" t="s">
        <v>122</v>
      </c>
      <c r="P19" s="2" t="s">
        <v>731</v>
      </c>
    </row>
    <row r="20" spans="1:16" hidden="1" x14ac:dyDescent="0.25">
      <c r="A20" s="17" t="s">
        <v>596</v>
      </c>
      <c r="B20" s="2" t="s">
        <v>556</v>
      </c>
      <c r="C20" s="27" t="s">
        <v>9</v>
      </c>
      <c r="D20" s="2" t="str">
        <f>VLOOKUP($C20,Sheet1!$A$2:$D$10,2,0)</f>
        <v>141120-14600</v>
      </c>
      <c r="E20" s="8" t="s">
        <v>60</v>
      </c>
      <c r="F20" s="12">
        <v>46034</v>
      </c>
      <c r="G20" s="13">
        <v>0.35416666666666669</v>
      </c>
      <c r="H20" s="2" t="s">
        <v>53</v>
      </c>
      <c r="I20" s="2" t="s">
        <v>54</v>
      </c>
      <c r="J20" s="2">
        <v>54</v>
      </c>
      <c r="K20" s="14">
        <f>VLOOKUP($C20,Sheet1!$A$2:$D$10,4,0)</f>
        <v>18</v>
      </c>
      <c r="L20" s="14" t="str">
        <f>VLOOKUP($C20,Sheet1!$A$2:$E$10,5,0)</f>
        <v>Trolley (H)</v>
      </c>
      <c r="M20" s="14"/>
      <c r="N20" s="69"/>
      <c r="O20" s="2" t="s">
        <v>122</v>
      </c>
      <c r="P20" s="2" t="s">
        <v>731</v>
      </c>
    </row>
    <row r="21" spans="1:16" hidden="1" x14ac:dyDescent="0.25">
      <c r="A21" s="17" t="s">
        <v>596</v>
      </c>
      <c r="B21" s="2" t="s">
        <v>560</v>
      </c>
      <c r="C21" s="27" t="s">
        <v>12</v>
      </c>
      <c r="D21" s="2" t="str">
        <f>VLOOKUP($C21,Sheet1!$A$2:$D$10,2,0)</f>
        <v>141185-74670</v>
      </c>
      <c r="E21" s="8" t="s">
        <v>66</v>
      </c>
      <c r="F21" s="12">
        <v>46034</v>
      </c>
      <c r="G21" s="13">
        <v>0.35416666666666669</v>
      </c>
      <c r="H21" s="2" t="s">
        <v>53</v>
      </c>
      <c r="I21" s="2" t="s">
        <v>54</v>
      </c>
      <c r="J21" s="2">
        <v>120</v>
      </c>
      <c r="K21" s="14">
        <f>VLOOKUP($C21,Sheet1!$A$2:$D$10,4,0)</f>
        <v>40</v>
      </c>
      <c r="L21" s="14" t="str">
        <f>VLOOKUP($C21,Sheet1!$A$2:$E$10,5,0)</f>
        <v>Trolley</v>
      </c>
      <c r="M21" s="14"/>
      <c r="N21" s="2">
        <f>J21/K21</f>
        <v>3</v>
      </c>
      <c r="O21" s="2" t="s">
        <v>122</v>
      </c>
      <c r="P21" s="2">
        <v>910105502</v>
      </c>
    </row>
    <row r="22" spans="1:16" hidden="1" x14ac:dyDescent="0.25">
      <c r="A22" s="17" t="s">
        <v>596</v>
      </c>
      <c r="B22" s="2" t="s">
        <v>565</v>
      </c>
      <c r="C22" s="27" t="s">
        <v>16</v>
      </c>
      <c r="D22" s="2" t="str">
        <f>VLOOKUP($C22,Sheet1!$A$2:$D$10,2,0)</f>
        <v>141140-91211</v>
      </c>
      <c r="E22" s="8" t="s">
        <v>70</v>
      </c>
      <c r="F22" s="12">
        <v>46034</v>
      </c>
      <c r="G22" s="13">
        <v>0.35416666666666669</v>
      </c>
      <c r="H22" s="2" t="s">
        <v>71</v>
      </c>
      <c r="I22" s="2" t="s">
        <v>54</v>
      </c>
      <c r="J22" s="2">
        <v>50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25</v>
      </c>
      <c r="N22" s="2"/>
      <c r="O22" s="2" t="s">
        <v>122</v>
      </c>
      <c r="P22" s="2" t="s">
        <v>723</v>
      </c>
    </row>
    <row r="23" spans="1:16" hidden="1" x14ac:dyDescent="0.25">
      <c r="A23" s="17" t="s">
        <v>596</v>
      </c>
      <c r="B23" s="2" t="s">
        <v>570</v>
      </c>
      <c r="C23" s="27" t="s">
        <v>20</v>
      </c>
      <c r="D23" s="2" t="str">
        <f>VLOOKUP($C23,Sheet1!$A$2:$D$10,2,0)</f>
        <v>141150-91211</v>
      </c>
      <c r="E23" s="8" t="s">
        <v>78</v>
      </c>
      <c r="F23" s="12">
        <v>46034</v>
      </c>
      <c r="G23" s="13">
        <v>0.35416666666666669</v>
      </c>
      <c r="H23" s="2" t="s">
        <v>71</v>
      </c>
      <c r="I23" s="2" t="s">
        <v>54</v>
      </c>
      <c r="J23" s="2">
        <v>50</v>
      </c>
      <c r="K23" s="14">
        <f>VLOOKUP($C23,Sheet1!$A$2:$D$10,4,0)</f>
        <v>2</v>
      </c>
      <c r="L23" s="14" t="str">
        <f>VLOOKUP($C23,Sheet1!$A$2:$E$10,5,0)</f>
        <v>Bin</v>
      </c>
      <c r="M23" s="14">
        <f t="shared" ref="M23" si="2">J23/K23</f>
        <v>25</v>
      </c>
      <c r="N23" s="2"/>
      <c r="O23" s="2" t="s">
        <v>122</v>
      </c>
      <c r="P23" s="2" t="s">
        <v>723</v>
      </c>
    </row>
    <row r="24" spans="1:16" hidden="1" x14ac:dyDescent="0.25">
      <c r="A24" s="17" t="s">
        <v>596</v>
      </c>
      <c r="B24" s="2" t="s">
        <v>575</v>
      </c>
      <c r="C24" s="27" t="s">
        <v>23</v>
      </c>
      <c r="D24" s="2" t="str">
        <f>VLOOKUP($C24,Sheet1!$A$2:$D$10,2,0)</f>
        <v>141186-74360</v>
      </c>
      <c r="E24" s="8" t="s">
        <v>85</v>
      </c>
      <c r="F24" s="12">
        <v>46034</v>
      </c>
      <c r="G24" s="13">
        <v>0.35416666666666669</v>
      </c>
      <c r="H24" s="2" t="s">
        <v>71</v>
      </c>
      <c r="I24" s="2" t="s">
        <v>54</v>
      </c>
      <c r="J24" s="2">
        <v>80</v>
      </c>
      <c r="K24" s="14">
        <f>VLOOKUP($C24,Sheet1!$A$2:$D$10,4,0)</f>
        <v>40</v>
      </c>
      <c r="L24" s="14" t="str">
        <f>VLOOKUP($C24,Sheet1!$A$2:$E$10,5,0)</f>
        <v>Trolley</v>
      </c>
      <c r="M24" s="14"/>
      <c r="N24" s="2">
        <f>J24/K24</f>
        <v>2</v>
      </c>
      <c r="O24" s="2" t="s">
        <v>122</v>
      </c>
      <c r="P24" s="2">
        <v>910105502</v>
      </c>
    </row>
    <row r="25" spans="1:16" hidden="1" x14ac:dyDescent="0.25">
      <c r="A25" s="17" t="s">
        <v>597</v>
      </c>
      <c r="B25" s="2" t="s">
        <v>584</v>
      </c>
      <c r="C25" s="27" t="s">
        <v>32</v>
      </c>
      <c r="D25" s="2" t="str">
        <f>VLOOKUP($C25,Sheet1!$A$2:$D$10,2,0)</f>
        <v>114010-50820</v>
      </c>
      <c r="E25" s="8" t="s">
        <v>98</v>
      </c>
      <c r="F25" s="12">
        <v>46034</v>
      </c>
      <c r="G25" s="13">
        <v>0.35416666666666669</v>
      </c>
      <c r="H25" s="2" t="s">
        <v>91</v>
      </c>
      <c r="I25" s="2" t="s">
        <v>54</v>
      </c>
      <c r="J25" s="2">
        <v>10</v>
      </c>
      <c r="K25" s="14">
        <f>VLOOKUP($C25,Sheet1!$A$2:$D$10,4,0)</f>
        <v>1</v>
      </c>
      <c r="L25" s="14" t="str">
        <f>VLOOKUP($C25,Sheet1!$A$2:$E$10,5,0)</f>
        <v>Bin</v>
      </c>
      <c r="M25" s="14">
        <f t="shared" ref="M25:M26" si="3">J25/K25</f>
        <v>10</v>
      </c>
      <c r="N25" s="2"/>
      <c r="O25" s="2" t="s">
        <v>122</v>
      </c>
      <c r="P25" s="2" t="s">
        <v>429</v>
      </c>
    </row>
    <row r="26" spans="1:16" hidden="1" x14ac:dyDescent="0.25">
      <c r="A26" s="17" t="s">
        <v>597</v>
      </c>
      <c r="B26" s="2" t="s">
        <v>589</v>
      </c>
      <c r="C26" s="27" t="s">
        <v>29</v>
      </c>
      <c r="D26" s="2" t="str">
        <f>VLOOKUP($C26,Sheet1!$A$2:$D$10,2,0)</f>
        <v>114010-50830</v>
      </c>
      <c r="E26" s="8" t="s">
        <v>98</v>
      </c>
      <c r="F26" s="12">
        <v>46034</v>
      </c>
      <c r="G26" s="13">
        <v>0.35416666666666669</v>
      </c>
      <c r="H26" s="2" t="s">
        <v>91</v>
      </c>
      <c r="I26" s="2" t="s">
        <v>54</v>
      </c>
      <c r="J26" s="2">
        <v>55</v>
      </c>
      <c r="K26" s="14">
        <f>VLOOKUP($C26,Sheet1!$A$2:$D$10,4,0)</f>
        <v>1</v>
      </c>
      <c r="L26" s="14" t="str">
        <f>VLOOKUP($C26,Sheet1!$A$2:$E$10,5,0)</f>
        <v>Bin</v>
      </c>
      <c r="M26" s="14">
        <f t="shared" si="3"/>
        <v>55</v>
      </c>
      <c r="N26" s="2"/>
      <c r="O26" s="2" t="s">
        <v>122</v>
      </c>
      <c r="P26" s="2" t="s">
        <v>723</v>
      </c>
    </row>
    <row r="27" spans="1:16" s="32" customFormat="1" hidden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>
        <v>115</v>
      </c>
      <c r="N27" s="10">
        <v>8</v>
      </c>
      <c r="O27" s="10"/>
      <c r="P27" s="10"/>
    </row>
    <row r="28" spans="1:16" hidden="1" x14ac:dyDescent="0.25">
      <c r="A28" s="17" t="s">
        <v>598</v>
      </c>
      <c r="B28" s="2" t="s">
        <v>553</v>
      </c>
      <c r="C28" s="27" t="s">
        <v>5</v>
      </c>
      <c r="D28" s="2" t="str">
        <f>VLOOKUP($C28,Sheet1!$A$2:$D$10,2,0)</f>
        <v>141110-14600</v>
      </c>
      <c r="E28" s="8" t="s">
        <v>52</v>
      </c>
      <c r="F28" s="12">
        <v>46034</v>
      </c>
      <c r="G28" s="13">
        <v>0.5625</v>
      </c>
      <c r="H28" s="2" t="s">
        <v>53</v>
      </c>
      <c r="I28" s="2" t="s">
        <v>54</v>
      </c>
      <c r="J28" s="2">
        <v>54</v>
      </c>
      <c r="K28" s="14">
        <f>VLOOKUP($C28,Sheet1!$A$2:$D$10,4,0)</f>
        <v>18</v>
      </c>
      <c r="L28" s="14" t="str">
        <f>VLOOKUP($C28,Sheet1!$A$2:$E$10,5,0)</f>
        <v>Trolley (H)</v>
      </c>
      <c r="M28" s="14"/>
      <c r="N28" s="69">
        <v>3</v>
      </c>
      <c r="O28" s="2" t="s">
        <v>119</v>
      </c>
      <c r="P28" s="2" t="s">
        <v>734</v>
      </c>
    </row>
    <row r="29" spans="1:16" hidden="1" x14ac:dyDescent="0.25">
      <c r="A29" s="17" t="s">
        <v>598</v>
      </c>
      <c r="B29" s="2" t="s">
        <v>557</v>
      </c>
      <c r="C29" s="27" t="s">
        <v>9</v>
      </c>
      <c r="D29" s="2" t="str">
        <f>VLOOKUP($C29,Sheet1!$A$2:$D$10,2,0)</f>
        <v>141120-14600</v>
      </c>
      <c r="E29" s="8" t="s">
        <v>60</v>
      </c>
      <c r="F29" s="12">
        <v>46034</v>
      </c>
      <c r="G29" s="13">
        <v>0.5625</v>
      </c>
      <c r="H29" s="2" t="s">
        <v>53</v>
      </c>
      <c r="I29" s="2" t="s">
        <v>54</v>
      </c>
      <c r="J29" s="2">
        <v>54</v>
      </c>
      <c r="K29" s="14">
        <f>VLOOKUP($C29,Sheet1!$A$2:$D$10,4,0)</f>
        <v>18</v>
      </c>
      <c r="L29" s="14" t="str">
        <f>VLOOKUP($C29,Sheet1!$A$2:$E$10,5,0)</f>
        <v>Trolley (H)</v>
      </c>
      <c r="M29" s="14"/>
      <c r="N29" s="69"/>
      <c r="O29" s="2" t="s">
        <v>119</v>
      </c>
      <c r="P29" s="2" t="s">
        <v>735</v>
      </c>
    </row>
    <row r="30" spans="1:16" hidden="1" x14ac:dyDescent="0.25">
      <c r="A30" s="17" t="s">
        <v>598</v>
      </c>
      <c r="B30" s="2" t="s">
        <v>562</v>
      </c>
      <c r="C30" s="27" t="s">
        <v>12</v>
      </c>
      <c r="D30" s="2" t="str">
        <f>VLOOKUP($C30,Sheet1!$A$2:$D$10,2,0)</f>
        <v>141185-74670</v>
      </c>
      <c r="E30" s="8" t="s">
        <v>66</v>
      </c>
      <c r="F30" s="12">
        <v>46034</v>
      </c>
      <c r="G30" s="13">
        <v>0.5625</v>
      </c>
      <c r="H30" s="2" t="s">
        <v>53</v>
      </c>
      <c r="I30" s="2" t="s">
        <v>54</v>
      </c>
      <c r="J30" s="2">
        <v>80</v>
      </c>
      <c r="K30" s="14">
        <f>VLOOKUP($C30,Sheet1!$A$2:$D$10,4,0)</f>
        <v>40</v>
      </c>
      <c r="L30" s="14" t="str">
        <f>VLOOKUP($C30,Sheet1!$A$2:$E$10,5,0)</f>
        <v>Trolley</v>
      </c>
      <c r="M30" s="14"/>
      <c r="N30" s="2">
        <f>J30/K30</f>
        <v>2</v>
      </c>
      <c r="O30" s="2" t="s">
        <v>119</v>
      </c>
      <c r="P30" s="2">
        <v>910105502</v>
      </c>
    </row>
    <row r="31" spans="1:16" hidden="1" x14ac:dyDescent="0.25">
      <c r="A31" s="17" t="s">
        <v>598</v>
      </c>
      <c r="B31" s="2" t="s">
        <v>567</v>
      </c>
      <c r="C31" s="27" t="s">
        <v>16</v>
      </c>
      <c r="D31" s="2" t="str">
        <f>VLOOKUP($C31,Sheet1!$A$2:$D$10,2,0)</f>
        <v>141140-91211</v>
      </c>
      <c r="E31" s="8" t="s">
        <v>70</v>
      </c>
      <c r="F31" s="12">
        <v>46034</v>
      </c>
      <c r="G31" s="13">
        <v>0.5625</v>
      </c>
      <c r="H31" s="2" t="s">
        <v>71</v>
      </c>
      <c r="I31" s="2" t="s">
        <v>54</v>
      </c>
      <c r="J31" s="2">
        <v>70</v>
      </c>
      <c r="K31" s="14">
        <f>VLOOKUP($C31,Sheet1!$A$2:$D$10,4,0)</f>
        <v>2</v>
      </c>
      <c r="L31" s="14" t="str">
        <f>VLOOKUP($C31,Sheet1!$A$2:$E$10,5,0)</f>
        <v>Bin</v>
      </c>
      <c r="M31" s="14">
        <f t="shared" ref="M31:M32" si="4">J31/K31</f>
        <v>35</v>
      </c>
      <c r="N31" s="2"/>
      <c r="O31" s="2" t="s">
        <v>119</v>
      </c>
      <c r="P31" s="2" t="s">
        <v>723</v>
      </c>
    </row>
    <row r="32" spans="1:16" hidden="1" x14ac:dyDescent="0.25">
      <c r="A32" s="17" t="s">
        <v>598</v>
      </c>
      <c r="B32" s="2" t="s">
        <v>572</v>
      </c>
      <c r="C32" s="27" t="s">
        <v>20</v>
      </c>
      <c r="D32" s="2" t="str">
        <f>VLOOKUP($C32,Sheet1!$A$2:$D$10,2,0)</f>
        <v>141150-91211</v>
      </c>
      <c r="E32" s="8" t="s">
        <v>78</v>
      </c>
      <c r="F32" s="12">
        <v>46034</v>
      </c>
      <c r="G32" s="13">
        <v>0.5625</v>
      </c>
      <c r="H32" s="2" t="s">
        <v>71</v>
      </c>
      <c r="I32" s="2" t="s">
        <v>54</v>
      </c>
      <c r="J32" s="2">
        <v>70</v>
      </c>
      <c r="K32" s="14">
        <f>VLOOKUP($C32,Sheet1!$A$2:$D$10,4,0)</f>
        <v>2</v>
      </c>
      <c r="L32" s="14" t="str">
        <f>VLOOKUP($C32,Sheet1!$A$2:$E$10,5,0)</f>
        <v>Bin</v>
      </c>
      <c r="M32" s="14">
        <f t="shared" si="4"/>
        <v>35</v>
      </c>
      <c r="N32" s="2"/>
      <c r="O32" s="2" t="s">
        <v>119</v>
      </c>
      <c r="P32" s="2" t="s">
        <v>723</v>
      </c>
    </row>
    <row r="33" spans="1:17" hidden="1" x14ac:dyDescent="0.25">
      <c r="A33" s="17" t="s">
        <v>598</v>
      </c>
      <c r="B33" s="2" t="s">
        <v>576</v>
      </c>
      <c r="C33" s="27" t="s">
        <v>23</v>
      </c>
      <c r="D33" s="2" t="str">
        <f>VLOOKUP($C33,Sheet1!$A$2:$D$10,2,0)</f>
        <v>141186-74360</v>
      </c>
      <c r="E33" s="8" t="s">
        <v>85</v>
      </c>
      <c r="F33" s="12">
        <v>46034</v>
      </c>
      <c r="G33" s="13">
        <v>0.5625</v>
      </c>
      <c r="H33" s="2" t="s">
        <v>71</v>
      </c>
      <c r="I33" s="2" t="s">
        <v>54</v>
      </c>
      <c r="J33" s="2">
        <v>80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2</v>
      </c>
      <c r="O33" s="2" t="s">
        <v>119</v>
      </c>
      <c r="P33" s="2">
        <v>910105502</v>
      </c>
    </row>
    <row r="34" spans="1:17" hidden="1" x14ac:dyDescent="0.25">
      <c r="A34" s="17" t="s">
        <v>599</v>
      </c>
      <c r="B34" s="2" t="s">
        <v>581</v>
      </c>
      <c r="C34" s="27" t="s">
        <v>26</v>
      </c>
      <c r="D34" s="2" t="str">
        <f>VLOOKUP($C34,Sheet1!$A$2:$D$10,2,0)</f>
        <v>116040-92240</v>
      </c>
      <c r="E34" s="8" t="s">
        <v>90</v>
      </c>
      <c r="F34" s="12">
        <v>46034</v>
      </c>
      <c r="G34" s="13">
        <v>0.5625</v>
      </c>
      <c r="H34" s="2" t="s">
        <v>91</v>
      </c>
      <c r="I34" s="2" t="s">
        <v>54</v>
      </c>
      <c r="J34" s="2">
        <v>72</v>
      </c>
      <c r="K34" s="14">
        <f>VLOOKUP($C34,Sheet1!$A$2:$D$10,4,0)</f>
        <v>6</v>
      </c>
      <c r="L34" s="14" t="str">
        <f>VLOOKUP($C34,Sheet1!$A$2:$E$10,5,0)</f>
        <v>Bin</v>
      </c>
      <c r="M34" s="14">
        <f>J34/K34</f>
        <v>12</v>
      </c>
      <c r="N34" s="2"/>
      <c r="O34" s="2" t="s">
        <v>119</v>
      </c>
      <c r="P34" s="2" t="s">
        <v>733</v>
      </c>
    </row>
    <row r="35" spans="1:17" hidden="1" x14ac:dyDescent="0.25">
      <c r="A35" s="17" t="s">
        <v>599</v>
      </c>
      <c r="B35" s="2" t="s">
        <v>586</v>
      </c>
      <c r="C35" s="27" t="s">
        <v>32</v>
      </c>
      <c r="D35" s="2" t="str">
        <f>VLOOKUP($C35,Sheet1!$A$2:$D$10,2,0)</f>
        <v>114010-50820</v>
      </c>
      <c r="E35" s="8" t="s">
        <v>98</v>
      </c>
      <c r="F35" s="12">
        <v>46034</v>
      </c>
      <c r="G35" s="13">
        <v>0.5625</v>
      </c>
      <c r="H35" s="2" t="s">
        <v>91</v>
      </c>
      <c r="I35" s="2" t="s">
        <v>54</v>
      </c>
      <c r="J35" s="2">
        <v>11</v>
      </c>
      <c r="K35" s="14">
        <f>VLOOKUP($C35,Sheet1!$A$2:$D$10,4,0)</f>
        <v>1</v>
      </c>
      <c r="L35" s="14" t="str">
        <f>VLOOKUP($C35,Sheet1!$A$2:$E$10,5,0)</f>
        <v>Bin</v>
      </c>
      <c r="M35" s="14">
        <f>J35/K35</f>
        <v>11</v>
      </c>
      <c r="N35" s="2"/>
      <c r="O35" s="2" t="s">
        <v>119</v>
      </c>
      <c r="P35" s="2" t="s">
        <v>429</v>
      </c>
    </row>
    <row r="36" spans="1:17" hidden="1" x14ac:dyDescent="0.25">
      <c r="A36" s="17" t="s">
        <v>599</v>
      </c>
      <c r="B36" s="2" t="s">
        <v>590</v>
      </c>
      <c r="C36" s="27" t="s">
        <v>29</v>
      </c>
      <c r="D36" s="2" t="str">
        <f>VLOOKUP($C36,Sheet1!$A$2:$D$10,2,0)</f>
        <v>114010-50830</v>
      </c>
      <c r="E36" s="8" t="s">
        <v>98</v>
      </c>
      <c r="F36" s="12">
        <v>46034</v>
      </c>
      <c r="G36" s="13">
        <v>0.5625</v>
      </c>
      <c r="H36" s="2" t="s">
        <v>91</v>
      </c>
      <c r="I36" s="2" t="s">
        <v>54</v>
      </c>
      <c r="J36" s="2">
        <v>59</v>
      </c>
      <c r="K36" s="14">
        <f>VLOOKUP($C36,Sheet1!$A$2:$D$10,4,0)</f>
        <v>1</v>
      </c>
      <c r="L36" s="14" t="str">
        <f>VLOOKUP($C36,Sheet1!$A$2:$E$10,5,0)</f>
        <v>Bin</v>
      </c>
      <c r="M36" s="14">
        <f t="shared" ref="M36" si="5">J36/K36</f>
        <v>59</v>
      </c>
      <c r="N36" s="2"/>
      <c r="O36" s="2" t="s">
        <v>119</v>
      </c>
      <c r="P36" s="2" t="s">
        <v>736</v>
      </c>
    </row>
    <row r="37" spans="1:17" s="32" customFormat="1" hidden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>
        <v>152</v>
      </c>
      <c r="N37" s="10">
        <v>7</v>
      </c>
      <c r="O37" s="10"/>
      <c r="P37" s="10"/>
    </row>
    <row r="38" spans="1:17" hidden="1" x14ac:dyDescent="0.25">
      <c r="A38" s="17" t="s">
        <v>600</v>
      </c>
      <c r="B38" s="2" t="s">
        <v>553</v>
      </c>
      <c r="C38" s="27" t="s">
        <v>5</v>
      </c>
      <c r="D38" s="2" t="str">
        <f>VLOOKUP($C38,Sheet1!$A$2:$D$10,2,0)</f>
        <v>141110-14600</v>
      </c>
      <c r="E38" s="8" t="s">
        <v>52</v>
      </c>
      <c r="F38" s="12">
        <v>46034</v>
      </c>
      <c r="G38" s="13">
        <v>0.5625</v>
      </c>
      <c r="H38" s="2" t="s">
        <v>53</v>
      </c>
      <c r="I38" s="2" t="s">
        <v>54</v>
      </c>
      <c r="J38" s="2">
        <v>18</v>
      </c>
      <c r="K38" s="14">
        <f>VLOOKUP($C38,Sheet1!$A$2:$D$10,4,0)</f>
        <v>18</v>
      </c>
      <c r="L38" s="14" t="str">
        <f>VLOOKUP($C38,Sheet1!$A$2:$E$10,5,0)</f>
        <v>Trolley (H)</v>
      </c>
      <c r="M38" s="14"/>
      <c r="N38" s="69">
        <v>1</v>
      </c>
      <c r="O38" s="2" t="s">
        <v>359</v>
      </c>
      <c r="P38" s="2" t="s">
        <v>731</v>
      </c>
    </row>
    <row r="39" spans="1:17" hidden="1" x14ac:dyDescent="0.25">
      <c r="A39" s="17" t="s">
        <v>600</v>
      </c>
      <c r="B39" s="2" t="s">
        <v>557</v>
      </c>
      <c r="C39" s="27" t="s">
        <v>9</v>
      </c>
      <c r="D39" s="2" t="str">
        <f>VLOOKUP($C39,Sheet1!$A$2:$D$10,2,0)</f>
        <v>141120-14600</v>
      </c>
      <c r="E39" s="8" t="s">
        <v>60</v>
      </c>
      <c r="F39" s="12">
        <v>46034</v>
      </c>
      <c r="G39" s="13">
        <v>0.5625</v>
      </c>
      <c r="H39" s="2" t="s">
        <v>53</v>
      </c>
      <c r="I39" s="2" t="s">
        <v>54</v>
      </c>
      <c r="J39" s="2">
        <v>18</v>
      </c>
      <c r="K39" s="14">
        <f>VLOOKUP($C39,Sheet1!$A$2:$D$10,4,0)</f>
        <v>18</v>
      </c>
      <c r="L39" s="14" t="str">
        <f>VLOOKUP($C39,Sheet1!$A$2:$E$10,5,0)</f>
        <v>Trolley (H)</v>
      </c>
      <c r="M39" s="14"/>
      <c r="N39" s="69"/>
      <c r="O39" s="2" t="s">
        <v>359</v>
      </c>
      <c r="P39" s="2" t="s">
        <v>731</v>
      </c>
    </row>
    <row r="40" spans="1:17" hidden="1" x14ac:dyDescent="0.25">
      <c r="A40" s="17" t="s">
        <v>600</v>
      </c>
      <c r="B40" s="2" t="s">
        <v>562</v>
      </c>
      <c r="C40" s="27" t="s">
        <v>12</v>
      </c>
      <c r="D40" s="2" t="str">
        <f>VLOOKUP($C40,Sheet1!$A$2:$D$10,2,0)</f>
        <v>141185-74670</v>
      </c>
      <c r="E40" s="8" t="s">
        <v>66</v>
      </c>
      <c r="F40" s="12">
        <v>46034</v>
      </c>
      <c r="G40" s="13">
        <v>0.5625</v>
      </c>
      <c r="H40" s="2" t="s">
        <v>53</v>
      </c>
      <c r="I40" s="2" t="s">
        <v>54</v>
      </c>
      <c r="J40" s="2">
        <v>80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>J40/K40</f>
        <v>2</v>
      </c>
      <c r="O40" s="2" t="s">
        <v>359</v>
      </c>
      <c r="P40" s="2" t="s">
        <v>737</v>
      </c>
    </row>
    <row r="41" spans="1:17" hidden="1" x14ac:dyDescent="0.25">
      <c r="A41" s="17" t="s">
        <v>600</v>
      </c>
      <c r="B41" s="2" t="s">
        <v>576</v>
      </c>
      <c r="C41" s="27" t="s">
        <v>23</v>
      </c>
      <c r="D41" s="2" t="str">
        <f>VLOOKUP($C41,Sheet1!$A$2:$D$10,2,0)</f>
        <v>141186-74360</v>
      </c>
      <c r="E41" s="8" t="s">
        <v>85</v>
      </c>
      <c r="F41" s="12">
        <v>46034</v>
      </c>
      <c r="G41" s="13">
        <v>0.5625</v>
      </c>
      <c r="H41" s="2" t="s">
        <v>71</v>
      </c>
      <c r="I41" s="2" t="s">
        <v>54</v>
      </c>
      <c r="J41" s="2">
        <v>80</v>
      </c>
      <c r="K41" s="14">
        <f>VLOOKUP($C41,Sheet1!$A$2:$D$10,4,0)</f>
        <v>40</v>
      </c>
      <c r="L41" s="14" t="str">
        <f>VLOOKUP($C41,Sheet1!$A$2:$E$10,5,0)</f>
        <v>Trolley</v>
      </c>
      <c r="M41" s="14"/>
      <c r="N41" s="2">
        <f>J41/K41</f>
        <v>2</v>
      </c>
      <c r="O41" s="2" t="s">
        <v>359</v>
      </c>
      <c r="P41" s="2">
        <v>910105502</v>
      </c>
    </row>
    <row r="42" spans="1:17" hidden="1" x14ac:dyDescent="0.25">
      <c r="A42" s="17" t="s">
        <v>601</v>
      </c>
      <c r="B42" s="2" t="s">
        <v>582</v>
      </c>
      <c r="C42" s="27" t="s">
        <v>26</v>
      </c>
      <c r="D42" s="2" t="str">
        <f>VLOOKUP($C42,Sheet1!$A$2:$D$10,2,0)</f>
        <v>116040-92240</v>
      </c>
      <c r="E42" s="8" t="s">
        <v>90</v>
      </c>
      <c r="F42" s="12">
        <v>46034</v>
      </c>
      <c r="G42" s="23">
        <v>0.77083333333333337</v>
      </c>
      <c r="H42" s="2" t="s">
        <v>91</v>
      </c>
      <c r="I42" s="2" t="s">
        <v>54</v>
      </c>
      <c r="J42" s="2">
        <v>60</v>
      </c>
      <c r="K42" s="14">
        <f>VLOOKUP($C42,Sheet1!$A$2:$D$10,4,0)</f>
        <v>6</v>
      </c>
      <c r="L42" s="14" t="str">
        <f>VLOOKUP($C42,Sheet1!$A$2:$E$10,5,0)</f>
        <v>Bin</v>
      </c>
      <c r="M42" s="14">
        <f t="shared" ref="M42:M44" si="6">J42/K42</f>
        <v>10</v>
      </c>
      <c r="N42" s="2"/>
      <c r="O42" s="2" t="s">
        <v>359</v>
      </c>
      <c r="P42" s="2" t="s">
        <v>733</v>
      </c>
    </row>
    <row r="43" spans="1:17" hidden="1" x14ac:dyDescent="0.25">
      <c r="A43" s="17" t="s">
        <v>601</v>
      </c>
      <c r="B43" s="2" t="s">
        <v>587</v>
      </c>
      <c r="C43" s="27" t="s">
        <v>32</v>
      </c>
      <c r="D43" s="2" t="str">
        <f>VLOOKUP($C43,Sheet1!$A$2:$D$10,2,0)</f>
        <v>114010-50820</v>
      </c>
      <c r="E43" s="8" t="s">
        <v>98</v>
      </c>
      <c r="F43" s="12">
        <v>46034</v>
      </c>
      <c r="G43" s="23">
        <v>0.77083333333333337</v>
      </c>
      <c r="H43" s="2" t="s">
        <v>91</v>
      </c>
      <c r="I43" s="2" t="s">
        <v>54</v>
      </c>
      <c r="J43" s="2">
        <v>10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6"/>
        <v>10</v>
      </c>
      <c r="N43" s="2"/>
      <c r="O43" s="2" t="s">
        <v>359</v>
      </c>
      <c r="P43" s="2" t="s">
        <v>738</v>
      </c>
    </row>
    <row r="44" spans="1:17" hidden="1" x14ac:dyDescent="0.25">
      <c r="A44" s="17" t="s">
        <v>601</v>
      </c>
      <c r="B44" s="2" t="s">
        <v>591</v>
      </c>
      <c r="C44" s="27" t="s">
        <v>29</v>
      </c>
      <c r="D44" s="2" t="str">
        <f>VLOOKUP($C44,Sheet1!$A$2:$D$10,2,0)</f>
        <v>114010-50830</v>
      </c>
      <c r="E44" s="8" t="s">
        <v>98</v>
      </c>
      <c r="F44" s="12">
        <v>46034</v>
      </c>
      <c r="G44" s="23">
        <v>0.77083333333333337</v>
      </c>
      <c r="H44" s="2" t="s">
        <v>91</v>
      </c>
      <c r="I44" s="2" t="s">
        <v>54</v>
      </c>
      <c r="J44" s="2">
        <v>52</v>
      </c>
      <c r="K44" s="14">
        <f>VLOOKUP($C44,Sheet1!$A$2:$D$10,4,0)</f>
        <v>1</v>
      </c>
      <c r="L44" s="14" t="str">
        <f>VLOOKUP($C44,Sheet1!$A$2:$E$10,5,0)</f>
        <v>Bin</v>
      </c>
      <c r="M44" s="14">
        <f t="shared" si="6"/>
        <v>52</v>
      </c>
      <c r="N44" s="2"/>
      <c r="O44" s="2" t="s">
        <v>359</v>
      </c>
      <c r="P44" s="2" t="s">
        <v>739</v>
      </c>
    </row>
    <row r="45" spans="1:17" s="32" customFormat="1" hidden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>
        <v>1</v>
      </c>
      <c r="N45" s="10"/>
      <c r="O45" s="10"/>
      <c r="P45" s="10"/>
    </row>
    <row r="46" spans="1:17" hidden="1" x14ac:dyDescent="0.25">
      <c r="A46" s="17" t="s">
        <v>664</v>
      </c>
      <c r="B46" s="2" t="s">
        <v>650</v>
      </c>
      <c r="C46" s="27" t="s">
        <v>26</v>
      </c>
      <c r="D46" s="2" t="s">
        <v>649</v>
      </c>
      <c r="E46" s="8"/>
      <c r="F46" s="12">
        <v>46034</v>
      </c>
      <c r="G46" s="23" t="s">
        <v>224</v>
      </c>
      <c r="H46" s="2" t="s">
        <v>350</v>
      </c>
      <c r="I46" s="2"/>
      <c r="J46" s="2">
        <v>27</v>
      </c>
      <c r="K46" s="14">
        <f>VLOOKUP($C46,Sheet1!$A$2:$D$10,4,0)</f>
        <v>6</v>
      </c>
      <c r="L46" s="14" t="str">
        <f>VLOOKUP($C46,Sheet1!$A$2:$E$10,5,0)</f>
        <v>Bin</v>
      </c>
      <c r="M46" s="14">
        <v>5</v>
      </c>
      <c r="N46" s="2"/>
      <c r="O46" s="2" t="s">
        <v>121</v>
      </c>
      <c r="P46" s="2" t="s">
        <v>740</v>
      </c>
      <c r="Q46" t="s">
        <v>651</v>
      </c>
    </row>
    <row r="47" spans="1:17" hidden="1" x14ac:dyDescent="0.25">
      <c r="A47" s="17" t="s">
        <v>602</v>
      </c>
      <c r="B47" s="2" t="s">
        <v>554</v>
      </c>
      <c r="C47" s="27" t="s">
        <v>5</v>
      </c>
      <c r="D47" s="2" t="str">
        <f>VLOOKUP($C47,Sheet1!$A$2:$D$10,2,0)</f>
        <v>141110-14600</v>
      </c>
      <c r="E47" s="8" t="s">
        <v>52</v>
      </c>
      <c r="F47" s="12">
        <v>46034</v>
      </c>
      <c r="G47" s="13">
        <v>0.77083333333333337</v>
      </c>
      <c r="H47" s="2" t="s">
        <v>53</v>
      </c>
      <c r="I47" s="2" t="s">
        <v>54</v>
      </c>
      <c r="J47" s="2">
        <v>54</v>
      </c>
      <c r="K47" s="14">
        <f>VLOOKUP($C47,Sheet1!$A$2:$D$10,4,0)</f>
        <v>18</v>
      </c>
      <c r="L47" s="14" t="str">
        <f>VLOOKUP($C47,Sheet1!$A$2:$E$10,5,0)</f>
        <v>Trolley (H)</v>
      </c>
      <c r="M47" s="14"/>
      <c r="N47" s="69">
        <v>3</v>
      </c>
      <c r="O47" s="2" t="s">
        <v>121</v>
      </c>
      <c r="P47" s="2" t="s">
        <v>731</v>
      </c>
    </row>
    <row r="48" spans="1:17" hidden="1" x14ac:dyDescent="0.25">
      <c r="A48" s="17" t="s">
        <v>602</v>
      </c>
      <c r="B48" s="2" t="s">
        <v>558</v>
      </c>
      <c r="C48" s="27" t="s">
        <v>9</v>
      </c>
      <c r="D48" s="2" t="str">
        <f>VLOOKUP($C48,Sheet1!$A$2:$D$10,2,0)</f>
        <v>141120-14600</v>
      </c>
      <c r="E48" s="8" t="s">
        <v>60</v>
      </c>
      <c r="F48" s="12">
        <v>46034</v>
      </c>
      <c r="G48" s="13">
        <v>0.77083333333333337</v>
      </c>
      <c r="H48" s="2" t="s">
        <v>53</v>
      </c>
      <c r="I48" s="2" t="s">
        <v>54</v>
      </c>
      <c r="J48" s="2">
        <v>54</v>
      </c>
      <c r="K48" s="14">
        <f>VLOOKUP($C48,Sheet1!$A$2:$D$10,4,0)</f>
        <v>18</v>
      </c>
      <c r="L48" s="14" t="str">
        <f>VLOOKUP($C48,Sheet1!$A$2:$E$10,5,0)</f>
        <v>Trolley (H)</v>
      </c>
      <c r="M48" s="14"/>
      <c r="N48" s="69"/>
      <c r="O48" s="2" t="s">
        <v>121</v>
      </c>
      <c r="P48" s="2" t="s">
        <v>731</v>
      </c>
    </row>
    <row r="49" spans="1:16" hidden="1" x14ac:dyDescent="0.25">
      <c r="A49" s="17" t="s">
        <v>602</v>
      </c>
      <c r="B49" s="2" t="s">
        <v>563</v>
      </c>
      <c r="C49" s="27" t="s">
        <v>12</v>
      </c>
      <c r="D49" s="2" t="str">
        <f>VLOOKUP($C49,Sheet1!$A$2:$D$10,2,0)</f>
        <v>141185-74670</v>
      </c>
      <c r="E49" s="8" t="s">
        <v>66</v>
      </c>
      <c r="F49" s="12">
        <v>46034</v>
      </c>
      <c r="G49" s="13">
        <v>0.77083333333333337</v>
      </c>
      <c r="H49" s="2" t="s">
        <v>53</v>
      </c>
      <c r="I49" s="2" t="s">
        <v>54</v>
      </c>
      <c r="J49" s="2">
        <v>120</v>
      </c>
      <c r="K49" s="14">
        <f>VLOOKUP($C49,Sheet1!$A$2:$D$10,4,0)</f>
        <v>40</v>
      </c>
      <c r="L49" s="14" t="str">
        <f>VLOOKUP($C49,Sheet1!$A$2:$E$10,5,0)</f>
        <v>Trolley</v>
      </c>
      <c r="M49" s="14"/>
      <c r="N49" s="2">
        <f>J49/K49</f>
        <v>3</v>
      </c>
      <c r="O49" s="2" t="s">
        <v>121</v>
      </c>
      <c r="P49" s="2">
        <v>910105765</v>
      </c>
    </row>
    <row r="50" spans="1:16" hidden="1" x14ac:dyDescent="0.25">
      <c r="A50" s="17" t="s">
        <v>602</v>
      </c>
      <c r="B50" s="2" t="s">
        <v>568</v>
      </c>
      <c r="C50" s="27" t="s">
        <v>16</v>
      </c>
      <c r="D50" s="2" t="str">
        <f>VLOOKUP($C50,Sheet1!$A$2:$D$10,2,0)</f>
        <v>141140-91211</v>
      </c>
      <c r="E50" s="8" t="s">
        <v>70</v>
      </c>
      <c r="F50" s="12">
        <v>46034</v>
      </c>
      <c r="G50" s="13">
        <v>0.77083333333333337</v>
      </c>
      <c r="H50" s="2" t="s">
        <v>71</v>
      </c>
      <c r="I50" s="2" t="s">
        <v>54</v>
      </c>
      <c r="J50" s="2">
        <v>62</v>
      </c>
      <c r="K50" s="14">
        <f>VLOOKUP($C50,Sheet1!$A$2:$D$10,4,0)</f>
        <v>2</v>
      </c>
      <c r="L50" s="14" t="str">
        <f>VLOOKUP($C50,Sheet1!$A$2:$E$10,5,0)</f>
        <v>Bin</v>
      </c>
      <c r="M50" s="14">
        <f t="shared" ref="M50:M51" si="7">J50/K50</f>
        <v>31</v>
      </c>
      <c r="N50" s="2"/>
      <c r="O50" s="2" t="s">
        <v>121</v>
      </c>
      <c r="P50" s="2" t="s">
        <v>723</v>
      </c>
    </row>
    <row r="51" spans="1:16" hidden="1" x14ac:dyDescent="0.25">
      <c r="A51" s="17" t="s">
        <v>602</v>
      </c>
      <c r="B51" s="2" t="s">
        <v>573</v>
      </c>
      <c r="C51" s="27" t="s">
        <v>20</v>
      </c>
      <c r="D51" s="2" t="str">
        <f>VLOOKUP($C51,Sheet1!$A$2:$D$10,2,0)</f>
        <v>141150-91211</v>
      </c>
      <c r="E51" s="8" t="s">
        <v>78</v>
      </c>
      <c r="F51" s="12">
        <v>46034</v>
      </c>
      <c r="G51" s="13">
        <v>0.77083333333333337</v>
      </c>
      <c r="H51" s="2" t="s">
        <v>71</v>
      </c>
      <c r="I51" s="2" t="s">
        <v>54</v>
      </c>
      <c r="J51" s="2">
        <v>62</v>
      </c>
      <c r="K51" s="14">
        <f>VLOOKUP($C51,Sheet1!$A$2:$D$10,4,0)</f>
        <v>2</v>
      </c>
      <c r="L51" s="14" t="str">
        <f>VLOOKUP($C51,Sheet1!$A$2:$E$10,5,0)</f>
        <v>Bin</v>
      </c>
      <c r="M51" s="14">
        <f t="shared" si="7"/>
        <v>31</v>
      </c>
      <c r="N51" s="2"/>
      <c r="O51" s="2" t="s">
        <v>121</v>
      </c>
      <c r="P51" s="2" t="s">
        <v>723</v>
      </c>
    </row>
    <row r="52" spans="1:16" hidden="1" x14ac:dyDescent="0.25">
      <c r="A52" s="17" t="s">
        <v>602</v>
      </c>
      <c r="B52" s="2" t="s">
        <v>577</v>
      </c>
      <c r="C52" s="27" t="s">
        <v>23</v>
      </c>
      <c r="D52" s="2" t="str">
        <f>VLOOKUP($C52,Sheet1!$A$2:$D$10,2,0)</f>
        <v>141186-74360</v>
      </c>
      <c r="E52" s="8" t="s">
        <v>85</v>
      </c>
      <c r="F52" s="12">
        <v>46034</v>
      </c>
      <c r="G52" s="13">
        <v>0.77083333333333337</v>
      </c>
      <c r="H52" s="2" t="s">
        <v>71</v>
      </c>
      <c r="I52" s="2" t="s">
        <v>54</v>
      </c>
      <c r="J52" s="2">
        <v>120</v>
      </c>
      <c r="K52" s="14">
        <f>VLOOKUP($C52,Sheet1!$A$2:$D$10,4,0)</f>
        <v>40</v>
      </c>
      <c r="L52" s="14" t="str">
        <f>VLOOKUP($C52,Sheet1!$A$2:$E$10,5,0)</f>
        <v>Trolley</v>
      </c>
      <c r="M52" s="14"/>
      <c r="N52" s="2">
        <f>J52/K52</f>
        <v>3</v>
      </c>
      <c r="O52" s="2" t="s">
        <v>121</v>
      </c>
      <c r="P52" s="2">
        <v>910105502</v>
      </c>
    </row>
    <row r="53" spans="1:16" s="32" customFormat="1" hidden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>
        <v>67</v>
      </c>
      <c r="N53" s="10">
        <v>9</v>
      </c>
      <c r="O53" s="10"/>
      <c r="P53" s="10"/>
    </row>
    <row r="54" spans="1:16" hidden="1" x14ac:dyDescent="0.25">
      <c r="A54" s="17" t="s">
        <v>603</v>
      </c>
      <c r="B54" s="2" t="s">
        <v>555</v>
      </c>
      <c r="C54" s="27" t="s">
        <v>5</v>
      </c>
      <c r="D54" s="2" t="str">
        <f>VLOOKUP($C54,Sheet1!$A$2:$D$10,2,0)</f>
        <v>141110-14600</v>
      </c>
      <c r="E54" s="8" t="s">
        <v>52</v>
      </c>
      <c r="F54" s="12">
        <v>46034</v>
      </c>
      <c r="G54" s="13">
        <v>0.97916666666666663</v>
      </c>
      <c r="H54" s="2" t="s">
        <v>53</v>
      </c>
      <c r="I54" s="2" t="s">
        <v>54</v>
      </c>
      <c r="J54" s="2">
        <v>54</v>
      </c>
      <c r="K54" s="14">
        <f>VLOOKUP($C54,Sheet1!$A$2:$D$10,4,0)</f>
        <v>18</v>
      </c>
      <c r="L54" s="14" t="str">
        <f>VLOOKUP($C54,Sheet1!$A$2:$E$10,5,0)</f>
        <v>Trolley (H)</v>
      </c>
      <c r="M54" s="14"/>
      <c r="N54" s="69">
        <v>3</v>
      </c>
      <c r="O54" s="2" t="s">
        <v>122</v>
      </c>
      <c r="P54" s="2" t="s">
        <v>731</v>
      </c>
    </row>
    <row r="55" spans="1:16" hidden="1" x14ac:dyDescent="0.25">
      <c r="A55" s="17" t="s">
        <v>603</v>
      </c>
      <c r="B55" s="2" t="s">
        <v>559</v>
      </c>
      <c r="C55" s="27" t="s">
        <v>9</v>
      </c>
      <c r="D55" s="2" t="str">
        <f>VLOOKUP($C55,Sheet1!$A$2:$D$10,2,0)</f>
        <v>141120-14600</v>
      </c>
      <c r="E55" s="8" t="s">
        <v>60</v>
      </c>
      <c r="F55" s="12">
        <v>46034</v>
      </c>
      <c r="G55" s="13">
        <v>0.97916666666666663</v>
      </c>
      <c r="H55" s="2" t="s">
        <v>53</v>
      </c>
      <c r="I55" s="2" t="s">
        <v>54</v>
      </c>
      <c r="J55" s="2">
        <v>54</v>
      </c>
      <c r="K55" s="14">
        <f>VLOOKUP($C55,Sheet1!$A$2:$D$10,4,0)</f>
        <v>18</v>
      </c>
      <c r="L55" s="14" t="str">
        <f>VLOOKUP($C55,Sheet1!$A$2:$E$10,5,0)</f>
        <v>Trolley (H)</v>
      </c>
      <c r="M55" s="14"/>
      <c r="N55" s="69"/>
      <c r="O55" s="2" t="s">
        <v>122</v>
      </c>
      <c r="P55" s="2" t="s">
        <v>938</v>
      </c>
    </row>
    <row r="56" spans="1:16" hidden="1" x14ac:dyDescent="0.25">
      <c r="A56" s="17" t="s">
        <v>603</v>
      </c>
      <c r="B56" s="2" t="s">
        <v>564</v>
      </c>
      <c r="C56" s="27" t="s">
        <v>12</v>
      </c>
      <c r="D56" s="2" t="str">
        <f>VLOOKUP($C56,Sheet1!$A$2:$D$10,2,0)</f>
        <v>141185-74670</v>
      </c>
      <c r="E56" s="8" t="s">
        <v>66</v>
      </c>
      <c r="F56" s="12">
        <v>46034</v>
      </c>
      <c r="G56" s="13">
        <v>0.97916666666666663</v>
      </c>
      <c r="H56" s="2" t="s">
        <v>53</v>
      </c>
      <c r="I56" s="2" t="s">
        <v>54</v>
      </c>
      <c r="J56" s="2">
        <v>80</v>
      </c>
      <c r="K56" s="14">
        <f>VLOOKUP($C56,Sheet1!$A$2:$D$10,4,0)</f>
        <v>40</v>
      </c>
      <c r="L56" s="14" t="str">
        <f>VLOOKUP($C56,Sheet1!$A$2:$E$10,5,0)</f>
        <v>Trolley</v>
      </c>
      <c r="M56" s="14"/>
      <c r="N56" s="2">
        <f>J56/K56</f>
        <v>2</v>
      </c>
      <c r="O56" s="2" t="s">
        <v>122</v>
      </c>
      <c r="P56" s="2">
        <v>910105765</v>
      </c>
    </row>
    <row r="57" spans="1:16" hidden="1" x14ac:dyDescent="0.25">
      <c r="A57" s="17" t="s">
        <v>603</v>
      </c>
      <c r="B57" s="2" t="s">
        <v>569</v>
      </c>
      <c r="C57" s="27" t="s">
        <v>16</v>
      </c>
      <c r="D57" s="2" t="str">
        <f>VLOOKUP($C57,Sheet1!$A$2:$D$10,2,0)</f>
        <v>141140-91211</v>
      </c>
      <c r="E57" s="8" t="s">
        <v>70</v>
      </c>
      <c r="F57" s="12">
        <v>46034</v>
      </c>
      <c r="G57" s="13">
        <v>0.97916666666666663</v>
      </c>
      <c r="H57" s="2" t="s">
        <v>71</v>
      </c>
      <c r="I57" s="2" t="s">
        <v>54</v>
      </c>
      <c r="J57" s="2">
        <v>54</v>
      </c>
      <c r="K57" s="14">
        <f>VLOOKUP($C57,Sheet1!$A$2:$D$10,4,0)</f>
        <v>2</v>
      </c>
      <c r="L57" s="14" t="str">
        <f>VLOOKUP($C57,Sheet1!$A$2:$E$10,5,0)</f>
        <v>Bin</v>
      </c>
      <c r="M57" s="14">
        <f t="shared" ref="M57:M58" si="8">J57/K57</f>
        <v>27</v>
      </c>
      <c r="N57" s="2"/>
      <c r="O57" s="2" t="s">
        <v>122</v>
      </c>
      <c r="P57" s="2" t="s">
        <v>723</v>
      </c>
    </row>
    <row r="58" spans="1:16" hidden="1" x14ac:dyDescent="0.25">
      <c r="A58" s="17" t="s">
        <v>603</v>
      </c>
      <c r="B58" s="2" t="s">
        <v>574</v>
      </c>
      <c r="C58" s="27" t="s">
        <v>20</v>
      </c>
      <c r="D58" s="2" t="str">
        <f>VLOOKUP($C58,Sheet1!$A$2:$D$10,2,0)</f>
        <v>141150-91211</v>
      </c>
      <c r="E58" s="8" t="s">
        <v>78</v>
      </c>
      <c r="F58" s="12">
        <v>46034</v>
      </c>
      <c r="G58" s="13">
        <v>0.97916666666666663</v>
      </c>
      <c r="H58" s="2" t="s">
        <v>71</v>
      </c>
      <c r="I58" s="2" t="s">
        <v>54</v>
      </c>
      <c r="J58" s="2">
        <v>54</v>
      </c>
      <c r="K58" s="14">
        <f>VLOOKUP($C58,Sheet1!$A$2:$D$10,4,0)</f>
        <v>2</v>
      </c>
      <c r="L58" s="14" t="str">
        <f>VLOOKUP($C58,Sheet1!$A$2:$E$10,5,0)</f>
        <v>Bin</v>
      </c>
      <c r="M58" s="14">
        <f t="shared" si="8"/>
        <v>27</v>
      </c>
      <c r="N58" s="2"/>
      <c r="O58" s="2" t="s">
        <v>122</v>
      </c>
      <c r="P58" s="2" t="s">
        <v>723</v>
      </c>
    </row>
    <row r="59" spans="1:16" hidden="1" x14ac:dyDescent="0.25">
      <c r="A59" s="17" t="s">
        <v>603</v>
      </c>
      <c r="B59" s="2" t="s">
        <v>578</v>
      </c>
      <c r="C59" s="27" t="s">
        <v>23</v>
      </c>
      <c r="D59" s="2" t="str">
        <f>VLOOKUP($C59,Sheet1!$A$2:$D$10,2,0)</f>
        <v>141186-74360</v>
      </c>
      <c r="E59" s="8" t="s">
        <v>85</v>
      </c>
      <c r="F59" s="12">
        <v>46034</v>
      </c>
      <c r="G59" s="13">
        <v>0.97916666666666663</v>
      </c>
      <c r="H59" s="2" t="s">
        <v>71</v>
      </c>
      <c r="I59" s="2" t="s">
        <v>54</v>
      </c>
      <c r="J59" s="2">
        <v>80</v>
      </c>
      <c r="K59" s="14">
        <f>VLOOKUP($C59,Sheet1!$A$2:$D$10,4,0)</f>
        <v>40</v>
      </c>
      <c r="L59" s="14" t="str">
        <f>VLOOKUP($C59,Sheet1!$A$2:$E$10,5,0)</f>
        <v>Trolley</v>
      </c>
      <c r="M59" s="14"/>
      <c r="N59" s="2">
        <f>J59/K59</f>
        <v>2</v>
      </c>
      <c r="O59" s="2" t="s">
        <v>122</v>
      </c>
      <c r="P59" s="2">
        <v>910105502</v>
      </c>
    </row>
    <row r="60" spans="1:16" hidden="1" x14ac:dyDescent="0.25">
      <c r="A60" s="17" t="s">
        <v>604</v>
      </c>
      <c r="B60" s="2" t="s">
        <v>583</v>
      </c>
      <c r="C60" s="27" t="s">
        <v>26</v>
      </c>
      <c r="D60" s="2" t="str">
        <f>VLOOKUP($C60,Sheet1!$A$2:$D$10,2,0)</f>
        <v>116040-92240</v>
      </c>
      <c r="E60" s="8" t="s">
        <v>90</v>
      </c>
      <c r="F60" s="12">
        <v>46034</v>
      </c>
      <c r="G60" s="13">
        <v>0.97916666666666663</v>
      </c>
      <c r="H60" s="2" t="s">
        <v>91</v>
      </c>
      <c r="I60" s="2" t="s">
        <v>54</v>
      </c>
      <c r="J60" s="2">
        <v>54</v>
      </c>
      <c r="K60" s="14">
        <f>VLOOKUP($C60,Sheet1!$A$2:$D$10,4,0)</f>
        <v>6</v>
      </c>
      <c r="L60" s="14" t="str">
        <f>VLOOKUP($C60,Sheet1!$A$2:$E$10,5,0)</f>
        <v>Bin</v>
      </c>
      <c r="M60" s="14">
        <f t="shared" ref="M60:M62" si="9">J60/K60</f>
        <v>9</v>
      </c>
      <c r="N60" s="2"/>
      <c r="O60" s="2" t="s">
        <v>122</v>
      </c>
      <c r="P60" s="2" t="s">
        <v>733</v>
      </c>
    </row>
    <row r="61" spans="1:16" hidden="1" x14ac:dyDescent="0.25">
      <c r="A61" s="17" t="s">
        <v>604</v>
      </c>
      <c r="B61" s="2" t="s">
        <v>588</v>
      </c>
      <c r="C61" s="27" t="s">
        <v>32</v>
      </c>
      <c r="D61" s="2" t="str">
        <f>VLOOKUP($C61,Sheet1!$A$2:$D$10,2,0)</f>
        <v>114010-50820</v>
      </c>
      <c r="E61" s="8" t="s">
        <v>98</v>
      </c>
      <c r="F61" s="12">
        <v>46034</v>
      </c>
      <c r="G61" s="13">
        <v>0.97916666666666663</v>
      </c>
      <c r="H61" s="2" t="s">
        <v>91</v>
      </c>
      <c r="I61" s="2" t="s">
        <v>54</v>
      </c>
      <c r="J61" s="2">
        <v>7</v>
      </c>
      <c r="K61" s="14">
        <f>VLOOKUP($C61,Sheet1!$A$2:$D$10,4,0)</f>
        <v>1</v>
      </c>
      <c r="L61" s="14" t="str">
        <f>VLOOKUP($C61,Sheet1!$A$2:$E$10,5,0)</f>
        <v>Bin</v>
      </c>
      <c r="M61" s="14">
        <f t="shared" si="9"/>
        <v>7</v>
      </c>
      <c r="N61" s="2"/>
      <c r="O61" s="2" t="s">
        <v>122</v>
      </c>
      <c r="P61" s="2" t="s">
        <v>417</v>
      </c>
    </row>
    <row r="62" spans="1:16" hidden="1" x14ac:dyDescent="0.25">
      <c r="A62" s="17" t="s">
        <v>604</v>
      </c>
      <c r="B62" s="2" t="s">
        <v>592</v>
      </c>
      <c r="C62" s="27" t="s">
        <v>29</v>
      </c>
      <c r="D62" s="2" t="str">
        <f>VLOOKUP($C62,Sheet1!$A$2:$D$10,2,0)</f>
        <v>114010-50830</v>
      </c>
      <c r="E62" s="8" t="s">
        <v>98</v>
      </c>
      <c r="F62" s="12">
        <v>46034</v>
      </c>
      <c r="G62" s="13">
        <v>0.97916666666666663</v>
      </c>
      <c r="H62" s="2" t="s">
        <v>91</v>
      </c>
      <c r="I62" s="2" t="s">
        <v>54</v>
      </c>
      <c r="J62" s="2">
        <v>46</v>
      </c>
      <c r="K62" s="14">
        <f>VLOOKUP($C62,Sheet1!$A$2:$D$10,4,0)</f>
        <v>1</v>
      </c>
      <c r="L62" s="14" t="str">
        <f>VLOOKUP($C62,Sheet1!$A$2:$E$10,5,0)</f>
        <v>Bin</v>
      </c>
      <c r="M62" s="14">
        <f t="shared" si="9"/>
        <v>46</v>
      </c>
      <c r="N62" s="2"/>
      <c r="O62" s="2" t="s">
        <v>122</v>
      </c>
      <c r="P62" s="2" t="s">
        <v>739</v>
      </c>
    </row>
    <row r="63" spans="1:16" s="32" customFormat="1" hidden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>
        <v>116</v>
      </c>
      <c r="N63" s="10">
        <v>7</v>
      </c>
      <c r="O63" s="10"/>
      <c r="P63" s="10"/>
    </row>
    <row r="64" spans="1:16" ht="15.75" hidden="1" customHeight="1" x14ac:dyDescent="0.25">
      <c r="A64" s="2"/>
      <c r="B64" s="2" t="s">
        <v>593</v>
      </c>
      <c r="C64" s="2"/>
      <c r="D64" s="2"/>
      <c r="E64" s="8"/>
      <c r="F64" s="12"/>
      <c r="G64" s="13"/>
      <c r="H64" s="2"/>
      <c r="I64" s="2"/>
      <c r="J64" s="2"/>
      <c r="K64" s="14"/>
      <c r="L64" s="14"/>
      <c r="M64" s="14"/>
      <c r="N64" s="2"/>
      <c r="O64" s="2"/>
      <c r="P64" s="2"/>
    </row>
    <row r="65" spans="1:16" ht="15.75" customHeight="1" x14ac:dyDescent="0.25">
      <c r="A65" s="30"/>
      <c r="B65" s="30"/>
      <c r="C65" s="30"/>
      <c r="D65" s="30"/>
      <c r="E65" s="33"/>
      <c r="F65" s="34"/>
      <c r="G65" s="22"/>
      <c r="H65" s="30"/>
      <c r="I65" s="30"/>
      <c r="J65" s="30"/>
      <c r="K65" s="35"/>
      <c r="L65" s="35"/>
      <c r="M65" s="35"/>
      <c r="N65" s="30"/>
      <c r="O65" s="30"/>
      <c r="P65" s="36"/>
    </row>
    <row r="66" spans="1:16" ht="15.75" customHeight="1" x14ac:dyDescent="0.25">
      <c r="A66" s="2"/>
      <c r="B66" s="2"/>
      <c r="C66" s="2"/>
      <c r="D66" s="2"/>
      <c r="E66" s="8"/>
      <c r="F66" s="12"/>
      <c r="G66" s="13"/>
      <c r="H66" s="2"/>
      <c r="I66" s="2"/>
      <c r="J66" s="2"/>
      <c r="K66" s="14"/>
      <c r="L66" s="14"/>
      <c r="M66" s="14"/>
      <c r="N66" s="2"/>
      <c r="O66" s="2"/>
      <c r="P66" s="31"/>
    </row>
    <row r="67" spans="1:16" ht="15.75" customHeight="1" x14ac:dyDescent="0.25"/>
  </sheetData>
  <autoFilter ref="A3:Q64" xr:uid="{D818C731-34F2-4925-B05F-1115EFAC1373}">
    <filterColumn colId="0">
      <filters>
        <filter val="G/I/25-26/01601"/>
      </filters>
    </filterColumn>
  </autoFilter>
  <mergeCells count="9">
    <mergeCell ref="N47:N48"/>
    <mergeCell ref="N54:N55"/>
    <mergeCell ref="N19:N20"/>
    <mergeCell ref="N38:N39"/>
    <mergeCell ref="A1:F1"/>
    <mergeCell ref="J1:N1"/>
    <mergeCell ref="L2:N2"/>
    <mergeCell ref="N4:N5"/>
    <mergeCell ref="N28:N29"/>
  </mergeCells>
  <conditionalFormatting sqref="B2">
    <cfRule type="duplicateValues" dxfId="96" priority="6"/>
    <cfRule type="duplicateValues" dxfId="95" priority="7"/>
  </conditionalFormatting>
  <conditionalFormatting sqref="B4:B17 B19:B26 B64:B66 B28:B36 B38:B44 B46:B52 B54:B62">
    <cfRule type="duplicateValues" dxfId="94" priority="21"/>
  </conditionalFormatting>
  <conditionalFormatting sqref="C32:C36">
    <cfRule type="duplicateValues" dxfId="93" priority="3"/>
  </conditionalFormatting>
  <conditionalFormatting sqref="C46">
    <cfRule type="duplicateValues" dxfId="92" priority="4"/>
  </conditionalFormatting>
  <conditionalFormatting sqref="C47:C52">
    <cfRule type="duplicateValues" dxfId="91" priority="2"/>
  </conditionalFormatting>
  <conditionalFormatting sqref="C54:C62">
    <cfRule type="duplicateValues" dxfId="90" priority="1"/>
  </conditionalFormatting>
  <conditionalFormatting sqref="C2:D2">
    <cfRule type="duplicateValues" dxfId="89" priority="8"/>
    <cfRule type="duplicateValues" dxfId="88" priority="9"/>
  </conditionalFormatting>
  <hyperlinks>
    <hyperlink ref="B64" r:id="rId1" display="http://192.168.1.249/downloads/temp/X539_eNagare_2026111.log" xr:uid="{4DED6BD9-6210-462D-BFAD-993391688EE8}"/>
  </hyperlinks>
  <pageMargins left="0.17" right="0.17" top="0.17" bottom="0.17" header="0.17" footer="0.3"/>
  <pageSetup paperSize="9" scale="52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74DE-72FE-44DA-9275-3A744F469C04}">
  <sheetPr>
    <tabColor rgb="FF00B050"/>
    <pageSetUpPr fitToPage="1"/>
  </sheetPr>
  <dimension ref="A1:Q66"/>
  <sheetViews>
    <sheetView topLeftCell="A10" workbookViewId="0">
      <selection activeCell="J4" sqref="J4:J55"/>
    </sheetView>
  </sheetViews>
  <sheetFormatPr defaultColWidth="74.5703125" defaultRowHeight="15" x14ac:dyDescent="0.25"/>
  <cols>
    <col min="1" max="1" width="15.140625" bestFit="1" customWidth="1"/>
    <col min="2" max="2" width="19.7109375" customWidth="1"/>
    <col min="3" max="3" width="14.140625" bestFit="1" customWidth="1"/>
    <col min="4" max="4" width="14.140625" customWidth="1"/>
    <col min="5" max="5" width="30.28515625" customWidth="1"/>
    <col min="6" max="6" width="9.2851562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7109375" customWidth="1"/>
    <col min="16" max="16" width="46.140625" customWidth="1"/>
    <col min="17" max="17" width="34.8554687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46035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653</v>
      </c>
      <c r="B4" s="2" t="s">
        <v>605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46035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119</v>
      </c>
      <c r="P4" s="2" t="s">
        <v>731</v>
      </c>
    </row>
    <row r="5" spans="1:16" x14ac:dyDescent="0.25">
      <c r="A5" s="17" t="s">
        <v>653</v>
      </c>
      <c r="B5" s="2" t="s">
        <v>609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46035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119</v>
      </c>
      <c r="P5" s="2" t="s">
        <v>939</v>
      </c>
    </row>
    <row r="6" spans="1:16" x14ac:dyDescent="0.25">
      <c r="A6" s="17" t="s">
        <v>653</v>
      </c>
      <c r="B6" s="2" t="s">
        <v>613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46035</v>
      </c>
      <c r="G6" s="13">
        <v>0.35416666666666669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119</v>
      </c>
      <c r="P6" s="2">
        <v>910105765</v>
      </c>
    </row>
    <row r="7" spans="1:16" x14ac:dyDescent="0.25">
      <c r="A7" s="17" t="s">
        <v>653</v>
      </c>
      <c r="B7" s="2" t="s">
        <v>614</v>
      </c>
      <c r="C7" s="27" t="s">
        <v>12</v>
      </c>
      <c r="D7" s="2" t="str">
        <f>VLOOKUP($C7,Sheet1!$A$2:$D$10,2,0)</f>
        <v>141185-74670</v>
      </c>
      <c r="E7" s="8" t="s">
        <v>66</v>
      </c>
      <c r="F7" s="12">
        <v>46035</v>
      </c>
      <c r="G7" s="13">
        <v>0.35416666666666669</v>
      </c>
      <c r="H7" s="2" t="s">
        <v>53</v>
      </c>
      <c r="I7" s="2" t="s">
        <v>54</v>
      </c>
      <c r="J7" s="2">
        <v>40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1</v>
      </c>
      <c r="O7" s="2" t="s">
        <v>119</v>
      </c>
      <c r="P7" s="2">
        <v>910105765</v>
      </c>
    </row>
    <row r="8" spans="1:16" x14ac:dyDescent="0.25">
      <c r="A8" s="17" t="s">
        <v>653</v>
      </c>
      <c r="B8" s="2" t="s">
        <v>618</v>
      </c>
      <c r="C8" s="27" t="s">
        <v>16</v>
      </c>
      <c r="D8" s="2" t="str">
        <f>VLOOKUP($C8,Sheet1!$A$2:$D$10,2,0)</f>
        <v>141140-91211</v>
      </c>
      <c r="E8" s="8" t="s">
        <v>70</v>
      </c>
      <c r="F8" s="12">
        <v>46035</v>
      </c>
      <c r="G8" s="13">
        <v>0.35416666666666669</v>
      </c>
      <c r="H8" s="2" t="s">
        <v>71</v>
      </c>
      <c r="I8" s="2" t="s">
        <v>54</v>
      </c>
      <c r="J8" s="2">
        <v>48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24</v>
      </c>
      <c r="N8" s="2"/>
      <c r="O8" s="2" t="s">
        <v>119</v>
      </c>
      <c r="P8" s="2" t="s">
        <v>723</v>
      </c>
    </row>
    <row r="9" spans="1:16" x14ac:dyDescent="0.25">
      <c r="A9" s="17" t="s">
        <v>653</v>
      </c>
      <c r="B9" s="2" t="s">
        <v>623</v>
      </c>
      <c r="C9" s="27" t="s">
        <v>20</v>
      </c>
      <c r="D9" s="2" t="str">
        <f>VLOOKUP($C9,Sheet1!$A$2:$D$10,2,0)</f>
        <v>141150-91211</v>
      </c>
      <c r="E9" s="8" t="s">
        <v>78</v>
      </c>
      <c r="F9" s="12">
        <v>46035</v>
      </c>
      <c r="G9" s="13">
        <v>0.35416666666666669</v>
      </c>
      <c r="H9" s="2" t="s">
        <v>71</v>
      </c>
      <c r="I9" s="2" t="s">
        <v>54</v>
      </c>
      <c r="J9" s="2">
        <v>48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" si="0">J9/K9</f>
        <v>24</v>
      </c>
      <c r="N9" s="2"/>
      <c r="O9" s="2" t="s">
        <v>119</v>
      </c>
      <c r="P9" s="2" t="s">
        <v>723</v>
      </c>
    </row>
    <row r="10" spans="1:16" x14ac:dyDescent="0.25">
      <c r="A10" s="17" t="s">
        <v>653</v>
      </c>
      <c r="B10" s="2" t="s">
        <v>628</v>
      </c>
      <c r="C10" s="27" t="s">
        <v>23</v>
      </c>
      <c r="D10" s="2" t="str">
        <f>VLOOKUP($C10,Sheet1!$A$2:$D$10,2,0)</f>
        <v>141186-74360</v>
      </c>
      <c r="E10" s="8" t="s">
        <v>85</v>
      </c>
      <c r="F10" s="12">
        <v>46035</v>
      </c>
      <c r="G10" s="13">
        <v>0.35416666666666669</v>
      </c>
      <c r="H10" s="2" t="s">
        <v>71</v>
      </c>
      <c r="I10" s="2" t="s">
        <v>54</v>
      </c>
      <c r="J10" s="2">
        <v>80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 t="shared" ref="N10:N11" si="1">J10/K10</f>
        <v>2</v>
      </c>
      <c r="O10" s="2" t="s">
        <v>119</v>
      </c>
      <c r="P10" s="2">
        <v>910105502</v>
      </c>
    </row>
    <row r="11" spans="1:16" x14ac:dyDescent="0.25">
      <c r="A11" s="17" t="s">
        <v>653</v>
      </c>
      <c r="B11" s="2" t="s">
        <v>629</v>
      </c>
      <c r="C11" s="27" t="s">
        <v>23</v>
      </c>
      <c r="D11" s="2" t="str">
        <f>VLOOKUP($C11,Sheet1!$A$2:$D$10,2,0)</f>
        <v>141186-74360</v>
      </c>
      <c r="E11" s="8" t="s">
        <v>85</v>
      </c>
      <c r="F11" s="12">
        <v>46035</v>
      </c>
      <c r="G11" s="13">
        <v>0.35416666666666669</v>
      </c>
      <c r="H11" s="2" t="s">
        <v>71</v>
      </c>
      <c r="I11" s="2" t="s">
        <v>54</v>
      </c>
      <c r="J11" s="2">
        <v>40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 t="shared" si="1"/>
        <v>1</v>
      </c>
      <c r="O11" s="2" t="s">
        <v>119</v>
      </c>
      <c r="P11" s="2">
        <v>910105502</v>
      </c>
    </row>
    <row r="12" spans="1:16" x14ac:dyDescent="0.25">
      <c r="A12" s="17" t="s">
        <v>654</v>
      </c>
      <c r="B12" s="2" t="s">
        <v>633</v>
      </c>
      <c r="C12" s="27" t="s">
        <v>26</v>
      </c>
      <c r="D12" s="2" t="str">
        <f>VLOOKUP($C12,Sheet1!$A$2:$D$10,2,0)</f>
        <v>116040-92240</v>
      </c>
      <c r="E12" s="8" t="s">
        <v>90</v>
      </c>
      <c r="F12" s="12">
        <v>46035</v>
      </c>
      <c r="G12" s="13">
        <v>0.35416666666666669</v>
      </c>
      <c r="H12" s="2" t="s">
        <v>91</v>
      </c>
      <c r="I12" s="2" t="s">
        <v>54</v>
      </c>
      <c r="J12" s="2">
        <v>96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ref="M12:M14" si="2">J12/K12</f>
        <v>16</v>
      </c>
      <c r="N12" s="2"/>
      <c r="O12" s="2" t="s">
        <v>119</v>
      </c>
      <c r="P12" s="2" t="s">
        <v>940</v>
      </c>
    </row>
    <row r="13" spans="1:16" x14ac:dyDescent="0.25">
      <c r="A13" s="17" t="s">
        <v>654</v>
      </c>
      <c r="B13" s="2" t="s">
        <v>638</v>
      </c>
      <c r="C13" s="27" t="s">
        <v>32</v>
      </c>
      <c r="D13" s="2" t="str">
        <f>VLOOKUP($C13,Sheet1!$A$2:$D$10,2,0)</f>
        <v>114010-50820</v>
      </c>
      <c r="E13" s="8" t="s">
        <v>98</v>
      </c>
      <c r="F13" s="12">
        <v>46035</v>
      </c>
      <c r="G13" s="13">
        <v>0.35416666666666669</v>
      </c>
      <c r="H13" s="2" t="s">
        <v>91</v>
      </c>
      <c r="I13" s="2" t="s">
        <v>54</v>
      </c>
      <c r="J13" s="2">
        <v>18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2"/>
        <v>18</v>
      </c>
      <c r="N13" s="2"/>
      <c r="O13" s="2" t="s">
        <v>119</v>
      </c>
      <c r="P13" s="2" t="s">
        <v>417</v>
      </c>
    </row>
    <row r="14" spans="1:16" x14ac:dyDescent="0.25">
      <c r="A14" s="17" t="s">
        <v>654</v>
      </c>
      <c r="B14" s="2" t="s">
        <v>643</v>
      </c>
      <c r="C14" s="27" t="s">
        <v>29</v>
      </c>
      <c r="D14" s="2" t="str">
        <f>VLOOKUP($C14,Sheet1!$A$2:$D$10,2,0)</f>
        <v>114010-50830</v>
      </c>
      <c r="E14" s="8" t="s">
        <v>98</v>
      </c>
      <c r="F14" s="12">
        <v>46035</v>
      </c>
      <c r="G14" s="13">
        <v>0.35416666666666669</v>
      </c>
      <c r="H14" s="2" t="s">
        <v>91</v>
      </c>
      <c r="I14" s="2" t="s">
        <v>54</v>
      </c>
      <c r="J14" s="2">
        <v>22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2"/>
        <v>22</v>
      </c>
      <c r="N14" s="2"/>
      <c r="O14" s="2" t="s">
        <v>119</v>
      </c>
      <c r="P14" s="2" t="s">
        <v>739</v>
      </c>
    </row>
    <row r="15" spans="1:16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104</v>
      </c>
      <c r="N15" s="10">
        <v>9</v>
      </c>
      <c r="O15" s="10"/>
      <c r="P15" s="10"/>
    </row>
    <row r="16" spans="1:16" x14ac:dyDescent="0.25">
      <c r="A16" s="17" t="s">
        <v>655</v>
      </c>
      <c r="B16" s="2" t="s">
        <v>605</v>
      </c>
      <c r="C16" s="27" t="s">
        <v>5</v>
      </c>
      <c r="D16" s="2" t="str">
        <f>VLOOKUP($C16,Sheet1!$A$2:$D$10,2,0)</f>
        <v>141110-14600</v>
      </c>
      <c r="E16" s="8" t="s">
        <v>52</v>
      </c>
      <c r="F16" s="12">
        <v>46035</v>
      </c>
      <c r="G16" s="13">
        <v>0.35416666666666669</v>
      </c>
      <c r="H16" s="2" t="s">
        <v>53</v>
      </c>
      <c r="I16" s="2" t="s">
        <v>54</v>
      </c>
      <c r="J16" s="2">
        <v>54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2">
        <v>3</v>
      </c>
      <c r="O16" s="2" t="s">
        <v>359</v>
      </c>
      <c r="P16" s="2" t="s">
        <v>941</v>
      </c>
    </row>
    <row r="17" spans="1:16" x14ac:dyDescent="0.25">
      <c r="A17" s="17" t="s">
        <v>655</v>
      </c>
      <c r="B17" s="2" t="s">
        <v>609</v>
      </c>
      <c r="C17" s="27" t="s">
        <v>9</v>
      </c>
      <c r="D17" s="2" t="str">
        <f>VLOOKUP($C17,Sheet1!$A$2:$D$10,2,0)</f>
        <v>141120-14600</v>
      </c>
      <c r="E17" s="8" t="s">
        <v>60</v>
      </c>
      <c r="F17" s="12">
        <v>46035</v>
      </c>
      <c r="G17" s="13">
        <v>0.35416666666666669</v>
      </c>
      <c r="H17" s="2" t="s">
        <v>53</v>
      </c>
      <c r="I17" s="2" t="s">
        <v>54</v>
      </c>
      <c r="J17" s="2">
        <v>54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3"/>
      <c r="O17" s="2" t="s">
        <v>359</v>
      </c>
      <c r="P17" s="2" t="s">
        <v>942</v>
      </c>
    </row>
    <row r="18" spans="1:16" x14ac:dyDescent="0.25">
      <c r="A18" s="17" t="s">
        <v>655</v>
      </c>
      <c r="B18" s="2" t="s">
        <v>613</v>
      </c>
      <c r="C18" s="27" t="s">
        <v>12</v>
      </c>
      <c r="D18" s="2" t="str">
        <f>VLOOKUP($C18,Sheet1!$A$2:$D$10,2,0)</f>
        <v>141185-74670</v>
      </c>
      <c r="E18" s="8" t="s">
        <v>66</v>
      </c>
      <c r="F18" s="12">
        <v>46035</v>
      </c>
      <c r="G18" s="13">
        <v>0.35416666666666669</v>
      </c>
      <c r="H18" s="2" t="s">
        <v>53</v>
      </c>
      <c r="I18" s="2" t="s">
        <v>54</v>
      </c>
      <c r="J18" s="2">
        <v>80</v>
      </c>
      <c r="K18" s="14">
        <f>VLOOKUP($C18,Sheet1!$A$2:$D$10,4,0)</f>
        <v>40</v>
      </c>
      <c r="L18" s="14" t="str">
        <f>VLOOKUP($C18,Sheet1!$A$2:$E$10,5,0)</f>
        <v>Trolley</v>
      </c>
      <c r="M18" s="14"/>
      <c r="N18" s="2">
        <f>J18/K18</f>
        <v>2</v>
      </c>
      <c r="O18" s="2" t="s">
        <v>359</v>
      </c>
      <c r="P18" s="2">
        <v>910105765</v>
      </c>
    </row>
    <row r="19" spans="1:16" x14ac:dyDescent="0.25">
      <c r="A19" s="17" t="s">
        <v>655</v>
      </c>
      <c r="B19" s="2" t="s">
        <v>618</v>
      </c>
      <c r="C19" s="27" t="s">
        <v>16</v>
      </c>
      <c r="D19" s="2" t="str">
        <f>VLOOKUP($C19,Sheet1!$A$2:$D$10,2,0)</f>
        <v>141140-91211</v>
      </c>
      <c r="E19" s="8" t="s">
        <v>70</v>
      </c>
      <c r="F19" s="12">
        <v>46035</v>
      </c>
      <c r="G19" s="13">
        <v>0.35416666666666669</v>
      </c>
      <c r="H19" s="2" t="s">
        <v>71</v>
      </c>
      <c r="I19" s="2" t="s">
        <v>54</v>
      </c>
      <c r="J19" s="2">
        <v>50</v>
      </c>
      <c r="K19" s="14">
        <f>VLOOKUP($C19,Sheet1!$A$2:$D$10,4,0)</f>
        <v>2</v>
      </c>
      <c r="L19" s="14" t="str">
        <f>VLOOKUP($C19,Sheet1!$A$2:$E$10,5,0)</f>
        <v>Bin</v>
      </c>
      <c r="M19" s="14">
        <f>J19/K19</f>
        <v>25</v>
      </c>
      <c r="N19" s="2"/>
      <c r="O19" s="2" t="s">
        <v>359</v>
      </c>
      <c r="P19" s="2" t="s">
        <v>723</v>
      </c>
    </row>
    <row r="20" spans="1:16" x14ac:dyDescent="0.25">
      <c r="A20" s="17" t="s">
        <v>655</v>
      </c>
      <c r="B20" s="2" t="s">
        <v>619</v>
      </c>
      <c r="C20" s="27" t="s">
        <v>16</v>
      </c>
      <c r="D20" s="2" t="str">
        <f>VLOOKUP($C20,Sheet1!$A$2:$D$10,2,0)</f>
        <v>141140-91211</v>
      </c>
      <c r="E20" s="8" t="s">
        <v>70</v>
      </c>
      <c r="F20" s="12">
        <v>46035</v>
      </c>
      <c r="G20" s="13">
        <v>0.35416666666666669</v>
      </c>
      <c r="H20" s="2" t="s">
        <v>71</v>
      </c>
      <c r="I20" s="2" t="s">
        <v>54</v>
      </c>
      <c r="J20" s="2">
        <v>6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3</v>
      </c>
      <c r="N20" s="2"/>
      <c r="O20" s="2" t="s">
        <v>359</v>
      </c>
      <c r="P20" s="2" t="s">
        <v>723</v>
      </c>
    </row>
    <row r="21" spans="1:16" x14ac:dyDescent="0.25">
      <c r="A21" s="17" t="s">
        <v>655</v>
      </c>
      <c r="B21" s="2" t="s">
        <v>624</v>
      </c>
      <c r="C21" s="27" t="s">
        <v>20</v>
      </c>
      <c r="D21" s="2" t="str">
        <f>VLOOKUP($C21,Sheet1!$A$2:$D$10,2,0)</f>
        <v>141150-91211</v>
      </c>
      <c r="E21" s="8" t="s">
        <v>78</v>
      </c>
      <c r="F21" s="12">
        <v>46035</v>
      </c>
      <c r="G21" s="13">
        <v>0.35416666666666669</v>
      </c>
      <c r="H21" s="2" t="s">
        <v>71</v>
      </c>
      <c r="I21" s="2" t="s">
        <v>54</v>
      </c>
      <c r="J21" s="2">
        <v>6</v>
      </c>
      <c r="K21" s="14">
        <f>VLOOKUP($C21,Sheet1!$A$2:$D$10,4,0)</f>
        <v>2</v>
      </c>
      <c r="L21" s="14" t="str">
        <f>VLOOKUP($C21,Sheet1!$A$2:$E$10,5,0)</f>
        <v>Bin</v>
      </c>
      <c r="M21" s="14">
        <f>J21/K21</f>
        <v>3</v>
      </c>
      <c r="N21" s="2"/>
      <c r="O21" s="2" t="s">
        <v>359</v>
      </c>
      <c r="P21" s="2" t="s">
        <v>723</v>
      </c>
    </row>
    <row r="22" spans="1:16" x14ac:dyDescent="0.25">
      <c r="A22" s="17" t="s">
        <v>655</v>
      </c>
      <c r="B22" s="2" t="s">
        <v>623</v>
      </c>
      <c r="C22" s="27" t="s">
        <v>20</v>
      </c>
      <c r="D22" s="2" t="str">
        <f>VLOOKUP($C22,Sheet1!$A$2:$D$10,2,0)</f>
        <v>141150-91211</v>
      </c>
      <c r="E22" s="8" t="s">
        <v>78</v>
      </c>
      <c r="F22" s="12">
        <v>46035</v>
      </c>
      <c r="G22" s="13">
        <v>0.35416666666666669</v>
      </c>
      <c r="H22" s="2" t="s">
        <v>71</v>
      </c>
      <c r="I22" s="2" t="s">
        <v>54</v>
      </c>
      <c r="J22" s="2">
        <v>50</v>
      </c>
      <c r="K22" s="14">
        <f>VLOOKUP($C22,Sheet1!$A$2:$D$10,4,0)</f>
        <v>2</v>
      </c>
      <c r="L22" s="14" t="str">
        <f>VLOOKUP($C22,Sheet1!$A$2:$E$10,5,0)</f>
        <v>Bin</v>
      </c>
      <c r="M22" s="14">
        <f t="shared" ref="M22" si="3">J22/K22</f>
        <v>25</v>
      </c>
      <c r="N22" s="2"/>
      <c r="O22" s="2" t="s">
        <v>359</v>
      </c>
      <c r="P22" s="2" t="s">
        <v>723</v>
      </c>
    </row>
    <row r="23" spans="1:16" x14ac:dyDescent="0.25">
      <c r="A23" s="17" t="s">
        <v>655</v>
      </c>
      <c r="B23" s="2" t="s">
        <v>628</v>
      </c>
      <c r="C23" s="27" t="s">
        <v>23</v>
      </c>
      <c r="D23" s="2" t="str">
        <f>VLOOKUP($C23,Sheet1!$A$2:$D$10,2,0)</f>
        <v>141186-74360</v>
      </c>
      <c r="E23" s="8" t="s">
        <v>85</v>
      </c>
      <c r="F23" s="12">
        <v>46035</v>
      </c>
      <c r="G23" s="13">
        <v>0.35416666666666669</v>
      </c>
      <c r="H23" s="2" t="s">
        <v>71</v>
      </c>
      <c r="I23" s="2" t="s">
        <v>54</v>
      </c>
      <c r="J23" s="2">
        <v>120</v>
      </c>
      <c r="K23" s="14">
        <f>VLOOKUP($C23,Sheet1!$A$2:$D$10,4,0)</f>
        <v>40</v>
      </c>
      <c r="L23" s="14" t="str">
        <f>VLOOKUP($C23,Sheet1!$A$2:$E$10,5,0)</f>
        <v>Trolley</v>
      </c>
      <c r="M23" s="14"/>
      <c r="N23" s="2">
        <f t="shared" ref="N23" si="4">J23/K23</f>
        <v>3</v>
      </c>
      <c r="O23" s="2" t="s">
        <v>359</v>
      </c>
      <c r="P23" s="2" t="s">
        <v>943</v>
      </c>
    </row>
    <row r="24" spans="1:16" x14ac:dyDescent="0.25">
      <c r="A24" s="17" t="s">
        <v>656</v>
      </c>
      <c r="B24" s="2" t="s">
        <v>634</v>
      </c>
      <c r="C24" s="27" t="s">
        <v>26</v>
      </c>
      <c r="D24" s="2" t="str">
        <f>VLOOKUP($C24,Sheet1!$A$2:$D$10,2,0)</f>
        <v>116040-92240</v>
      </c>
      <c r="E24" s="8" t="s">
        <v>90</v>
      </c>
      <c r="F24" s="12">
        <v>46035</v>
      </c>
      <c r="G24" s="13">
        <v>0.35416666666666669</v>
      </c>
      <c r="H24" s="2" t="s">
        <v>91</v>
      </c>
      <c r="I24" s="2" t="s">
        <v>54</v>
      </c>
      <c r="J24" s="2">
        <v>6</v>
      </c>
      <c r="K24" s="14">
        <f>VLOOKUP($C24,Sheet1!$A$2:$D$10,4,0)</f>
        <v>6</v>
      </c>
      <c r="L24" s="14" t="str">
        <f>VLOOKUP($C24,Sheet1!$A$2:$E$10,5,0)</f>
        <v>Bin</v>
      </c>
      <c r="M24" s="14">
        <f>J24/K24</f>
        <v>1</v>
      </c>
      <c r="N24" s="2"/>
      <c r="O24" s="2" t="s">
        <v>359</v>
      </c>
      <c r="P24" s="2" t="s">
        <v>724</v>
      </c>
    </row>
    <row r="25" spans="1:16" x14ac:dyDescent="0.25">
      <c r="A25" s="17" t="s">
        <v>656</v>
      </c>
      <c r="B25" s="2" t="s">
        <v>639</v>
      </c>
      <c r="C25" s="27" t="s">
        <v>32</v>
      </c>
      <c r="D25" s="2" t="str">
        <f>VLOOKUP($C25,Sheet1!$A$2:$D$10,2,0)</f>
        <v>114010-50820</v>
      </c>
      <c r="E25" s="8" t="s">
        <v>98</v>
      </c>
      <c r="F25" s="12">
        <v>46035</v>
      </c>
      <c r="G25" s="13">
        <v>0.35416666666666669</v>
      </c>
      <c r="H25" s="2" t="s">
        <v>91</v>
      </c>
      <c r="I25" s="2" t="s">
        <v>54</v>
      </c>
      <c r="J25" s="2">
        <v>3</v>
      </c>
      <c r="K25" s="14">
        <f>VLOOKUP($C25,Sheet1!$A$2:$D$10,4,0)</f>
        <v>1</v>
      </c>
      <c r="L25" s="14" t="str">
        <f>VLOOKUP($C25,Sheet1!$A$2:$E$10,5,0)</f>
        <v>Bin</v>
      </c>
      <c r="M25" s="14">
        <f>J25/K25</f>
        <v>3</v>
      </c>
      <c r="N25" s="2"/>
      <c r="O25" s="2" t="s">
        <v>359</v>
      </c>
      <c r="P25" s="2" t="s">
        <v>417</v>
      </c>
    </row>
    <row r="26" spans="1:16" x14ac:dyDescent="0.25">
      <c r="A26" s="17" t="s">
        <v>656</v>
      </c>
      <c r="B26" s="2" t="s">
        <v>638</v>
      </c>
      <c r="C26" s="27" t="s">
        <v>32</v>
      </c>
      <c r="D26" s="2" t="str">
        <f>VLOOKUP($C26,Sheet1!$A$2:$D$10,2,0)</f>
        <v>114010-50820</v>
      </c>
      <c r="E26" s="8" t="s">
        <v>98</v>
      </c>
      <c r="F26" s="12">
        <v>46035</v>
      </c>
      <c r="G26" s="13">
        <v>0.35416666666666669</v>
      </c>
      <c r="H26" s="2" t="s">
        <v>91</v>
      </c>
      <c r="I26" s="2" t="s">
        <v>54</v>
      </c>
      <c r="J26" s="2">
        <v>5</v>
      </c>
      <c r="K26" s="14">
        <f>VLOOKUP($C26,Sheet1!$A$2:$D$10,4,0)</f>
        <v>1</v>
      </c>
      <c r="L26" s="14" t="str">
        <f>VLOOKUP($C26,Sheet1!$A$2:$E$10,5,0)</f>
        <v>Bin</v>
      </c>
      <c r="M26" s="14">
        <f t="shared" ref="M26" si="5">J26/K26</f>
        <v>5</v>
      </c>
      <c r="N26" s="2"/>
      <c r="O26" s="2" t="s">
        <v>359</v>
      </c>
      <c r="P26" s="2" t="s">
        <v>417</v>
      </c>
    </row>
    <row r="27" spans="1:16" x14ac:dyDescent="0.25">
      <c r="A27" s="17" t="s">
        <v>656</v>
      </c>
      <c r="B27" s="2" t="s">
        <v>643</v>
      </c>
      <c r="C27" s="27" t="s">
        <v>29</v>
      </c>
      <c r="D27" s="2" t="str">
        <f>VLOOKUP($C27,Sheet1!$A$2:$D$10,2,0)</f>
        <v>114010-50830</v>
      </c>
      <c r="E27" s="8" t="s">
        <v>98</v>
      </c>
      <c r="F27" s="12">
        <v>46035</v>
      </c>
      <c r="G27" s="13">
        <v>0.35416666666666669</v>
      </c>
      <c r="H27" s="2" t="s">
        <v>91</v>
      </c>
      <c r="I27" s="2" t="s">
        <v>54</v>
      </c>
      <c r="J27" s="2">
        <v>55</v>
      </c>
      <c r="K27" s="14">
        <f>VLOOKUP($C27,Sheet1!$A$2:$D$10,4,0)</f>
        <v>1</v>
      </c>
      <c r="L27" s="14" t="str">
        <f>VLOOKUP($C27,Sheet1!$A$2:$E$10,5,0)</f>
        <v>Bin</v>
      </c>
      <c r="M27" s="14">
        <f t="shared" ref="M27" si="6">J27/K27</f>
        <v>55</v>
      </c>
      <c r="N27" s="2"/>
      <c r="O27" s="2" t="s">
        <v>359</v>
      </c>
      <c r="P27" s="2" t="s">
        <v>739</v>
      </c>
    </row>
    <row r="28" spans="1:16" x14ac:dyDescent="0.25">
      <c r="A28" s="17" t="s">
        <v>656</v>
      </c>
      <c r="B28" s="2" t="s">
        <v>644</v>
      </c>
      <c r="C28" s="27" t="s">
        <v>29</v>
      </c>
      <c r="D28" s="2" t="str">
        <f>VLOOKUP($C28,Sheet1!$A$2:$D$10,2,0)</f>
        <v>114010-50830</v>
      </c>
      <c r="E28" s="8" t="s">
        <v>98</v>
      </c>
      <c r="F28" s="12">
        <v>46035</v>
      </c>
      <c r="G28" s="13">
        <v>0.35416666666666669</v>
      </c>
      <c r="H28" s="2" t="s">
        <v>91</v>
      </c>
      <c r="I28" s="2" t="s">
        <v>54</v>
      </c>
      <c r="J28" s="2">
        <v>4</v>
      </c>
      <c r="K28" s="14">
        <f>VLOOKUP($C28,Sheet1!$A$2:$D$10,4,0)</f>
        <v>1</v>
      </c>
      <c r="L28" s="14" t="str">
        <f>VLOOKUP($C28,Sheet1!$A$2:$E$10,5,0)</f>
        <v>Bin</v>
      </c>
      <c r="M28" s="14">
        <f>J28/K28</f>
        <v>4</v>
      </c>
      <c r="N28" s="2"/>
      <c r="O28" s="2" t="s">
        <v>359</v>
      </c>
      <c r="P28" s="2" t="s">
        <v>739</v>
      </c>
    </row>
    <row r="29" spans="1:16" s="11" customForma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>
        <v>124</v>
      </c>
      <c r="N29" s="10">
        <v>8</v>
      </c>
      <c r="O29" s="10"/>
      <c r="P29" s="10"/>
    </row>
    <row r="30" spans="1:16" x14ac:dyDescent="0.25">
      <c r="A30" s="17" t="s">
        <v>657</v>
      </c>
      <c r="B30" s="2" t="s">
        <v>606</v>
      </c>
      <c r="C30" s="27" t="s">
        <v>5</v>
      </c>
      <c r="D30" s="2" t="str">
        <f>VLOOKUP($C30,Sheet1!$A$2:$D$10,2,0)</f>
        <v>141110-14600</v>
      </c>
      <c r="E30" s="8" t="s">
        <v>52</v>
      </c>
      <c r="F30" s="12">
        <v>46035</v>
      </c>
      <c r="G30" s="13">
        <v>0.5625</v>
      </c>
      <c r="H30" s="2" t="s">
        <v>53</v>
      </c>
      <c r="I30" s="2" t="s">
        <v>54</v>
      </c>
      <c r="J30" s="2">
        <v>54</v>
      </c>
      <c r="K30" s="14">
        <f>VLOOKUP($C30,Sheet1!$A$2:$D$10,4,0)</f>
        <v>18</v>
      </c>
      <c r="L30" s="14" t="str">
        <f>VLOOKUP($C30,Sheet1!$A$2:$E$10,5,0)</f>
        <v>Trolley (H)</v>
      </c>
      <c r="M30" s="14"/>
      <c r="N30" s="52">
        <v>3</v>
      </c>
      <c r="O30" s="2" t="s">
        <v>121</v>
      </c>
      <c r="P30" s="2" t="s">
        <v>944</v>
      </c>
    </row>
    <row r="31" spans="1:16" x14ac:dyDescent="0.25">
      <c r="A31" s="17" t="s">
        <v>657</v>
      </c>
      <c r="B31" s="2" t="s">
        <v>610</v>
      </c>
      <c r="C31" s="27" t="s">
        <v>9</v>
      </c>
      <c r="D31" s="2" t="str">
        <f>VLOOKUP($C31,Sheet1!$A$2:$D$10,2,0)</f>
        <v>141120-14600</v>
      </c>
      <c r="E31" s="8" t="s">
        <v>60</v>
      </c>
      <c r="F31" s="12">
        <v>46035</v>
      </c>
      <c r="G31" s="13">
        <v>0.5625</v>
      </c>
      <c r="H31" s="2" t="s">
        <v>53</v>
      </c>
      <c r="I31" s="2" t="s">
        <v>54</v>
      </c>
      <c r="J31" s="2">
        <v>54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3"/>
      <c r="O31" s="2" t="s">
        <v>121</v>
      </c>
      <c r="P31" s="2" t="s">
        <v>944</v>
      </c>
    </row>
    <row r="32" spans="1:16" x14ac:dyDescent="0.25">
      <c r="A32" s="17" t="s">
        <v>657</v>
      </c>
      <c r="B32" s="2" t="s">
        <v>615</v>
      </c>
      <c r="C32" s="27" t="s">
        <v>12</v>
      </c>
      <c r="D32" s="2" t="str">
        <f>VLOOKUP($C32,Sheet1!$A$2:$D$10,2,0)</f>
        <v>141185-74670</v>
      </c>
      <c r="E32" s="8" t="s">
        <v>66</v>
      </c>
      <c r="F32" s="12">
        <v>46035</v>
      </c>
      <c r="G32" s="13">
        <v>0.5625</v>
      </c>
      <c r="H32" s="2" t="s">
        <v>53</v>
      </c>
      <c r="I32" s="2" t="s">
        <v>54</v>
      </c>
      <c r="J32" s="2">
        <v>80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>J32/K32</f>
        <v>2</v>
      </c>
      <c r="O32" s="2" t="s">
        <v>121</v>
      </c>
      <c r="P32" s="2">
        <v>910105765</v>
      </c>
    </row>
    <row r="33" spans="1:16" x14ac:dyDescent="0.25">
      <c r="A33" s="17" t="s">
        <v>657</v>
      </c>
      <c r="B33" s="2" t="s">
        <v>620</v>
      </c>
      <c r="C33" s="27" t="s">
        <v>16</v>
      </c>
      <c r="D33" s="2" t="str">
        <f>VLOOKUP($C33,Sheet1!$A$2:$D$10,2,0)</f>
        <v>141140-91211</v>
      </c>
      <c r="E33" s="8" t="s">
        <v>70</v>
      </c>
      <c r="F33" s="12">
        <v>46035</v>
      </c>
      <c r="G33" s="13">
        <v>0.5625</v>
      </c>
      <c r="H33" s="2" t="s">
        <v>71</v>
      </c>
      <c r="I33" s="2" t="s">
        <v>54</v>
      </c>
      <c r="J33" s="2">
        <v>68</v>
      </c>
      <c r="K33" s="14">
        <f>VLOOKUP($C33,Sheet1!$A$2:$D$10,4,0)</f>
        <v>2</v>
      </c>
      <c r="L33" s="14" t="str">
        <f>VLOOKUP($C33,Sheet1!$A$2:$E$10,5,0)</f>
        <v>Bin</v>
      </c>
      <c r="M33" s="14">
        <f t="shared" ref="M33:M34" si="7">J33/K33</f>
        <v>34</v>
      </c>
      <c r="N33" s="2"/>
      <c r="O33" s="2" t="s">
        <v>121</v>
      </c>
      <c r="P33" s="2" t="s">
        <v>723</v>
      </c>
    </row>
    <row r="34" spans="1:16" x14ac:dyDescent="0.25">
      <c r="A34" s="17" t="s">
        <v>657</v>
      </c>
      <c r="B34" s="2" t="s">
        <v>625</v>
      </c>
      <c r="C34" s="27" t="s">
        <v>20</v>
      </c>
      <c r="D34" s="2" t="str">
        <f>VLOOKUP($C34,Sheet1!$A$2:$D$10,2,0)</f>
        <v>141150-91211</v>
      </c>
      <c r="E34" s="8" t="s">
        <v>78</v>
      </c>
      <c r="F34" s="12">
        <v>46035</v>
      </c>
      <c r="G34" s="13">
        <v>0.5625</v>
      </c>
      <c r="H34" s="2" t="s">
        <v>71</v>
      </c>
      <c r="I34" s="2" t="s">
        <v>54</v>
      </c>
      <c r="J34" s="2">
        <v>68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si="7"/>
        <v>34</v>
      </c>
      <c r="N34" s="2"/>
      <c r="O34" s="2" t="s">
        <v>121</v>
      </c>
      <c r="P34" s="2" t="s">
        <v>945</v>
      </c>
    </row>
    <row r="35" spans="1:16" x14ac:dyDescent="0.25">
      <c r="A35" s="17" t="s">
        <v>657</v>
      </c>
      <c r="B35" s="2" t="s">
        <v>630</v>
      </c>
      <c r="C35" s="27" t="s">
        <v>23</v>
      </c>
      <c r="D35" s="2" t="str">
        <f>VLOOKUP($C35,Sheet1!$A$2:$D$10,2,0)</f>
        <v>141186-74360</v>
      </c>
      <c r="E35" s="8" t="s">
        <v>85</v>
      </c>
      <c r="F35" s="12">
        <v>46035</v>
      </c>
      <c r="G35" s="13">
        <v>0.5625</v>
      </c>
      <c r="H35" s="2" t="s">
        <v>71</v>
      </c>
      <c r="I35" s="2" t="s">
        <v>54</v>
      </c>
      <c r="J35" s="2">
        <v>80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>J35/K35</f>
        <v>2</v>
      </c>
      <c r="O35" s="2" t="s">
        <v>121</v>
      </c>
      <c r="P35" s="2">
        <v>910105765</v>
      </c>
    </row>
    <row r="36" spans="1:16" ht="15.75" x14ac:dyDescent="0.25">
      <c r="A36" s="17" t="s">
        <v>665</v>
      </c>
      <c r="B36" s="2" t="s">
        <v>635</v>
      </c>
      <c r="C36" s="27" t="s">
        <v>26</v>
      </c>
      <c r="D36" s="2" t="str">
        <f>VLOOKUP($C36,Sheet1!$A$2:$D$10,2,0)</f>
        <v>116040-92240</v>
      </c>
      <c r="E36" s="8" t="s">
        <v>90</v>
      </c>
      <c r="F36" s="12">
        <v>46035</v>
      </c>
      <c r="G36" s="13">
        <v>0.5625</v>
      </c>
      <c r="H36" s="2" t="s">
        <v>91</v>
      </c>
      <c r="I36" s="2" t="s">
        <v>54</v>
      </c>
      <c r="J36" s="2">
        <v>66</v>
      </c>
      <c r="K36" s="14">
        <f>VLOOKUP($C36,Sheet1!$A$2:$D$10,4,0)</f>
        <v>6</v>
      </c>
      <c r="L36" s="14" t="str">
        <f>VLOOKUP($C36,Sheet1!$A$2:$E$10,5,0)</f>
        <v>Bin</v>
      </c>
      <c r="M36" s="39">
        <f t="shared" ref="M36:M38" si="8">J36/K36</f>
        <v>11</v>
      </c>
      <c r="N36" s="2"/>
      <c r="O36" s="2" t="s">
        <v>121</v>
      </c>
      <c r="P36" s="2" t="s">
        <v>724</v>
      </c>
    </row>
    <row r="37" spans="1:16" x14ac:dyDescent="0.25">
      <c r="A37" s="17" t="s">
        <v>665</v>
      </c>
      <c r="B37" s="2" t="s">
        <v>640</v>
      </c>
      <c r="C37" s="27" t="s">
        <v>32</v>
      </c>
      <c r="D37" s="2" t="str">
        <f>VLOOKUP($C37,Sheet1!$A$2:$D$10,2,0)</f>
        <v>114010-50820</v>
      </c>
      <c r="E37" s="8" t="s">
        <v>98</v>
      </c>
      <c r="F37" s="12">
        <v>46035</v>
      </c>
      <c r="G37" s="13">
        <v>0.5625</v>
      </c>
      <c r="H37" s="2" t="s">
        <v>91</v>
      </c>
      <c r="I37" s="2" t="s">
        <v>54</v>
      </c>
      <c r="J37" s="2">
        <v>21</v>
      </c>
      <c r="K37" s="14">
        <f>VLOOKUP($C37,Sheet1!$A$2:$D$10,4,0)</f>
        <v>1</v>
      </c>
      <c r="L37" s="14" t="str">
        <f>VLOOKUP($C37,Sheet1!$A$2:$E$10,5,0)</f>
        <v>Bin</v>
      </c>
      <c r="M37" s="14">
        <f t="shared" si="8"/>
        <v>21</v>
      </c>
      <c r="N37" s="2"/>
      <c r="O37" s="2" t="s">
        <v>121</v>
      </c>
      <c r="P37" s="2" t="s">
        <v>417</v>
      </c>
    </row>
    <row r="38" spans="1:16" x14ac:dyDescent="0.25">
      <c r="A38" s="17" t="s">
        <v>665</v>
      </c>
      <c r="B38" s="2" t="s">
        <v>645</v>
      </c>
      <c r="C38" s="27" t="s">
        <v>29</v>
      </c>
      <c r="D38" s="2" t="str">
        <f>VLOOKUP($C38,Sheet1!$A$2:$D$10,2,0)</f>
        <v>114010-50830</v>
      </c>
      <c r="E38" s="8" t="s">
        <v>98</v>
      </c>
      <c r="F38" s="12">
        <v>46035</v>
      </c>
      <c r="G38" s="13">
        <v>0.5625</v>
      </c>
      <c r="H38" s="2" t="s">
        <v>91</v>
      </c>
      <c r="I38" s="2" t="s">
        <v>54</v>
      </c>
      <c r="J38" s="2">
        <v>57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8"/>
        <v>57</v>
      </c>
      <c r="N38" s="2"/>
      <c r="O38" s="2" t="s">
        <v>121</v>
      </c>
      <c r="P38" s="2" t="s">
        <v>946</v>
      </c>
    </row>
    <row r="39" spans="1:16" s="11" customForma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157</v>
      </c>
      <c r="N39" s="10">
        <v>7</v>
      </c>
      <c r="O39" s="10"/>
      <c r="P39" s="10"/>
    </row>
    <row r="40" spans="1:16" x14ac:dyDescent="0.25">
      <c r="A40" s="17" t="s">
        <v>658</v>
      </c>
      <c r="B40" s="2" t="s">
        <v>615</v>
      </c>
      <c r="C40" s="27" t="s">
        <v>12</v>
      </c>
      <c r="D40" s="2" t="str">
        <f>VLOOKUP($C40,Sheet1!$A$2:$D$10,2,0)</f>
        <v>141185-74670</v>
      </c>
      <c r="E40" s="8" t="s">
        <v>66</v>
      </c>
      <c r="F40" s="12">
        <v>46035</v>
      </c>
      <c r="G40" s="13">
        <v>0.5625</v>
      </c>
      <c r="H40" s="2" t="s">
        <v>53</v>
      </c>
      <c r="I40" s="2" t="s">
        <v>54</v>
      </c>
      <c r="J40" s="2">
        <v>80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>J40/K40</f>
        <v>2</v>
      </c>
      <c r="O40" s="2" t="s">
        <v>122</v>
      </c>
      <c r="P40" s="2">
        <v>910105765</v>
      </c>
    </row>
    <row r="41" spans="1:16" ht="15.75" thickBot="1" x14ac:dyDescent="0.3">
      <c r="A41" s="17" t="s">
        <v>658</v>
      </c>
      <c r="B41" s="2" t="s">
        <v>630</v>
      </c>
      <c r="C41" s="27" t="s">
        <v>23</v>
      </c>
      <c r="D41" s="2" t="str">
        <f>VLOOKUP($C41,Sheet1!$A$2:$D$10,2,0)</f>
        <v>141186-74360</v>
      </c>
      <c r="E41" s="8" t="s">
        <v>85</v>
      </c>
      <c r="F41" s="12">
        <v>46035</v>
      </c>
      <c r="G41" s="15">
        <v>0.5625</v>
      </c>
      <c r="H41" s="2" t="s">
        <v>71</v>
      </c>
      <c r="I41" s="2" t="s">
        <v>54</v>
      </c>
      <c r="J41" s="2">
        <v>80</v>
      </c>
      <c r="K41" s="14">
        <f>VLOOKUP($C41,Sheet1!$A$2:$D$10,4,0)</f>
        <v>40</v>
      </c>
      <c r="L41" s="14" t="str">
        <f>VLOOKUP($C41,Sheet1!$A$2:$E$10,5,0)</f>
        <v>Trolley</v>
      </c>
      <c r="M41" s="14"/>
      <c r="N41" s="2">
        <f>J41/K41</f>
        <v>2</v>
      </c>
      <c r="O41" s="2" t="s">
        <v>122</v>
      </c>
      <c r="P41" s="2">
        <v>910105765</v>
      </c>
    </row>
    <row r="42" spans="1:16" ht="15.75" thickTop="1" x14ac:dyDescent="0.25">
      <c r="A42" s="17" t="s">
        <v>659</v>
      </c>
      <c r="B42" s="2" t="s">
        <v>607</v>
      </c>
      <c r="C42" s="27" t="s">
        <v>5</v>
      </c>
      <c r="D42" s="2" t="str">
        <f>VLOOKUP($C42,Sheet1!$A$2:$D$10,2,0)</f>
        <v>141110-14600</v>
      </c>
      <c r="E42" s="8" t="s">
        <v>52</v>
      </c>
      <c r="F42" s="12">
        <v>46035</v>
      </c>
      <c r="G42" s="38">
        <v>0.77083333333333337</v>
      </c>
      <c r="H42" s="2" t="s">
        <v>53</v>
      </c>
      <c r="I42" s="2" t="s">
        <v>54</v>
      </c>
      <c r="J42" s="2">
        <v>18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2">
        <v>1</v>
      </c>
      <c r="O42" s="2" t="s">
        <v>122</v>
      </c>
      <c r="P42" s="2" t="s">
        <v>944</v>
      </c>
    </row>
    <row r="43" spans="1:16" x14ac:dyDescent="0.25">
      <c r="A43" s="17" t="s">
        <v>659</v>
      </c>
      <c r="B43" s="2" t="s">
        <v>611</v>
      </c>
      <c r="C43" s="27" t="s">
        <v>9</v>
      </c>
      <c r="D43" s="2" t="str">
        <f>VLOOKUP($C43,Sheet1!$A$2:$D$10,2,0)</f>
        <v>141120-14600</v>
      </c>
      <c r="E43" s="8" t="s">
        <v>60</v>
      </c>
      <c r="F43" s="12">
        <v>46035</v>
      </c>
      <c r="G43" s="23">
        <v>0.77083333333333337</v>
      </c>
      <c r="H43" s="2" t="s">
        <v>53</v>
      </c>
      <c r="I43" s="2" t="s">
        <v>54</v>
      </c>
      <c r="J43" s="2">
        <v>18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3"/>
      <c r="O43" s="2" t="s">
        <v>122</v>
      </c>
      <c r="P43" s="2" t="s">
        <v>944</v>
      </c>
    </row>
    <row r="44" spans="1:16" x14ac:dyDescent="0.25">
      <c r="A44" s="17" t="s">
        <v>660</v>
      </c>
      <c r="B44" s="2" t="s">
        <v>636</v>
      </c>
      <c r="C44" s="27" t="s">
        <v>26</v>
      </c>
      <c r="D44" s="2" t="str">
        <f>VLOOKUP($C44,Sheet1!$A$2:$D$10,2,0)</f>
        <v>116040-92240</v>
      </c>
      <c r="E44" s="8" t="s">
        <v>90</v>
      </c>
      <c r="F44" s="12">
        <v>46035</v>
      </c>
      <c r="G44" s="23">
        <v>0.77083333333333337</v>
      </c>
      <c r="H44" s="2" t="s">
        <v>91</v>
      </c>
      <c r="I44" s="2" t="s">
        <v>54</v>
      </c>
      <c r="J44" s="2">
        <v>60</v>
      </c>
      <c r="K44" s="14">
        <f>VLOOKUP($C44,Sheet1!$A$2:$D$10,4,0)</f>
        <v>6</v>
      </c>
      <c r="L44" s="14" t="str">
        <f>VLOOKUP($C44,Sheet1!$A$2:$E$10,5,0)</f>
        <v>Bin</v>
      </c>
      <c r="M44" s="14">
        <f t="shared" ref="M44:M46" si="9">J44/K44</f>
        <v>10</v>
      </c>
      <c r="N44" s="2"/>
      <c r="O44" s="2" t="s">
        <v>122</v>
      </c>
      <c r="P44" s="2" t="s">
        <v>724</v>
      </c>
    </row>
    <row r="45" spans="1:16" x14ac:dyDescent="0.25">
      <c r="A45" s="17" t="s">
        <v>660</v>
      </c>
      <c r="B45" s="2" t="s">
        <v>641</v>
      </c>
      <c r="C45" s="27" t="s">
        <v>32</v>
      </c>
      <c r="D45" s="2" t="str">
        <f>VLOOKUP($C45,Sheet1!$A$2:$D$10,2,0)</f>
        <v>114010-50820</v>
      </c>
      <c r="E45" s="8" t="s">
        <v>98</v>
      </c>
      <c r="F45" s="12">
        <v>46035</v>
      </c>
      <c r="G45" s="23">
        <v>0.77083333333333337</v>
      </c>
      <c r="H45" s="2" t="s">
        <v>91</v>
      </c>
      <c r="I45" s="2" t="s">
        <v>54</v>
      </c>
      <c r="J45" s="2">
        <v>15</v>
      </c>
      <c r="K45" s="14">
        <f>VLOOKUP($C45,Sheet1!$A$2:$D$10,4,0)</f>
        <v>1</v>
      </c>
      <c r="L45" s="14" t="str">
        <f>VLOOKUP($C45,Sheet1!$A$2:$E$10,5,0)</f>
        <v>Bin</v>
      </c>
      <c r="M45" s="14">
        <f t="shared" si="9"/>
        <v>15</v>
      </c>
      <c r="N45" s="2"/>
      <c r="O45" s="2" t="s">
        <v>122</v>
      </c>
      <c r="P45" s="2" t="s">
        <v>417</v>
      </c>
    </row>
    <row r="46" spans="1:16" x14ac:dyDescent="0.25">
      <c r="A46" s="17" t="s">
        <v>660</v>
      </c>
      <c r="B46" s="2" t="s">
        <v>646</v>
      </c>
      <c r="C46" s="27" t="s">
        <v>29</v>
      </c>
      <c r="D46" s="2" t="str">
        <f>VLOOKUP($C46,Sheet1!$A$2:$D$10,2,0)</f>
        <v>114010-50830</v>
      </c>
      <c r="E46" s="8" t="s">
        <v>98</v>
      </c>
      <c r="F46" s="12">
        <v>46035</v>
      </c>
      <c r="G46" s="23">
        <v>0.77083333333333337</v>
      </c>
      <c r="H46" s="2" t="s">
        <v>91</v>
      </c>
      <c r="I46" s="2" t="s">
        <v>54</v>
      </c>
      <c r="J46" s="2">
        <v>42</v>
      </c>
      <c r="K46" s="14">
        <f>VLOOKUP($C46,Sheet1!$A$2:$D$10,4,0)</f>
        <v>1</v>
      </c>
      <c r="L46" s="14" t="str">
        <f>VLOOKUP($C46,Sheet1!$A$2:$E$10,5,0)</f>
        <v>Bin</v>
      </c>
      <c r="M46" s="14">
        <f t="shared" si="9"/>
        <v>42</v>
      </c>
      <c r="N46" s="2"/>
      <c r="O46" s="2" t="s">
        <v>122</v>
      </c>
      <c r="P46" s="2" t="s">
        <v>947</v>
      </c>
    </row>
    <row r="47" spans="1:16" s="11" customForma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>
        <v>67</v>
      </c>
      <c r="N47" s="10">
        <v>5</v>
      </c>
      <c r="O47" s="10"/>
      <c r="P47" s="10"/>
    </row>
    <row r="48" spans="1:16" x14ac:dyDescent="0.25">
      <c r="A48" s="17" t="s">
        <v>661</v>
      </c>
      <c r="B48" s="2" t="s">
        <v>607</v>
      </c>
      <c r="C48" s="27" t="s">
        <v>5</v>
      </c>
      <c r="D48" s="2" t="str">
        <f>VLOOKUP($C48,Sheet1!$A$2:$D$10,2,0)</f>
        <v>141110-14600</v>
      </c>
      <c r="E48" s="8" t="s">
        <v>52</v>
      </c>
      <c r="F48" s="12">
        <v>46035</v>
      </c>
      <c r="G48" s="13">
        <v>0.77083333333333337</v>
      </c>
      <c r="H48" s="2" t="s">
        <v>53</v>
      </c>
      <c r="I48" s="2" t="s">
        <v>54</v>
      </c>
      <c r="J48" s="2">
        <v>54</v>
      </c>
      <c r="K48" s="14">
        <f>VLOOKUP($C48,Sheet1!$A$2:$D$10,4,0)</f>
        <v>18</v>
      </c>
      <c r="L48" s="14" t="str">
        <f>VLOOKUP($C48,Sheet1!$A$2:$E$10,5,0)</f>
        <v>Trolley (H)</v>
      </c>
      <c r="M48" s="14"/>
      <c r="N48" s="52">
        <v>3</v>
      </c>
      <c r="O48" s="2" t="s">
        <v>119</v>
      </c>
      <c r="P48" s="2" t="s">
        <v>944</v>
      </c>
    </row>
    <row r="49" spans="1:17" x14ac:dyDescent="0.25">
      <c r="A49" s="17" t="s">
        <v>661</v>
      </c>
      <c r="B49" s="2" t="s">
        <v>611</v>
      </c>
      <c r="C49" s="27" t="s">
        <v>9</v>
      </c>
      <c r="D49" s="2" t="str">
        <f>VLOOKUP($C49,Sheet1!$A$2:$D$10,2,0)</f>
        <v>141120-14600</v>
      </c>
      <c r="E49" s="8" t="s">
        <v>60</v>
      </c>
      <c r="F49" s="12">
        <v>46035</v>
      </c>
      <c r="G49" s="13">
        <v>0.77083333333333337</v>
      </c>
      <c r="H49" s="2" t="s">
        <v>53</v>
      </c>
      <c r="I49" s="2" t="s">
        <v>54</v>
      </c>
      <c r="J49" s="2">
        <v>54</v>
      </c>
      <c r="K49" s="14">
        <f>VLOOKUP($C49,Sheet1!$A$2:$D$10,4,0)</f>
        <v>18</v>
      </c>
      <c r="L49" s="14" t="str">
        <f>VLOOKUP($C49,Sheet1!$A$2:$E$10,5,0)</f>
        <v>Trolley (H)</v>
      </c>
      <c r="M49" s="14"/>
      <c r="N49" s="53"/>
      <c r="O49" s="2" t="s">
        <v>119</v>
      </c>
      <c r="P49" s="2" t="s">
        <v>944</v>
      </c>
    </row>
    <row r="50" spans="1:17" x14ac:dyDescent="0.25">
      <c r="A50" s="17" t="s">
        <v>661</v>
      </c>
      <c r="B50" s="2" t="s">
        <v>616</v>
      </c>
      <c r="C50" s="27" t="s">
        <v>12</v>
      </c>
      <c r="D50" s="2" t="str">
        <f>VLOOKUP($C50,Sheet1!$A$2:$D$10,2,0)</f>
        <v>141185-74670</v>
      </c>
      <c r="E50" s="8" t="s">
        <v>66</v>
      </c>
      <c r="F50" s="12">
        <v>46035</v>
      </c>
      <c r="G50" s="13">
        <v>0.77083333333333337</v>
      </c>
      <c r="H50" s="2" t="s">
        <v>53</v>
      </c>
      <c r="I50" s="2" t="s">
        <v>54</v>
      </c>
      <c r="J50" s="2">
        <v>120</v>
      </c>
      <c r="K50" s="14">
        <f>VLOOKUP($C50,Sheet1!$A$2:$D$10,4,0)</f>
        <v>40</v>
      </c>
      <c r="L50" s="14" t="str">
        <f>VLOOKUP($C50,Sheet1!$A$2:$E$10,5,0)</f>
        <v>Trolley</v>
      </c>
      <c r="M50" s="14"/>
      <c r="N50" s="2">
        <f>J50/K50</f>
        <v>3</v>
      </c>
      <c r="O50" s="2" t="s">
        <v>119</v>
      </c>
      <c r="P50" s="2">
        <v>910105765</v>
      </c>
    </row>
    <row r="51" spans="1:17" x14ac:dyDescent="0.25">
      <c r="A51" s="17" t="s">
        <v>661</v>
      </c>
      <c r="B51" s="2" t="s">
        <v>621</v>
      </c>
      <c r="C51" s="27" t="s">
        <v>16</v>
      </c>
      <c r="D51" s="2" t="str">
        <f>VLOOKUP($C51,Sheet1!$A$2:$D$10,2,0)</f>
        <v>141140-91211</v>
      </c>
      <c r="E51" s="8" t="s">
        <v>70</v>
      </c>
      <c r="F51" s="12">
        <v>46035</v>
      </c>
      <c r="G51" s="13">
        <v>0.77083333333333337</v>
      </c>
      <c r="H51" s="2" t="s">
        <v>71</v>
      </c>
      <c r="I51" s="2" t="s">
        <v>54</v>
      </c>
      <c r="J51" s="2">
        <v>58</v>
      </c>
      <c r="K51" s="14">
        <f>VLOOKUP($C51,Sheet1!$A$2:$D$10,4,0)</f>
        <v>2</v>
      </c>
      <c r="L51" s="14" t="str">
        <f>VLOOKUP($C51,Sheet1!$A$2:$E$10,5,0)</f>
        <v>Bin</v>
      </c>
      <c r="M51" s="14">
        <f t="shared" ref="M51:M52" si="10">J51/K51</f>
        <v>29</v>
      </c>
      <c r="N51" s="2"/>
      <c r="O51" s="2" t="s">
        <v>119</v>
      </c>
      <c r="P51" s="2" t="s">
        <v>723</v>
      </c>
    </row>
    <row r="52" spans="1:17" x14ac:dyDescent="0.25">
      <c r="A52" s="17" t="s">
        <v>661</v>
      </c>
      <c r="B52" s="2" t="s">
        <v>626</v>
      </c>
      <c r="C52" s="27" t="s">
        <v>20</v>
      </c>
      <c r="D52" s="2" t="str">
        <f>VLOOKUP($C52,Sheet1!$A$2:$D$10,2,0)</f>
        <v>141150-91211</v>
      </c>
      <c r="E52" s="8" t="s">
        <v>78</v>
      </c>
      <c r="F52" s="12">
        <v>46035</v>
      </c>
      <c r="G52" s="13">
        <v>0.77083333333333337</v>
      </c>
      <c r="H52" s="2" t="s">
        <v>71</v>
      </c>
      <c r="I52" s="2" t="s">
        <v>54</v>
      </c>
      <c r="J52" s="2">
        <v>58</v>
      </c>
      <c r="K52" s="14">
        <f>VLOOKUP($C52,Sheet1!$A$2:$D$10,4,0)</f>
        <v>2</v>
      </c>
      <c r="L52" s="14" t="str">
        <f>VLOOKUP($C52,Sheet1!$A$2:$E$10,5,0)</f>
        <v>Bin</v>
      </c>
      <c r="M52" s="14">
        <f t="shared" si="10"/>
        <v>29</v>
      </c>
      <c r="N52" s="2"/>
      <c r="O52" s="2" t="s">
        <v>119</v>
      </c>
      <c r="P52" s="2" t="s">
        <v>949</v>
      </c>
    </row>
    <row r="53" spans="1:17" x14ac:dyDescent="0.25">
      <c r="A53" s="17" t="s">
        <v>661</v>
      </c>
      <c r="B53" s="2" t="s">
        <v>631</v>
      </c>
      <c r="C53" s="27" t="s">
        <v>23</v>
      </c>
      <c r="D53" s="2" t="str">
        <f>VLOOKUP($C53,Sheet1!$A$2:$D$10,2,0)</f>
        <v>141186-74360</v>
      </c>
      <c r="E53" s="8" t="s">
        <v>85</v>
      </c>
      <c r="F53" s="12">
        <v>46035</v>
      </c>
      <c r="G53" s="13">
        <v>0.77083333333333337</v>
      </c>
      <c r="H53" s="2" t="s">
        <v>71</v>
      </c>
      <c r="I53" s="2" t="s">
        <v>54</v>
      </c>
      <c r="J53" s="2">
        <v>120</v>
      </c>
      <c r="K53" s="14">
        <f>VLOOKUP($C53,Sheet1!$A$2:$D$10,4,0)</f>
        <v>40</v>
      </c>
      <c r="L53" s="14" t="str">
        <f>VLOOKUP($C53,Sheet1!$A$2:$E$10,5,0)</f>
        <v>Trolley</v>
      </c>
      <c r="M53" s="14"/>
      <c r="N53" s="2">
        <f>J53/K53</f>
        <v>3</v>
      </c>
      <c r="O53" s="2" t="s">
        <v>119</v>
      </c>
      <c r="P53" s="2">
        <v>910105765</v>
      </c>
    </row>
    <row r="54" spans="1:17" s="11" customForma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>
        <v>58</v>
      </c>
      <c r="N54" s="10">
        <v>9</v>
      </c>
      <c r="O54" s="10"/>
      <c r="P54" s="10"/>
    </row>
    <row r="55" spans="1:17" x14ac:dyDescent="0.25">
      <c r="A55" s="17" t="s">
        <v>662</v>
      </c>
      <c r="B55" s="2" t="s">
        <v>608</v>
      </c>
      <c r="C55" s="27" t="s">
        <v>5</v>
      </c>
      <c r="D55" s="2" t="str">
        <f>VLOOKUP($C55,Sheet1!$A$2:$D$10,2,0)</f>
        <v>141110-14600</v>
      </c>
      <c r="E55" s="8" t="s">
        <v>52</v>
      </c>
      <c r="F55" s="12">
        <v>46035</v>
      </c>
      <c r="G55" s="13">
        <v>0.97916666666666663</v>
      </c>
      <c r="H55" s="2" t="s">
        <v>53</v>
      </c>
      <c r="I55" s="2" t="s">
        <v>54</v>
      </c>
      <c r="J55" s="2">
        <v>54</v>
      </c>
      <c r="K55" s="14">
        <f>VLOOKUP($C55,Sheet1!$A$2:$D$10,4,0)</f>
        <v>18</v>
      </c>
      <c r="L55" s="14" t="str">
        <f>VLOOKUP($C55,Sheet1!$A$2:$E$10,5,0)</f>
        <v>Trolley (H)</v>
      </c>
      <c r="M55" s="14"/>
      <c r="N55" s="52">
        <v>3</v>
      </c>
      <c r="O55" s="2" t="s">
        <v>359</v>
      </c>
      <c r="P55" s="2" t="s">
        <v>944</v>
      </c>
    </row>
    <row r="56" spans="1:17" x14ac:dyDescent="0.25">
      <c r="A56" s="17" t="s">
        <v>662</v>
      </c>
      <c r="B56" s="2" t="s">
        <v>612</v>
      </c>
      <c r="C56" s="27" t="s">
        <v>9</v>
      </c>
      <c r="D56" s="2" t="str">
        <f>VLOOKUP($C56,Sheet1!$A$2:$D$10,2,0)</f>
        <v>141120-14600</v>
      </c>
      <c r="E56" s="8" t="s">
        <v>60</v>
      </c>
      <c r="F56" s="12">
        <v>46035</v>
      </c>
      <c r="G56" s="13">
        <v>0.97916666666666663</v>
      </c>
      <c r="H56" s="2" t="s">
        <v>53</v>
      </c>
      <c r="I56" s="2" t="s">
        <v>54</v>
      </c>
      <c r="J56" s="2">
        <v>54</v>
      </c>
      <c r="K56" s="14">
        <f>VLOOKUP($C56,Sheet1!$A$2:$D$10,4,0)</f>
        <v>18</v>
      </c>
      <c r="L56" s="14" t="str">
        <f>VLOOKUP($C56,Sheet1!$A$2:$E$10,5,0)</f>
        <v>Trolley (H)</v>
      </c>
      <c r="M56" s="14"/>
      <c r="N56" s="53"/>
      <c r="O56" s="2" t="s">
        <v>359</v>
      </c>
      <c r="P56" s="2" t="s">
        <v>944</v>
      </c>
    </row>
    <row r="57" spans="1:17" x14ac:dyDescent="0.25">
      <c r="A57" s="17" t="s">
        <v>662</v>
      </c>
      <c r="B57" s="2" t="s">
        <v>617</v>
      </c>
      <c r="C57" s="27" t="s">
        <v>12</v>
      </c>
      <c r="D57" s="2" t="str">
        <f>VLOOKUP($C57,Sheet1!$A$2:$D$10,2,0)</f>
        <v>141185-74670</v>
      </c>
      <c r="E57" s="8" t="s">
        <v>66</v>
      </c>
      <c r="F57" s="12">
        <v>46035</v>
      </c>
      <c r="G57" s="13">
        <v>0.97916666666666663</v>
      </c>
      <c r="H57" s="2" t="s">
        <v>53</v>
      </c>
      <c r="I57" s="2" t="s">
        <v>54</v>
      </c>
      <c r="J57" s="2">
        <v>80</v>
      </c>
      <c r="K57" s="14">
        <f>VLOOKUP($C57,Sheet1!$A$2:$D$10,4,0)</f>
        <v>40</v>
      </c>
      <c r="L57" s="14" t="str">
        <f>VLOOKUP($C57,Sheet1!$A$2:$E$10,5,0)</f>
        <v>Trolley</v>
      </c>
      <c r="M57" s="14"/>
      <c r="N57" s="2">
        <f>J57/K57</f>
        <v>2</v>
      </c>
      <c r="O57" s="2" t="s">
        <v>359</v>
      </c>
      <c r="P57" s="2">
        <v>910105765</v>
      </c>
      <c r="Q57" s="40"/>
    </row>
    <row r="58" spans="1:17" x14ac:dyDescent="0.25">
      <c r="A58" s="17" t="s">
        <v>662</v>
      </c>
      <c r="B58" s="2" t="s">
        <v>622</v>
      </c>
      <c r="C58" s="27" t="s">
        <v>16</v>
      </c>
      <c r="D58" s="2" t="str">
        <f>VLOOKUP($C58,Sheet1!$A$2:$D$10,2,0)</f>
        <v>141140-91211</v>
      </c>
      <c r="E58" s="8" t="s">
        <v>70</v>
      </c>
      <c r="F58" s="12">
        <v>46035</v>
      </c>
      <c r="G58" s="13">
        <v>0.97916666666666663</v>
      </c>
      <c r="H58" s="2" t="s">
        <v>71</v>
      </c>
      <c r="I58" s="2" t="s">
        <v>54</v>
      </c>
      <c r="J58" s="2">
        <v>56</v>
      </c>
      <c r="K58" s="14">
        <f>VLOOKUP($C58,Sheet1!$A$2:$D$10,4,0)</f>
        <v>2</v>
      </c>
      <c r="L58" s="14" t="str">
        <f>VLOOKUP($C58,Sheet1!$A$2:$E$10,5,0)</f>
        <v>Bin</v>
      </c>
      <c r="M58" s="14">
        <f t="shared" ref="M58:M59" si="11">J58/K58</f>
        <v>28</v>
      </c>
      <c r="N58" s="2"/>
      <c r="O58" s="2" t="s">
        <v>359</v>
      </c>
      <c r="P58" s="2" t="s">
        <v>948</v>
      </c>
    </row>
    <row r="59" spans="1:17" x14ac:dyDescent="0.25">
      <c r="A59" s="17" t="s">
        <v>662</v>
      </c>
      <c r="B59" s="2" t="s">
        <v>627</v>
      </c>
      <c r="C59" s="27" t="s">
        <v>20</v>
      </c>
      <c r="D59" s="2" t="str">
        <f>VLOOKUP($C59,Sheet1!$A$2:$D$10,2,0)</f>
        <v>141150-91211</v>
      </c>
      <c r="E59" s="8" t="s">
        <v>78</v>
      </c>
      <c r="F59" s="12">
        <v>46035</v>
      </c>
      <c r="G59" s="13">
        <v>0.97916666666666663</v>
      </c>
      <c r="H59" s="2" t="s">
        <v>71</v>
      </c>
      <c r="I59" s="2" t="s">
        <v>54</v>
      </c>
      <c r="J59" s="2">
        <v>56</v>
      </c>
      <c r="K59" s="14">
        <f>VLOOKUP($C59,Sheet1!$A$2:$D$10,4,0)</f>
        <v>2</v>
      </c>
      <c r="L59" s="14" t="str">
        <f>VLOOKUP($C59,Sheet1!$A$2:$E$10,5,0)</f>
        <v>Bin</v>
      </c>
      <c r="M59" s="14">
        <f t="shared" si="11"/>
        <v>28</v>
      </c>
      <c r="N59" s="2"/>
      <c r="O59" s="2" t="s">
        <v>359</v>
      </c>
      <c r="P59" s="2" t="s">
        <v>949</v>
      </c>
    </row>
    <row r="60" spans="1:17" x14ac:dyDescent="0.25">
      <c r="A60" s="17" t="s">
        <v>662</v>
      </c>
      <c r="B60" s="2" t="s">
        <v>632</v>
      </c>
      <c r="C60" s="27" t="s">
        <v>23</v>
      </c>
      <c r="D60" s="2" t="str">
        <f>VLOOKUP($C60,Sheet1!$A$2:$D$10,2,0)</f>
        <v>141186-74360</v>
      </c>
      <c r="E60" s="8" t="s">
        <v>85</v>
      </c>
      <c r="F60" s="12">
        <v>46035</v>
      </c>
      <c r="G60" s="13">
        <v>0.97916666666666663</v>
      </c>
      <c r="H60" s="2" t="s">
        <v>71</v>
      </c>
      <c r="I60" s="2" t="s">
        <v>54</v>
      </c>
      <c r="J60" s="2">
        <v>80</v>
      </c>
      <c r="K60" s="14">
        <f>VLOOKUP($C60,Sheet1!$A$2:$D$10,4,0)</f>
        <v>40</v>
      </c>
      <c r="L60" s="14" t="str">
        <f>VLOOKUP($C60,Sheet1!$A$2:$E$10,5,0)</f>
        <v>Trolley</v>
      </c>
      <c r="M60" s="14"/>
      <c r="N60" s="2">
        <f>J60/K60</f>
        <v>2</v>
      </c>
      <c r="O60" s="2" t="s">
        <v>359</v>
      </c>
      <c r="P60" s="2">
        <v>910105765</v>
      </c>
    </row>
    <row r="61" spans="1:17" x14ac:dyDescent="0.25">
      <c r="A61" s="17" t="s">
        <v>663</v>
      </c>
      <c r="B61" s="2" t="s">
        <v>637</v>
      </c>
      <c r="C61" s="27" t="s">
        <v>26</v>
      </c>
      <c r="D61" s="2" t="str">
        <f>VLOOKUP($C61,Sheet1!$A$2:$D$10,2,0)</f>
        <v>116040-92240</v>
      </c>
      <c r="E61" s="8" t="s">
        <v>90</v>
      </c>
      <c r="F61" s="12">
        <v>46035</v>
      </c>
      <c r="G61" s="13">
        <v>0.97916666666666663</v>
      </c>
      <c r="H61" s="2" t="s">
        <v>91</v>
      </c>
      <c r="I61" s="2" t="s">
        <v>54</v>
      </c>
      <c r="J61" s="2">
        <v>54</v>
      </c>
      <c r="K61" s="14">
        <f>VLOOKUP($C61,Sheet1!$A$2:$D$10,4,0)</f>
        <v>6</v>
      </c>
      <c r="L61" s="14" t="str">
        <f>VLOOKUP($C61,Sheet1!$A$2:$E$10,5,0)</f>
        <v>Bin</v>
      </c>
      <c r="M61" s="14">
        <f t="shared" ref="M61:M63" si="12">J61/K61</f>
        <v>9</v>
      </c>
      <c r="N61" s="2"/>
      <c r="O61" s="2" t="s">
        <v>359</v>
      </c>
      <c r="P61" s="2" t="s">
        <v>724</v>
      </c>
    </row>
    <row r="62" spans="1:17" x14ac:dyDescent="0.25">
      <c r="A62" s="17" t="s">
        <v>663</v>
      </c>
      <c r="B62" s="2" t="s">
        <v>642</v>
      </c>
      <c r="C62" s="27" t="s">
        <v>32</v>
      </c>
      <c r="D62" s="2" t="str">
        <f>VLOOKUP($C62,Sheet1!$A$2:$D$10,2,0)</f>
        <v>114010-50820</v>
      </c>
      <c r="E62" s="8" t="s">
        <v>98</v>
      </c>
      <c r="F62" s="12">
        <v>46035</v>
      </c>
      <c r="G62" s="13">
        <v>0.97916666666666663</v>
      </c>
      <c r="H62" s="2" t="s">
        <v>91</v>
      </c>
      <c r="I62" s="2" t="s">
        <v>54</v>
      </c>
      <c r="J62" s="2">
        <v>11</v>
      </c>
      <c r="K62" s="14">
        <f>VLOOKUP($C62,Sheet1!$A$2:$D$10,4,0)</f>
        <v>1</v>
      </c>
      <c r="L62" s="14" t="str">
        <f>VLOOKUP($C62,Sheet1!$A$2:$E$10,5,0)</f>
        <v>Bin</v>
      </c>
      <c r="M62" s="14">
        <f t="shared" si="12"/>
        <v>11</v>
      </c>
      <c r="N62" s="2"/>
      <c r="O62" s="2" t="s">
        <v>359</v>
      </c>
      <c r="P62" s="2" t="s">
        <v>417</v>
      </c>
    </row>
    <row r="63" spans="1:17" x14ac:dyDescent="0.25">
      <c r="A63" s="17" t="s">
        <v>663</v>
      </c>
      <c r="B63" s="2" t="s">
        <v>647</v>
      </c>
      <c r="C63" s="27" t="s">
        <v>29</v>
      </c>
      <c r="D63" s="2" t="str">
        <f>VLOOKUP($C63,Sheet1!$A$2:$D$10,2,0)</f>
        <v>114010-50830</v>
      </c>
      <c r="E63" s="8" t="s">
        <v>98</v>
      </c>
      <c r="F63" s="12">
        <v>46035</v>
      </c>
      <c r="G63" s="13">
        <v>0.97916666666666663</v>
      </c>
      <c r="H63" s="2" t="s">
        <v>91</v>
      </c>
      <c r="I63" s="2" t="s">
        <v>54</v>
      </c>
      <c r="J63" s="2">
        <v>33</v>
      </c>
      <c r="K63" s="14">
        <f>VLOOKUP($C63,Sheet1!$A$2:$D$10,4,0)</f>
        <v>1</v>
      </c>
      <c r="L63" s="14" t="str">
        <f>VLOOKUP($C63,Sheet1!$A$2:$E$10,5,0)</f>
        <v>Bin</v>
      </c>
      <c r="M63" s="14">
        <f t="shared" si="12"/>
        <v>33</v>
      </c>
      <c r="N63" s="2"/>
      <c r="O63" s="2" t="s">
        <v>359</v>
      </c>
      <c r="P63" s="2" t="s">
        <v>947</v>
      </c>
    </row>
    <row r="64" spans="1:17" s="11" customForma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>
        <v>109</v>
      </c>
      <c r="N64" s="10">
        <v>7</v>
      </c>
      <c r="O64" s="10"/>
      <c r="P64" s="10"/>
    </row>
    <row r="65" spans="1:16" x14ac:dyDescent="0.25">
      <c r="A65" s="2"/>
      <c r="B65" s="2" t="s">
        <v>648</v>
      </c>
      <c r="C65" s="2"/>
      <c r="D65" s="2"/>
      <c r="E65" s="8"/>
      <c r="F65" s="12"/>
      <c r="G65" s="13"/>
      <c r="H65" s="2"/>
      <c r="I65" s="2"/>
      <c r="J65" s="2"/>
      <c r="K65" s="14"/>
      <c r="L65" s="14"/>
      <c r="M65" s="14"/>
      <c r="N65" s="2"/>
      <c r="O65" s="37"/>
      <c r="P65" s="2"/>
    </row>
    <row r="66" spans="1:16" x14ac:dyDescent="0.25">
      <c r="A66" s="2"/>
      <c r="B66" s="2"/>
      <c r="C66" s="2"/>
      <c r="D66" s="2"/>
      <c r="E66" s="8"/>
      <c r="F66" s="12"/>
      <c r="G66" s="13"/>
      <c r="H66" s="2"/>
      <c r="I66" s="2"/>
      <c r="J66" s="2"/>
      <c r="K66" s="14"/>
      <c r="L66" s="14"/>
      <c r="M66" s="14"/>
      <c r="N66" s="2"/>
      <c r="O66" s="37"/>
      <c r="P66" s="2"/>
    </row>
  </sheetData>
  <autoFilter ref="A3:P65" xr:uid="{91EC74DE-72FE-44DA-9275-3A744F469C04}"/>
  <mergeCells count="9">
    <mergeCell ref="N48:N49"/>
    <mergeCell ref="N55:N56"/>
    <mergeCell ref="N16:N17"/>
    <mergeCell ref="N42:N43"/>
    <mergeCell ref="A1:F1"/>
    <mergeCell ref="J1:N1"/>
    <mergeCell ref="L2:N2"/>
    <mergeCell ref="N4:N5"/>
    <mergeCell ref="N30:N31"/>
  </mergeCells>
  <conditionalFormatting sqref="B2">
    <cfRule type="duplicateValues" dxfId="87" priority="2"/>
    <cfRule type="duplicateValues" dxfId="86" priority="3"/>
  </conditionalFormatting>
  <conditionalFormatting sqref="B40:B46 B4:B14 B16:B28 B48:B53 B55:B63 B65:B66 B30:B38">
    <cfRule type="duplicateValues" dxfId="85" priority="1"/>
  </conditionalFormatting>
  <conditionalFormatting sqref="C2:D2">
    <cfRule type="duplicateValues" dxfId="84" priority="4"/>
    <cfRule type="duplicateValues" dxfId="83" priority="5"/>
  </conditionalFormatting>
  <hyperlinks>
    <hyperlink ref="B65" r:id="rId1" display="http://192.168.1.249/downloads/temp/X539_eNagare_2026112.log" xr:uid="{C18C4788-2FA2-4F9F-9C36-C0F352B5C040}"/>
  </hyperlinks>
  <pageMargins left="0.17" right="0.17" top="0.17" bottom="0.17" header="0.3" footer="0.3"/>
  <pageSetup paperSize="9" scale="55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7A6C-95CC-4303-9EE9-AB155EE4F294}">
  <sheetPr>
    <tabColor rgb="FF00B050"/>
    <pageSetUpPr fitToPage="1"/>
  </sheetPr>
  <dimension ref="A1:P64"/>
  <sheetViews>
    <sheetView topLeftCell="B10" workbookViewId="0">
      <selection activeCell="P63" sqref="P63"/>
    </sheetView>
  </sheetViews>
  <sheetFormatPr defaultColWidth="29.28515625" defaultRowHeight="15" x14ac:dyDescent="0.25"/>
  <cols>
    <col min="1" max="1" width="15.140625" bestFit="1" customWidth="1"/>
    <col min="2" max="2" width="18.28515625" customWidth="1"/>
    <col min="3" max="3" width="14.140625" bestFit="1" customWidth="1"/>
    <col min="4" max="4" width="14.140625" customWidth="1"/>
    <col min="5" max="5" width="32.5703125" bestFit="1" customWidth="1"/>
    <col min="6" max="6" width="9.2851562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2.5703125" customWidth="1"/>
    <col min="13" max="13" width="7.140625" bestFit="1" customWidth="1"/>
    <col min="14" max="14" width="7.85546875" bestFit="1" customWidth="1"/>
    <col min="15" max="15" width="10.7109375" customWidth="1"/>
    <col min="16" max="16" width="47.2851562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46038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705</v>
      </c>
      <c r="B4" s="2" t="s">
        <v>666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46038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121</v>
      </c>
      <c r="P4" s="2" t="s">
        <v>944</v>
      </c>
    </row>
    <row r="5" spans="1:16" x14ac:dyDescent="0.25">
      <c r="A5" s="17" t="s">
        <v>705</v>
      </c>
      <c r="B5" s="2" t="s">
        <v>670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46038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121</v>
      </c>
      <c r="P5" s="2" t="s">
        <v>944</v>
      </c>
    </row>
    <row r="6" spans="1:16" x14ac:dyDescent="0.25">
      <c r="A6" s="17" t="s">
        <v>705</v>
      </c>
      <c r="B6" s="2" t="s">
        <v>674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46038</v>
      </c>
      <c r="G6" s="13">
        <v>0.35416666666666669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121</v>
      </c>
      <c r="P6" s="2">
        <v>910105765</v>
      </c>
    </row>
    <row r="7" spans="1:16" x14ac:dyDescent="0.25">
      <c r="A7" s="17" t="s">
        <v>705</v>
      </c>
      <c r="B7" s="2" t="s">
        <v>678</v>
      </c>
      <c r="C7" s="27" t="s">
        <v>16</v>
      </c>
      <c r="D7" s="2" t="str">
        <f>VLOOKUP($C7,Sheet1!$A$2:$D$10,2,0)</f>
        <v>141140-91211</v>
      </c>
      <c r="E7" s="8" t="s">
        <v>70</v>
      </c>
      <c r="F7" s="12">
        <v>46038</v>
      </c>
      <c r="G7" s="13">
        <v>0.35416666666666669</v>
      </c>
      <c r="H7" s="2" t="s">
        <v>71</v>
      </c>
      <c r="I7" s="2" t="s">
        <v>54</v>
      </c>
      <c r="J7" s="2">
        <v>44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22</v>
      </c>
      <c r="N7" s="2"/>
      <c r="O7" s="2" t="s">
        <v>121</v>
      </c>
      <c r="P7" s="2" t="s">
        <v>950</v>
      </c>
    </row>
    <row r="8" spans="1:16" x14ac:dyDescent="0.25">
      <c r="A8" s="17" t="s">
        <v>705</v>
      </c>
      <c r="B8" s="2" t="s">
        <v>679</v>
      </c>
      <c r="C8" s="27" t="s">
        <v>16</v>
      </c>
      <c r="D8" s="2" t="str">
        <f>VLOOKUP($C8,Sheet1!$A$2:$D$10,2,0)</f>
        <v>141140-91211</v>
      </c>
      <c r="E8" s="8" t="s">
        <v>70</v>
      </c>
      <c r="F8" s="12">
        <v>46038</v>
      </c>
      <c r="G8" s="13">
        <v>0.35416666666666669</v>
      </c>
      <c r="H8" s="2" t="s">
        <v>71</v>
      </c>
      <c r="I8" s="2" t="s">
        <v>54</v>
      </c>
      <c r="J8" s="2">
        <v>2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:M10" si="0">J8/K8</f>
        <v>1</v>
      </c>
      <c r="N8" s="2"/>
      <c r="O8" s="2" t="s">
        <v>121</v>
      </c>
      <c r="P8" s="2" t="s">
        <v>949</v>
      </c>
    </row>
    <row r="9" spans="1:16" x14ac:dyDescent="0.25">
      <c r="A9" s="17" t="s">
        <v>705</v>
      </c>
      <c r="B9" s="2" t="s">
        <v>683</v>
      </c>
      <c r="C9" s="27" t="s">
        <v>20</v>
      </c>
      <c r="D9" s="2" t="str">
        <f>VLOOKUP($C9,Sheet1!$A$2:$D$10,2,0)</f>
        <v>141150-91211</v>
      </c>
      <c r="E9" s="8" t="s">
        <v>78</v>
      </c>
      <c r="F9" s="12">
        <v>46038</v>
      </c>
      <c r="G9" s="13">
        <v>0.35416666666666669</v>
      </c>
      <c r="H9" s="2" t="s">
        <v>71</v>
      </c>
      <c r="I9" s="2" t="s">
        <v>54</v>
      </c>
      <c r="J9" s="2">
        <v>44</v>
      </c>
      <c r="K9" s="14">
        <f>VLOOKUP($C9,Sheet1!$A$2:$D$10,4,0)</f>
        <v>2</v>
      </c>
      <c r="L9" s="14" t="str">
        <f>VLOOKUP($C9,Sheet1!$A$2:$E$10,5,0)</f>
        <v>Bin</v>
      </c>
      <c r="M9" s="14">
        <f t="shared" si="0"/>
        <v>22</v>
      </c>
      <c r="N9" s="2"/>
      <c r="O9" s="2" t="s">
        <v>121</v>
      </c>
      <c r="P9" s="2" t="s">
        <v>949</v>
      </c>
    </row>
    <row r="10" spans="1:16" x14ac:dyDescent="0.25">
      <c r="A10" s="17" t="s">
        <v>705</v>
      </c>
      <c r="B10" s="2" t="s">
        <v>684</v>
      </c>
      <c r="C10" s="27" t="s">
        <v>20</v>
      </c>
      <c r="D10" s="2" t="str">
        <f>VLOOKUP($C10,Sheet1!$A$2:$D$10,2,0)</f>
        <v>141150-91211</v>
      </c>
      <c r="E10" s="8" t="s">
        <v>78</v>
      </c>
      <c r="F10" s="12">
        <v>46038</v>
      </c>
      <c r="G10" s="13">
        <v>0.35416666666666669</v>
      </c>
      <c r="H10" s="2" t="s">
        <v>71</v>
      </c>
      <c r="I10" s="2" t="s">
        <v>54</v>
      </c>
      <c r="J10" s="2">
        <v>2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1</v>
      </c>
      <c r="N10" s="2"/>
      <c r="O10" s="2" t="s">
        <v>121</v>
      </c>
      <c r="P10" s="2" t="s">
        <v>949</v>
      </c>
    </row>
    <row r="11" spans="1:16" x14ac:dyDescent="0.25">
      <c r="A11" s="17" t="s">
        <v>705</v>
      </c>
      <c r="B11" s="2" t="s">
        <v>688</v>
      </c>
      <c r="C11" s="27" t="s">
        <v>23</v>
      </c>
      <c r="D11" s="2" t="str">
        <f>VLOOKUP($C11,Sheet1!$A$2:$D$10,2,0)</f>
        <v>141186-74360</v>
      </c>
      <c r="E11" s="8" t="s">
        <v>85</v>
      </c>
      <c r="F11" s="12">
        <v>46038</v>
      </c>
      <c r="G11" s="13">
        <v>0.35416666666666669</v>
      </c>
      <c r="H11" s="2" t="s">
        <v>71</v>
      </c>
      <c r="I11" s="2" t="s">
        <v>54</v>
      </c>
      <c r="J11" s="2">
        <v>80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>J11/K11</f>
        <v>2</v>
      </c>
      <c r="O11" s="2" t="s">
        <v>121</v>
      </c>
      <c r="P11" s="2">
        <v>910105765</v>
      </c>
    </row>
    <row r="12" spans="1:16" x14ac:dyDescent="0.25">
      <c r="A12" s="17" t="s">
        <v>706</v>
      </c>
      <c r="B12" s="2" t="s">
        <v>692</v>
      </c>
      <c r="C12" s="27" t="s">
        <v>26</v>
      </c>
      <c r="D12" s="2" t="str">
        <f>VLOOKUP($C12,Sheet1!$A$2:$D$10,2,0)</f>
        <v>116040-92240</v>
      </c>
      <c r="E12" s="8" t="s">
        <v>90</v>
      </c>
      <c r="F12" s="12">
        <v>46038</v>
      </c>
      <c r="G12" s="13">
        <v>0.35416666666666669</v>
      </c>
      <c r="H12" s="2" t="s">
        <v>91</v>
      </c>
      <c r="I12" s="2" t="s">
        <v>54</v>
      </c>
      <c r="J12" s="2">
        <v>84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ref="M12:M15" si="1">J12/K12</f>
        <v>14</v>
      </c>
      <c r="N12" s="2"/>
      <c r="O12" s="2" t="s">
        <v>121</v>
      </c>
      <c r="P12" s="2" t="s">
        <v>724</v>
      </c>
    </row>
    <row r="13" spans="1:16" x14ac:dyDescent="0.25">
      <c r="A13" s="17" t="s">
        <v>706</v>
      </c>
      <c r="B13" s="2" t="s">
        <v>696</v>
      </c>
      <c r="C13" s="27" t="s">
        <v>32</v>
      </c>
      <c r="D13" s="2" t="str">
        <f>VLOOKUP($C13,Sheet1!$A$2:$D$10,2,0)</f>
        <v>114010-50820</v>
      </c>
      <c r="E13" s="8" t="s">
        <v>98</v>
      </c>
      <c r="F13" s="12">
        <v>46038</v>
      </c>
      <c r="G13" s="13">
        <v>0.35416666666666669</v>
      </c>
      <c r="H13" s="2" t="s">
        <v>91</v>
      </c>
      <c r="I13" s="2" t="s">
        <v>54</v>
      </c>
      <c r="J13" s="2">
        <v>15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1"/>
        <v>15</v>
      </c>
      <c r="N13" s="2"/>
      <c r="O13" s="2" t="s">
        <v>121</v>
      </c>
      <c r="P13" s="2" t="s">
        <v>417</v>
      </c>
    </row>
    <row r="14" spans="1:16" x14ac:dyDescent="0.25">
      <c r="A14" s="17" t="s">
        <v>706</v>
      </c>
      <c r="B14" s="2" t="s">
        <v>697</v>
      </c>
      <c r="C14" s="27" t="s">
        <v>32</v>
      </c>
      <c r="D14" s="2" t="str">
        <f>VLOOKUP($C14,Sheet1!$A$2:$D$10,2,0)</f>
        <v>114010-50820</v>
      </c>
      <c r="E14" s="8" t="s">
        <v>98</v>
      </c>
      <c r="F14" s="12">
        <v>46038</v>
      </c>
      <c r="G14" s="13">
        <v>0.35416666666666669</v>
      </c>
      <c r="H14" s="2" t="s">
        <v>91</v>
      </c>
      <c r="I14" s="2" t="s">
        <v>54</v>
      </c>
      <c r="J14" s="2">
        <v>3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1"/>
        <v>3</v>
      </c>
      <c r="N14" s="2"/>
      <c r="O14" s="2" t="s">
        <v>121</v>
      </c>
      <c r="P14" s="2" t="s">
        <v>417</v>
      </c>
    </row>
    <row r="15" spans="1:16" x14ac:dyDescent="0.25">
      <c r="A15" s="17" t="s">
        <v>706</v>
      </c>
      <c r="B15" s="2" t="s">
        <v>701</v>
      </c>
      <c r="C15" s="27" t="s">
        <v>29</v>
      </c>
      <c r="D15" s="2" t="str">
        <f>VLOOKUP($C15,Sheet1!$A$2:$D$10,2,0)</f>
        <v>114010-50830</v>
      </c>
      <c r="E15" s="8" t="s">
        <v>98</v>
      </c>
      <c r="F15" s="12">
        <v>46038</v>
      </c>
      <c r="G15" s="13">
        <v>0.35416666666666669</v>
      </c>
      <c r="H15" s="2" t="s">
        <v>91</v>
      </c>
      <c r="I15" s="2" t="s">
        <v>54</v>
      </c>
      <c r="J15" s="2">
        <v>40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1"/>
        <v>40</v>
      </c>
      <c r="N15" s="2"/>
      <c r="O15" s="2" t="s">
        <v>121</v>
      </c>
      <c r="P15" s="2" t="s">
        <v>947</v>
      </c>
    </row>
    <row r="16" spans="1:16" s="11" customForma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v>118</v>
      </c>
      <c r="N16" s="10">
        <v>7</v>
      </c>
      <c r="O16" s="10"/>
      <c r="P16" s="10"/>
    </row>
    <row r="17" spans="1:16" x14ac:dyDescent="0.25">
      <c r="A17" s="17" t="s">
        <v>707</v>
      </c>
      <c r="B17" s="2" t="s">
        <v>666</v>
      </c>
      <c r="C17" s="27" t="s">
        <v>5</v>
      </c>
      <c r="D17" s="2" t="str">
        <f>VLOOKUP($C17,Sheet1!$A$2:$D$10,2,0)</f>
        <v>141110-14600</v>
      </c>
      <c r="E17" s="8" t="s">
        <v>52</v>
      </c>
      <c r="F17" s="12">
        <v>46038</v>
      </c>
      <c r="G17" s="13">
        <v>0.35416666666666669</v>
      </c>
      <c r="H17" s="2" t="s">
        <v>53</v>
      </c>
      <c r="I17" s="2" t="s">
        <v>54</v>
      </c>
      <c r="J17" s="2">
        <v>36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2">
        <v>2</v>
      </c>
      <c r="O17" s="2" t="s">
        <v>122</v>
      </c>
      <c r="P17" s="2" t="s">
        <v>944</v>
      </c>
    </row>
    <row r="18" spans="1:16" x14ac:dyDescent="0.25">
      <c r="A18" s="17" t="s">
        <v>707</v>
      </c>
      <c r="B18" s="2" t="s">
        <v>670</v>
      </c>
      <c r="C18" s="27" t="s">
        <v>9</v>
      </c>
      <c r="D18" s="2" t="str">
        <f>VLOOKUP($C18,Sheet1!$A$2:$D$10,2,0)</f>
        <v>141120-14600</v>
      </c>
      <c r="E18" s="8" t="s">
        <v>60</v>
      </c>
      <c r="F18" s="12">
        <v>46038</v>
      </c>
      <c r="G18" s="13">
        <v>0.35416666666666669</v>
      </c>
      <c r="H18" s="2" t="s">
        <v>53</v>
      </c>
      <c r="I18" s="2" t="s">
        <v>54</v>
      </c>
      <c r="J18" s="2">
        <v>36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3"/>
      <c r="O18" s="2" t="s">
        <v>122</v>
      </c>
      <c r="P18" s="2" t="s">
        <v>944</v>
      </c>
    </row>
    <row r="19" spans="1:16" x14ac:dyDescent="0.25">
      <c r="A19" s="17" t="s">
        <v>707</v>
      </c>
      <c r="B19" s="2" t="s">
        <v>674</v>
      </c>
      <c r="C19" s="27" t="s">
        <v>12</v>
      </c>
      <c r="D19" s="2" t="str">
        <f>VLOOKUP($C19,Sheet1!$A$2:$D$10,2,0)</f>
        <v>141185-74670</v>
      </c>
      <c r="E19" s="8" t="s">
        <v>66</v>
      </c>
      <c r="F19" s="12">
        <v>46038</v>
      </c>
      <c r="G19" s="13">
        <v>0.35416666666666669</v>
      </c>
      <c r="H19" s="2" t="s">
        <v>53</v>
      </c>
      <c r="I19" s="2" t="s">
        <v>54</v>
      </c>
      <c r="J19" s="2">
        <v>80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2</v>
      </c>
      <c r="O19" s="2" t="s">
        <v>122</v>
      </c>
      <c r="P19" s="2">
        <v>910105765</v>
      </c>
    </row>
    <row r="20" spans="1:16" x14ac:dyDescent="0.25">
      <c r="A20" s="17" t="s">
        <v>707</v>
      </c>
      <c r="B20" s="2" t="s">
        <v>678</v>
      </c>
      <c r="C20" s="27" t="s">
        <v>16</v>
      </c>
      <c r="D20" s="2" t="str">
        <f>VLOOKUP($C20,Sheet1!$A$2:$D$10,2,0)</f>
        <v>141140-91211</v>
      </c>
      <c r="E20" s="8" t="s">
        <v>70</v>
      </c>
      <c r="F20" s="12">
        <v>46038</v>
      </c>
      <c r="G20" s="13">
        <v>0.35416666666666669</v>
      </c>
      <c r="H20" s="2" t="s">
        <v>71</v>
      </c>
      <c r="I20" s="2" t="s">
        <v>54</v>
      </c>
      <c r="J20" s="2">
        <v>42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21</v>
      </c>
      <c r="N20" s="2"/>
      <c r="O20" s="2" t="s">
        <v>122</v>
      </c>
      <c r="P20" s="2" t="s">
        <v>951</v>
      </c>
    </row>
    <row r="21" spans="1:16" x14ac:dyDescent="0.25">
      <c r="A21" s="17" t="s">
        <v>707</v>
      </c>
      <c r="B21" s="2" t="s">
        <v>683</v>
      </c>
      <c r="C21" s="27" t="s">
        <v>20</v>
      </c>
      <c r="D21" s="2" t="str">
        <f>VLOOKUP($C21,Sheet1!$A$2:$D$10,2,0)</f>
        <v>141150-91211</v>
      </c>
      <c r="E21" s="8" t="s">
        <v>78</v>
      </c>
      <c r="F21" s="12">
        <v>46038</v>
      </c>
      <c r="G21" s="13">
        <v>0.35416666666666669</v>
      </c>
      <c r="H21" s="2" t="s">
        <v>71</v>
      </c>
      <c r="I21" s="2" t="s">
        <v>54</v>
      </c>
      <c r="J21" s="2">
        <v>42</v>
      </c>
      <c r="K21" s="14">
        <f>VLOOKUP($C21,Sheet1!$A$2:$D$10,4,0)</f>
        <v>2</v>
      </c>
      <c r="L21" s="14" t="str">
        <f>VLOOKUP($C21,Sheet1!$A$2:$E$10,5,0)</f>
        <v>Bin</v>
      </c>
      <c r="M21" s="14">
        <f t="shared" ref="M21" si="2">J21/K21</f>
        <v>21</v>
      </c>
      <c r="N21" s="2"/>
      <c r="O21" s="2" t="s">
        <v>122</v>
      </c>
      <c r="P21" s="2" t="s">
        <v>948</v>
      </c>
    </row>
    <row r="22" spans="1:16" x14ac:dyDescent="0.25">
      <c r="A22" s="17" t="s">
        <v>707</v>
      </c>
      <c r="B22" s="2" t="s">
        <v>688</v>
      </c>
      <c r="C22" s="27" t="s">
        <v>23</v>
      </c>
      <c r="D22" s="2" t="str">
        <f>VLOOKUP($C22,Sheet1!$A$2:$D$10,2,0)</f>
        <v>141186-74360</v>
      </c>
      <c r="E22" s="8" t="s">
        <v>85</v>
      </c>
      <c r="F22" s="12">
        <v>46038</v>
      </c>
      <c r="G22" s="13">
        <v>0.35416666666666669</v>
      </c>
      <c r="H22" s="2" t="s">
        <v>71</v>
      </c>
      <c r="I22" s="2" t="s">
        <v>54</v>
      </c>
      <c r="J22" s="2">
        <v>80</v>
      </c>
      <c r="K22" s="14">
        <f>VLOOKUP($C22,Sheet1!$A$2:$D$10,4,0)</f>
        <v>40</v>
      </c>
      <c r="L22" s="14" t="str">
        <f>VLOOKUP($C22,Sheet1!$A$2:$E$10,5,0)</f>
        <v>Trolley</v>
      </c>
      <c r="M22" s="14"/>
      <c r="N22" s="2">
        <f>J22/K22</f>
        <v>2</v>
      </c>
      <c r="O22" s="2" t="s">
        <v>122</v>
      </c>
      <c r="P22" s="2">
        <v>910105765</v>
      </c>
    </row>
    <row r="23" spans="1:16" x14ac:dyDescent="0.25">
      <c r="A23" s="17" t="s">
        <v>708</v>
      </c>
      <c r="B23" s="2" t="s">
        <v>696</v>
      </c>
      <c r="C23" s="27" t="s">
        <v>32</v>
      </c>
      <c r="D23" s="2" t="str">
        <f>VLOOKUP($C23,Sheet1!$A$2:$D$10,2,0)</f>
        <v>114010-50820</v>
      </c>
      <c r="E23" s="8" t="s">
        <v>98</v>
      </c>
      <c r="F23" s="12">
        <v>46038</v>
      </c>
      <c r="G23" s="13">
        <v>0.35416666666666669</v>
      </c>
      <c r="H23" s="2" t="s">
        <v>91</v>
      </c>
      <c r="I23" s="2" t="s">
        <v>54</v>
      </c>
      <c r="J23" s="2">
        <v>15</v>
      </c>
      <c r="K23" s="14">
        <f>VLOOKUP($C23,Sheet1!$A$2:$D$10,4,0)</f>
        <v>1</v>
      </c>
      <c r="L23" s="14" t="str">
        <f>VLOOKUP($C23,Sheet1!$A$2:$E$10,5,0)</f>
        <v>Bin</v>
      </c>
      <c r="M23" s="14">
        <f t="shared" ref="M23:M24" si="3">J23/K23</f>
        <v>15</v>
      </c>
      <c r="N23" s="2"/>
      <c r="O23" s="2" t="s">
        <v>122</v>
      </c>
      <c r="P23" s="2" t="s">
        <v>417</v>
      </c>
    </row>
    <row r="24" spans="1:16" ht="15.75" thickBot="1" x14ac:dyDescent="0.3">
      <c r="A24" s="17" t="s">
        <v>708</v>
      </c>
      <c r="B24" s="2" t="s">
        <v>701</v>
      </c>
      <c r="C24" s="27" t="s">
        <v>29</v>
      </c>
      <c r="D24" s="2" t="str">
        <f>VLOOKUP($C24,Sheet1!$A$2:$D$10,2,0)</f>
        <v>114010-50830</v>
      </c>
      <c r="E24" s="8" t="s">
        <v>98</v>
      </c>
      <c r="F24" s="12">
        <v>46038</v>
      </c>
      <c r="G24" s="15">
        <v>0.35416666666666669</v>
      </c>
      <c r="H24" s="2" t="s">
        <v>91</v>
      </c>
      <c r="I24" s="2" t="s">
        <v>54</v>
      </c>
      <c r="J24" s="2">
        <v>16</v>
      </c>
      <c r="K24" s="14">
        <f>VLOOKUP($C24,Sheet1!$A$2:$D$10,4,0)</f>
        <v>1</v>
      </c>
      <c r="L24" s="14" t="str">
        <f>VLOOKUP($C24,Sheet1!$A$2:$E$10,5,0)</f>
        <v>Bin</v>
      </c>
      <c r="M24" s="14">
        <f t="shared" si="3"/>
        <v>16</v>
      </c>
      <c r="N24" s="2"/>
      <c r="O24" s="2" t="s">
        <v>122</v>
      </c>
      <c r="P24" s="2" t="s">
        <v>947</v>
      </c>
    </row>
    <row r="25" spans="1:16" ht="15.75" thickTop="1" x14ac:dyDescent="0.25">
      <c r="A25" s="17" t="s">
        <v>709</v>
      </c>
      <c r="B25" s="2" t="s">
        <v>702</v>
      </c>
      <c r="C25" s="27" t="s">
        <v>29</v>
      </c>
      <c r="D25" s="2" t="str">
        <f>VLOOKUP($C25,Sheet1!$A$2:$D$10,2,0)</f>
        <v>114010-50830</v>
      </c>
      <c r="E25" s="8" t="s">
        <v>98</v>
      </c>
      <c r="F25" s="12">
        <v>46038</v>
      </c>
      <c r="G25" s="38">
        <v>0.5625</v>
      </c>
      <c r="H25" s="2" t="s">
        <v>91</v>
      </c>
      <c r="I25" s="2" t="s">
        <v>54</v>
      </c>
      <c r="J25" s="2">
        <v>48</v>
      </c>
      <c r="K25" s="14">
        <f>VLOOKUP($C25,Sheet1!$A$2:$D$10,4,0)</f>
        <v>1</v>
      </c>
      <c r="L25" s="14" t="str">
        <f>VLOOKUP($C25,Sheet1!$A$2:$E$10,5,0)</f>
        <v>Bin</v>
      </c>
      <c r="M25" s="14">
        <f>J25/K25</f>
        <v>48</v>
      </c>
      <c r="N25" s="2"/>
      <c r="O25" s="2" t="s">
        <v>122</v>
      </c>
      <c r="P25" s="2" t="s">
        <v>947</v>
      </c>
    </row>
    <row r="26" spans="1:16" s="11" customForma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>
        <v>121</v>
      </c>
      <c r="N26" s="10">
        <v>6</v>
      </c>
      <c r="O26" s="10"/>
      <c r="P26" s="10"/>
    </row>
    <row r="27" spans="1:16" x14ac:dyDescent="0.25">
      <c r="A27" s="17" t="s">
        <v>710</v>
      </c>
      <c r="B27" s="2" t="s">
        <v>667</v>
      </c>
      <c r="C27" s="27" t="s">
        <v>5</v>
      </c>
      <c r="D27" s="2" t="str">
        <f>VLOOKUP($C27,Sheet1!$A$2:$D$10,2,0)</f>
        <v>141110-14600</v>
      </c>
      <c r="E27" s="8" t="s">
        <v>52</v>
      </c>
      <c r="F27" s="12">
        <v>46038</v>
      </c>
      <c r="G27" s="13">
        <v>0.5625</v>
      </c>
      <c r="H27" s="2" t="s">
        <v>53</v>
      </c>
      <c r="I27" s="2" t="s">
        <v>54</v>
      </c>
      <c r="J27" s="2">
        <v>54</v>
      </c>
      <c r="K27" s="14">
        <f>VLOOKUP($C27,Sheet1!$A$2:$D$10,4,0)</f>
        <v>18</v>
      </c>
      <c r="L27" s="14" t="str">
        <f>VLOOKUP($C27,Sheet1!$A$2:$E$10,5,0)</f>
        <v>Trolley (H)</v>
      </c>
      <c r="M27" s="14"/>
      <c r="N27" s="52">
        <v>3</v>
      </c>
      <c r="O27" s="2" t="s">
        <v>359</v>
      </c>
      <c r="P27" s="2" t="s">
        <v>944</v>
      </c>
    </row>
    <row r="28" spans="1:16" x14ac:dyDescent="0.25">
      <c r="A28" s="17" t="s">
        <v>710</v>
      </c>
      <c r="B28" s="2" t="s">
        <v>671</v>
      </c>
      <c r="C28" s="27" t="s">
        <v>9</v>
      </c>
      <c r="D28" s="2" t="str">
        <f>VLOOKUP($C28,Sheet1!$A$2:$D$10,2,0)</f>
        <v>141120-14600</v>
      </c>
      <c r="E28" s="8" t="s">
        <v>60</v>
      </c>
      <c r="F28" s="12">
        <v>46038</v>
      </c>
      <c r="G28" s="13">
        <v>0.5625</v>
      </c>
      <c r="H28" s="2" t="s">
        <v>53</v>
      </c>
      <c r="I28" s="2" t="s">
        <v>54</v>
      </c>
      <c r="J28" s="2">
        <v>54</v>
      </c>
      <c r="K28" s="14">
        <f>VLOOKUP($C28,Sheet1!$A$2:$D$10,4,0)</f>
        <v>18</v>
      </c>
      <c r="L28" s="14" t="str">
        <f>VLOOKUP($C28,Sheet1!$A$2:$E$10,5,0)</f>
        <v>Trolley (H)</v>
      </c>
      <c r="M28" s="14"/>
      <c r="N28" s="53"/>
      <c r="O28" s="2" t="s">
        <v>359</v>
      </c>
      <c r="P28" s="2" t="s">
        <v>944</v>
      </c>
    </row>
    <row r="29" spans="1:16" x14ac:dyDescent="0.25">
      <c r="A29" s="17" t="s">
        <v>710</v>
      </c>
      <c r="B29" s="2" t="s">
        <v>675</v>
      </c>
      <c r="C29" s="27" t="s">
        <v>12</v>
      </c>
      <c r="D29" s="2" t="str">
        <f>VLOOKUP($C29,Sheet1!$A$2:$D$10,2,0)</f>
        <v>141185-74670</v>
      </c>
      <c r="E29" s="8" t="s">
        <v>66</v>
      </c>
      <c r="F29" s="12">
        <v>46038</v>
      </c>
      <c r="G29" s="13">
        <v>0.5625</v>
      </c>
      <c r="H29" s="2" t="s">
        <v>53</v>
      </c>
      <c r="I29" s="2" t="s">
        <v>54</v>
      </c>
      <c r="J29" s="2">
        <v>120</v>
      </c>
      <c r="K29" s="14">
        <f>VLOOKUP($C29,Sheet1!$A$2:$D$10,4,0)</f>
        <v>40</v>
      </c>
      <c r="L29" s="14" t="str">
        <f>VLOOKUP($C29,Sheet1!$A$2:$E$10,5,0)</f>
        <v>Trolley</v>
      </c>
      <c r="M29" s="14"/>
      <c r="N29" s="2">
        <f>J29/K29</f>
        <v>3</v>
      </c>
      <c r="O29" s="2" t="s">
        <v>359</v>
      </c>
      <c r="P29" s="2" t="s">
        <v>952</v>
      </c>
    </row>
    <row r="30" spans="1:16" x14ac:dyDescent="0.25">
      <c r="A30" s="17" t="s">
        <v>710</v>
      </c>
      <c r="B30" s="2" t="s">
        <v>680</v>
      </c>
      <c r="C30" s="27" t="s">
        <v>16</v>
      </c>
      <c r="D30" s="2" t="str">
        <f>VLOOKUP($C30,Sheet1!$A$2:$D$10,2,0)</f>
        <v>141140-91211</v>
      </c>
      <c r="E30" s="8" t="s">
        <v>70</v>
      </c>
      <c r="F30" s="12">
        <v>46038</v>
      </c>
      <c r="G30" s="13">
        <v>0.5625</v>
      </c>
      <c r="H30" s="2" t="s">
        <v>71</v>
      </c>
      <c r="I30" s="2" t="s">
        <v>54</v>
      </c>
      <c r="J30" s="2">
        <v>60</v>
      </c>
      <c r="K30" s="14">
        <f>VLOOKUP($C30,Sheet1!$A$2:$D$10,4,0)</f>
        <v>2</v>
      </c>
      <c r="L30" s="14" t="str">
        <f>VLOOKUP($C30,Sheet1!$A$2:$E$10,5,0)</f>
        <v>Bin</v>
      </c>
      <c r="M30" s="14">
        <f t="shared" ref="M30:M31" si="4">J30/K30</f>
        <v>30</v>
      </c>
      <c r="N30" s="2"/>
      <c r="O30" s="2" t="s">
        <v>359</v>
      </c>
      <c r="P30" s="2" t="s">
        <v>739</v>
      </c>
    </row>
    <row r="31" spans="1:16" x14ac:dyDescent="0.25">
      <c r="A31" s="17" t="s">
        <v>710</v>
      </c>
      <c r="B31" s="2" t="s">
        <v>685</v>
      </c>
      <c r="C31" s="27" t="s">
        <v>20</v>
      </c>
      <c r="D31" s="2" t="str">
        <f>VLOOKUP($C31,Sheet1!$A$2:$D$10,2,0)</f>
        <v>141150-91211</v>
      </c>
      <c r="E31" s="8" t="s">
        <v>78</v>
      </c>
      <c r="F31" s="12">
        <v>46038</v>
      </c>
      <c r="G31" s="13">
        <v>0.5625</v>
      </c>
      <c r="H31" s="2" t="s">
        <v>71</v>
      </c>
      <c r="I31" s="2" t="s">
        <v>54</v>
      </c>
      <c r="J31" s="2">
        <v>60</v>
      </c>
      <c r="K31" s="14">
        <f>VLOOKUP($C31,Sheet1!$A$2:$D$10,4,0)</f>
        <v>2</v>
      </c>
      <c r="L31" s="14" t="str">
        <f>VLOOKUP($C31,Sheet1!$A$2:$E$10,5,0)</f>
        <v>Bin</v>
      </c>
      <c r="M31" s="14">
        <f t="shared" si="4"/>
        <v>30</v>
      </c>
      <c r="N31" s="2"/>
      <c r="O31" s="2" t="s">
        <v>359</v>
      </c>
      <c r="P31" s="2" t="s">
        <v>949</v>
      </c>
    </row>
    <row r="32" spans="1:16" x14ac:dyDescent="0.25">
      <c r="A32" s="17" t="s">
        <v>710</v>
      </c>
      <c r="B32" s="2" t="s">
        <v>689</v>
      </c>
      <c r="C32" s="27" t="s">
        <v>23</v>
      </c>
      <c r="D32" s="2" t="str">
        <f>VLOOKUP($C32,Sheet1!$A$2:$D$10,2,0)</f>
        <v>141186-74360</v>
      </c>
      <c r="E32" s="8" t="s">
        <v>85</v>
      </c>
      <c r="F32" s="12">
        <v>46038</v>
      </c>
      <c r="G32" s="13">
        <v>0.5625</v>
      </c>
      <c r="H32" s="2" t="s">
        <v>71</v>
      </c>
      <c r="I32" s="2" t="s">
        <v>54</v>
      </c>
      <c r="J32" s="2">
        <v>120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>J32/K32</f>
        <v>3</v>
      </c>
      <c r="O32" s="2" t="s">
        <v>359</v>
      </c>
      <c r="P32" s="2">
        <v>910105765</v>
      </c>
    </row>
    <row r="33" spans="1:16" x14ac:dyDescent="0.25">
      <c r="A33" s="17" t="s">
        <v>711</v>
      </c>
      <c r="B33" s="2" t="s">
        <v>693</v>
      </c>
      <c r="C33" s="27" t="s">
        <v>26</v>
      </c>
      <c r="D33" s="2" t="str">
        <f>VLOOKUP($C33,Sheet1!$A$2:$D$10,2,0)</f>
        <v>116040-92240</v>
      </c>
      <c r="E33" s="8" t="s">
        <v>90</v>
      </c>
      <c r="F33" s="12">
        <v>46038</v>
      </c>
      <c r="G33" s="13">
        <v>0.5625</v>
      </c>
      <c r="H33" s="2" t="s">
        <v>91</v>
      </c>
      <c r="I33" s="2" t="s">
        <v>54</v>
      </c>
      <c r="J33" s="2">
        <v>60</v>
      </c>
      <c r="K33" s="14">
        <f>VLOOKUP($C33,Sheet1!$A$2:$D$10,4,0)</f>
        <v>6</v>
      </c>
      <c r="L33" s="14" t="str">
        <f>VLOOKUP($C33,Sheet1!$A$2:$E$10,5,0)</f>
        <v>Bin</v>
      </c>
      <c r="M33" s="14">
        <f t="shared" ref="M33:M34" si="5">J33/K33</f>
        <v>10</v>
      </c>
      <c r="N33" s="2"/>
      <c r="O33" s="2" t="s">
        <v>359</v>
      </c>
      <c r="P33" s="2" t="s">
        <v>953</v>
      </c>
    </row>
    <row r="34" spans="1:16" x14ac:dyDescent="0.25">
      <c r="A34" s="17" t="s">
        <v>711</v>
      </c>
      <c r="B34" s="2" t="s">
        <v>698</v>
      </c>
      <c r="C34" s="27" t="s">
        <v>32</v>
      </c>
      <c r="D34" s="2" t="str">
        <f>VLOOKUP($C34,Sheet1!$A$2:$D$10,2,0)</f>
        <v>114010-50820</v>
      </c>
      <c r="E34" s="8" t="s">
        <v>98</v>
      </c>
      <c r="F34" s="12">
        <v>46038</v>
      </c>
      <c r="G34" s="13">
        <v>0.5625</v>
      </c>
      <c r="H34" s="2" t="s">
        <v>91</v>
      </c>
      <c r="I34" s="2" t="s">
        <v>54</v>
      </c>
      <c r="J34" s="2">
        <v>19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si="5"/>
        <v>19</v>
      </c>
      <c r="N34" s="2"/>
      <c r="O34" s="2" t="s">
        <v>359</v>
      </c>
      <c r="P34" s="2" t="s">
        <v>417</v>
      </c>
    </row>
    <row r="35" spans="1:16" s="11" customForma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>
        <v>89</v>
      </c>
      <c r="N35" s="10">
        <v>9</v>
      </c>
      <c r="O35" s="10"/>
      <c r="P35" s="10"/>
    </row>
    <row r="36" spans="1:16" x14ac:dyDescent="0.25">
      <c r="A36" s="17" t="s">
        <v>712</v>
      </c>
      <c r="B36" s="2" t="s">
        <v>668</v>
      </c>
      <c r="C36" s="27" t="s">
        <v>5</v>
      </c>
      <c r="D36" s="2" t="str">
        <f>VLOOKUP($C36,Sheet1!$A$2:$D$10,2,0)</f>
        <v>141110-14600</v>
      </c>
      <c r="E36" s="8" t="s">
        <v>52</v>
      </c>
      <c r="F36" s="12">
        <v>46038</v>
      </c>
      <c r="G36" s="13">
        <v>0.77083333333333337</v>
      </c>
      <c r="H36" s="2" t="s">
        <v>53</v>
      </c>
      <c r="I36" s="2" t="s">
        <v>54</v>
      </c>
      <c r="J36" s="2">
        <v>54</v>
      </c>
      <c r="K36" s="14">
        <f>VLOOKUP($C36,Sheet1!$A$2:$D$10,4,0)</f>
        <v>18</v>
      </c>
      <c r="L36" s="14" t="str">
        <f>VLOOKUP($C36,Sheet1!$A$2:$E$10,5,0)</f>
        <v>Trolley (H)</v>
      </c>
      <c r="M36" s="14"/>
      <c r="N36" s="52">
        <v>3</v>
      </c>
      <c r="O36" s="2" t="s">
        <v>119</v>
      </c>
      <c r="P36" s="2" t="s">
        <v>1861</v>
      </c>
    </row>
    <row r="37" spans="1:16" x14ac:dyDescent="0.25">
      <c r="A37" s="17" t="s">
        <v>712</v>
      </c>
      <c r="B37" s="2" t="s">
        <v>672</v>
      </c>
      <c r="C37" s="27" t="s">
        <v>9</v>
      </c>
      <c r="D37" s="2" t="str">
        <f>VLOOKUP($C37,Sheet1!$A$2:$D$10,2,0)</f>
        <v>141120-14600</v>
      </c>
      <c r="E37" s="8" t="s">
        <v>60</v>
      </c>
      <c r="F37" s="12">
        <v>46038</v>
      </c>
      <c r="G37" s="13">
        <v>0.77083333333333337</v>
      </c>
      <c r="H37" s="2" t="s">
        <v>53</v>
      </c>
      <c r="I37" s="2" t="s">
        <v>54</v>
      </c>
      <c r="J37" s="2">
        <v>54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3"/>
      <c r="O37" s="2" t="s">
        <v>119</v>
      </c>
      <c r="P37" s="2" t="s">
        <v>1862</v>
      </c>
    </row>
    <row r="38" spans="1:16" x14ac:dyDescent="0.25">
      <c r="A38" s="17" t="s">
        <v>712</v>
      </c>
      <c r="B38" s="2" t="s">
        <v>676</v>
      </c>
      <c r="C38" s="27" t="s">
        <v>12</v>
      </c>
      <c r="D38" s="2" t="str">
        <f>VLOOKUP($C38,Sheet1!$A$2:$D$10,2,0)</f>
        <v>141185-74670</v>
      </c>
      <c r="E38" s="8" t="s">
        <v>66</v>
      </c>
      <c r="F38" s="12">
        <v>46038</v>
      </c>
      <c r="G38" s="13">
        <v>0.77083333333333337</v>
      </c>
      <c r="H38" s="2" t="s">
        <v>53</v>
      </c>
      <c r="I38" s="2" t="s">
        <v>54</v>
      </c>
      <c r="J38" s="2">
        <v>120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3</v>
      </c>
      <c r="O38" s="2" t="s">
        <v>119</v>
      </c>
      <c r="P38" s="2">
        <v>910106059</v>
      </c>
    </row>
    <row r="39" spans="1:16" x14ac:dyDescent="0.25">
      <c r="A39" s="17" t="s">
        <v>712</v>
      </c>
      <c r="B39" s="2" t="s">
        <v>681</v>
      </c>
      <c r="C39" s="27" t="s">
        <v>16</v>
      </c>
      <c r="D39" s="2" t="str">
        <f>VLOOKUP($C39,Sheet1!$A$2:$D$10,2,0)</f>
        <v>141140-91211</v>
      </c>
      <c r="E39" s="8" t="s">
        <v>70</v>
      </c>
      <c r="F39" s="12">
        <v>46038</v>
      </c>
      <c r="G39" s="13">
        <v>0.77083333333333337</v>
      </c>
      <c r="H39" s="2" t="s">
        <v>71</v>
      </c>
      <c r="I39" s="2" t="s">
        <v>54</v>
      </c>
      <c r="J39" s="2">
        <v>52</v>
      </c>
      <c r="K39" s="14">
        <f>VLOOKUP($C39,Sheet1!$A$2:$D$10,4,0)</f>
        <v>2</v>
      </c>
      <c r="L39" s="14" t="str">
        <f>VLOOKUP($C39,Sheet1!$A$2:$E$10,5,0)</f>
        <v>Bin</v>
      </c>
      <c r="M39" s="14">
        <f t="shared" ref="M39:M40" si="6">J39/K39</f>
        <v>26</v>
      </c>
      <c r="N39" s="2"/>
      <c r="O39" s="2" t="s">
        <v>119</v>
      </c>
      <c r="P39" s="2" t="s">
        <v>739</v>
      </c>
    </row>
    <row r="40" spans="1:16" x14ac:dyDescent="0.25">
      <c r="A40" s="17" t="s">
        <v>712</v>
      </c>
      <c r="B40" s="2" t="s">
        <v>686</v>
      </c>
      <c r="C40" s="27" t="s">
        <v>20</v>
      </c>
      <c r="D40" s="2" t="str">
        <f>VLOOKUP($C40,Sheet1!$A$2:$D$10,2,0)</f>
        <v>141150-91211</v>
      </c>
      <c r="E40" s="8" t="s">
        <v>78</v>
      </c>
      <c r="F40" s="12">
        <v>46038</v>
      </c>
      <c r="G40" s="13">
        <v>0.77083333333333337</v>
      </c>
      <c r="H40" s="2" t="s">
        <v>71</v>
      </c>
      <c r="I40" s="2" t="s">
        <v>54</v>
      </c>
      <c r="J40" s="2">
        <v>52</v>
      </c>
      <c r="K40" s="14">
        <f>VLOOKUP($C40,Sheet1!$A$2:$D$10,4,0)</f>
        <v>2</v>
      </c>
      <c r="L40" s="14" t="str">
        <f>VLOOKUP($C40,Sheet1!$A$2:$E$10,5,0)</f>
        <v>Bin</v>
      </c>
      <c r="M40" s="14">
        <f t="shared" si="6"/>
        <v>26</v>
      </c>
      <c r="N40" s="2"/>
      <c r="O40" s="2" t="s">
        <v>119</v>
      </c>
      <c r="P40" s="2" t="s">
        <v>1863</v>
      </c>
    </row>
    <row r="41" spans="1:16" x14ac:dyDescent="0.25">
      <c r="A41" s="17" t="s">
        <v>712</v>
      </c>
      <c r="B41" s="2" t="s">
        <v>690</v>
      </c>
      <c r="C41" s="27" t="s">
        <v>23</v>
      </c>
      <c r="D41" s="2" t="str">
        <f>VLOOKUP($C41,Sheet1!$A$2:$D$10,2,0)</f>
        <v>141186-74360</v>
      </c>
      <c r="E41" s="8" t="s">
        <v>85</v>
      </c>
      <c r="F41" s="12">
        <v>46038</v>
      </c>
      <c r="G41" s="13">
        <v>0.77083333333333337</v>
      </c>
      <c r="H41" s="2" t="s">
        <v>71</v>
      </c>
      <c r="I41" s="2" t="s">
        <v>54</v>
      </c>
      <c r="J41" s="2">
        <v>120</v>
      </c>
      <c r="K41" s="14">
        <f>VLOOKUP($C41,Sheet1!$A$2:$D$10,4,0)</f>
        <v>40</v>
      </c>
      <c r="L41" s="14" t="str">
        <f>VLOOKUP($C41,Sheet1!$A$2:$E$10,5,0)</f>
        <v>Trolley</v>
      </c>
      <c r="M41" s="14"/>
      <c r="N41" s="2">
        <f>J41/K41</f>
        <v>3</v>
      </c>
      <c r="O41" s="2" t="s">
        <v>119</v>
      </c>
      <c r="P41" s="2">
        <v>910105765</v>
      </c>
    </row>
    <row r="42" spans="1:16" x14ac:dyDescent="0.25">
      <c r="A42" s="17" t="s">
        <v>713</v>
      </c>
      <c r="B42" s="2" t="s">
        <v>694</v>
      </c>
      <c r="C42" s="27" t="s">
        <v>26</v>
      </c>
      <c r="D42" s="2" t="str">
        <f>VLOOKUP($C42,Sheet1!$A$2:$D$10,2,0)</f>
        <v>116040-92240</v>
      </c>
      <c r="E42" s="8" t="s">
        <v>90</v>
      </c>
      <c r="F42" s="12">
        <v>46038</v>
      </c>
      <c r="G42" s="13">
        <v>0.77083333333333337</v>
      </c>
      <c r="H42" s="2" t="s">
        <v>91</v>
      </c>
      <c r="I42" s="2" t="s">
        <v>54</v>
      </c>
      <c r="J42" s="2">
        <v>54</v>
      </c>
      <c r="K42" s="14">
        <f>VLOOKUP($C42,Sheet1!$A$2:$D$10,4,0)</f>
        <v>6</v>
      </c>
      <c r="L42" s="14" t="str">
        <f>VLOOKUP($C42,Sheet1!$A$2:$E$10,5,0)</f>
        <v>Bin</v>
      </c>
      <c r="M42" s="14">
        <f t="shared" ref="M42:M44" si="7">J42/K42</f>
        <v>9</v>
      </c>
      <c r="N42" s="2"/>
      <c r="O42" s="2" t="s">
        <v>119</v>
      </c>
      <c r="P42" s="2" t="s">
        <v>1864</v>
      </c>
    </row>
    <row r="43" spans="1:16" x14ac:dyDescent="0.25">
      <c r="A43" s="17" t="s">
        <v>713</v>
      </c>
      <c r="B43" s="2" t="s">
        <v>699</v>
      </c>
      <c r="C43" s="27" t="s">
        <v>32</v>
      </c>
      <c r="D43" s="2" t="str">
        <f>VLOOKUP($C43,Sheet1!$A$2:$D$10,2,0)</f>
        <v>114010-50820</v>
      </c>
      <c r="E43" s="8" t="s">
        <v>98</v>
      </c>
      <c r="F43" s="12">
        <v>46038</v>
      </c>
      <c r="G43" s="13">
        <v>0.77083333333333337</v>
      </c>
      <c r="H43" s="2" t="s">
        <v>91</v>
      </c>
      <c r="I43" s="2" t="s">
        <v>54</v>
      </c>
      <c r="J43" s="2">
        <v>17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7"/>
        <v>17</v>
      </c>
      <c r="N43" s="2"/>
      <c r="O43" s="2" t="s">
        <v>119</v>
      </c>
      <c r="P43" s="2" t="s">
        <v>417</v>
      </c>
    </row>
    <row r="44" spans="1:16" x14ac:dyDescent="0.25">
      <c r="A44" s="17" t="s">
        <v>713</v>
      </c>
      <c r="B44" s="2" t="s">
        <v>703</v>
      </c>
      <c r="C44" s="27" t="s">
        <v>29</v>
      </c>
      <c r="D44" s="2" t="str">
        <f>VLOOKUP($C44,Sheet1!$A$2:$D$10,2,0)</f>
        <v>114010-50830</v>
      </c>
      <c r="E44" s="8" t="s">
        <v>98</v>
      </c>
      <c r="F44" s="12">
        <v>46038</v>
      </c>
      <c r="G44" s="13">
        <v>0.77083333333333337</v>
      </c>
      <c r="H44" s="2" t="s">
        <v>91</v>
      </c>
      <c r="I44" s="2" t="s">
        <v>54</v>
      </c>
      <c r="J44" s="2">
        <v>32</v>
      </c>
      <c r="K44" s="14">
        <f>VLOOKUP($C44,Sheet1!$A$2:$D$10,4,0)</f>
        <v>1</v>
      </c>
      <c r="L44" s="14" t="str">
        <f>VLOOKUP($C44,Sheet1!$A$2:$E$10,5,0)</f>
        <v>Bin</v>
      </c>
      <c r="M44" s="14">
        <f t="shared" si="7"/>
        <v>32</v>
      </c>
      <c r="N44" s="2"/>
      <c r="O44" s="2" t="s">
        <v>119</v>
      </c>
      <c r="P44" s="2" t="s">
        <v>947</v>
      </c>
    </row>
    <row r="45" spans="1:16" s="11" customForma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>
        <v>110</v>
      </c>
      <c r="N45" s="10">
        <v>9</v>
      </c>
      <c r="O45" s="10"/>
      <c r="P45" s="10"/>
    </row>
    <row r="46" spans="1:16" x14ac:dyDescent="0.25">
      <c r="A46" s="17" t="s">
        <v>750</v>
      </c>
      <c r="B46" s="2" t="s">
        <v>741</v>
      </c>
      <c r="C46" s="27" t="s">
        <v>5</v>
      </c>
      <c r="D46" s="2" t="str">
        <f>VLOOKUP($C46,Sheet1!$A$2:$D$10,2,0)</f>
        <v>141110-14600</v>
      </c>
      <c r="E46" s="8" t="s">
        <v>52</v>
      </c>
      <c r="F46" s="12">
        <v>46038</v>
      </c>
      <c r="G46" s="13">
        <v>0.78125</v>
      </c>
      <c r="H46" s="2" t="s">
        <v>53</v>
      </c>
      <c r="I46" s="2" t="s">
        <v>54</v>
      </c>
      <c r="J46" s="2">
        <v>18</v>
      </c>
      <c r="K46" s="14">
        <f>VLOOKUP($C46,Sheet1!$A$2:$D$10,4,0)</f>
        <v>18</v>
      </c>
      <c r="L46" s="14" t="str">
        <f>VLOOKUP($C46,Sheet1!$A$2:$E$10,5,0)</f>
        <v>Trolley (H)</v>
      </c>
      <c r="M46" s="14"/>
      <c r="N46" s="52">
        <v>1</v>
      </c>
      <c r="O46" s="2" t="s">
        <v>121</v>
      </c>
      <c r="P46" s="2" t="s">
        <v>944</v>
      </c>
    </row>
    <row r="47" spans="1:16" x14ac:dyDescent="0.25">
      <c r="A47" s="17" t="s">
        <v>750</v>
      </c>
      <c r="B47" s="2" t="s">
        <v>742</v>
      </c>
      <c r="C47" s="27" t="s">
        <v>9</v>
      </c>
      <c r="D47" s="2" t="str">
        <f>VLOOKUP($C47,Sheet1!$A$2:$D$10,2,0)</f>
        <v>141120-14600</v>
      </c>
      <c r="E47" s="8" t="s">
        <v>60</v>
      </c>
      <c r="F47" s="12">
        <v>46038</v>
      </c>
      <c r="G47" s="13">
        <v>0.78125</v>
      </c>
      <c r="H47" s="2" t="s">
        <v>53</v>
      </c>
      <c r="I47" s="2" t="s">
        <v>54</v>
      </c>
      <c r="J47" s="2">
        <v>18</v>
      </c>
      <c r="K47" s="14">
        <f>VLOOKUP($C47,Sheet1!$A$2:$D$10,4,0)</f>
        <v>18</v>
      </c>
      <c r="L47" s="14" t="str">
        <f>VLOOKUP($C47,Sheet1!$A$2:$E$10,5,0)</f>
        <v>Trolley (H)</v>
      </c>
      <c r="M47" s="14"/>
      <c r="N47" s="53"/>
      <c r="O47" s="2" t="s">
        <v>121</v>
      </c>
      <c r="P47" s="2" t="s">
        <v>944</v>
      </c>
    </row>
    <row r="48" spans="1:16" x14ac:dyDescent="0.25">
      <c r="A48" s="17" t="s">
        <v>750</v>
      </c>
      <c r="B48" s="2" t="s">
        <v>743</v>
      </c>
      <c r="C48" s="27" t="s">
        <v>12</v>
      </c>
      <c r="D48" s="2" t="str">
        <f>VLOOKUP($C48,Sheet1!$A$2:$D$10,2,0)</f>
        <v>141185-74670</v>
      </c>
      <c r="E48" s="8" t="s">
        <v>66</v>
      </c>
      <c r="F48" s="12">
        <v>46038</v>
      </c>
      <c r="G48" s="13">
        <v>0.78125</v>
      </c>
      <c r="H48" s="2" t="s">
        <v>53</v>
      </c>
      <c r="I48" s="2" t="s">
        <v>54</v>
      </c>
      <c r="J48" s="2">
        <v>40</v>
      </c>
      <c r="K48" s="14">
        <f>VLOOKUP($C48,Sheet1!$A$2:$D$10,4,0)</f>
        <v>40</v>
      </c>
      <c r="L48" s="14" t="str">
        <f>VLOOKUP($C48,Sheet1!$A$2:$E$10,5,0)</f>
        <v>Trolley</v>
      </c>
      <c r="M48" s="14"/>
      <c r="N48" s="2">
        <f>J48/K48</f>
        <v>1</v>
      </c>
      <c r="O48" s="2" t="s">
        <v>121</v>
      </c>
      <c r="P48" s="2">
        <v>910106059</v>
      </c>
    </row>
    <row r="49" spans="1:16" x14ac:dyDescent="0.25">
      <c r="A49" s="17" t="s">
        <v>750</v>
      </c>
      <c r="B49" s="2" t="s">
        <v>744</v>
      </c>
      <c r="C49" s="27" t="s">
        <v>16</v>
      </c>
      <c r="D49" s="2" t="str">
        <f>VLOOKUP($C49,Sheet1!$A$2:$D$10,2,0)</f>
        <v>141140-91211</v>
      </c>
      <c r="E49" s="8" t="s">
        <v>70</v>
      </c>
      <c r="F49" s="12">
        <v>46038</v>
      </c>
      <c r="G49" s="13">
        <v>0.78125</v>
      </c>
      <c r="H49" s="2" t="s">
        <v>71</v>
      </c>
      <c r="I49" s="2" t="s">
        <v>54</v>
      </c>
      <c r="J49" s="2">
        <v>14</v>
      </c>
      <c r="K49" s="14">
        <f>VLOOKUP($C49,Sheet1!$A$2:$D$10,4,0)</f>
        <v>2</v>
      </c>
      <c r="L49" s="14" t="str">
        <f>VLOOKUP($C49,Sheet1!$A$2:$E$10,5,0)</f>
        <v>Bin</v>
      </c>
      <c r="M49" s="14">
        <f>J49/K49</f>
        <v>7</v>
      </c>
      <c r="N49" s="2"/>
      <c r="O49" s="2" t="s">
        <v>121</v>
      </c>
      <c r="P49" s="2" t="s">
        <v>739</v>
      </c>
    </row>
    <row r="50" spans="1:16" x14ac:dyDescent="0.25">
      <c r="A50" s="17" t="s">
        <v>750</v>
      </c>
      <c r="B50" s="2" t="s">
        <v>745</v>
      </c>
      <c r="C50" s="27" t="s">
        <v>20</v>
      </c>
      <c r="D50" s="2" t="str">
        <f>VLOOKUP($C50,Sheet1!$A$2:$D$10,2,0)</f>
        <v>141150-91211</v>
      </c>
      <c r="E50" s="8" t="s">
        <v>78</v>
      </c>
      <c r="F50" s="12">
        <v>46038</v>
      </c>
      <c r="G50" s="13">
        <v>0.78125</v>
      </c>
      <c r="H50" s="2" t="s">
        <v>71</v>
      </c>
      <c r="I50" s="2" t="s">
        <v>54</v>
      </c>
      <c r="J50" s="2">
        <v>14</v>
      </c>
      <c r="K50" s="14">
        <f>VLOOKUP($C50,Sheet1!$A$2:$D$10,4,0)</f>
        <v>2</v>
      </c>
      <c r="L50" s="14" t="str">
        <f>VLOOKUP($C50,Sheet1!$A$2:$E$10,5,0)</f>
        <v>Bin</v>
      </c>
      <c r="M50" s="14">
        <f>J50/K50</f>
        <v>7</v>
      </c>
      <c r="N50" s="2"/>
      <c r="O50" s="2" t="s">
        <v>121</v>
      </c>
      <c r="P50" s="2" t="s">
        <v>1863</v>
      </c>
    </row>
    <row r="51" spans="1:16" x14ac:dyDescent="0.25">
      <c r="A51" s="17" t="s">
        <v>750</v>
      </c>
      <c r="B51" s="2" t="s">
        <v>746</v>
      </c>
      <c r="C51" s="27" t="s">
        <v>23</v>
      </c>
      <c r="D51" s="2" t="str">
        <f>VLOOKUP($C51,Sheet1!$A$2:$D$10,2,0)</f>
        <v>141186-74360</v>
      </c>
      <c r="E51" s="8" t="s">
        <v>85</v>
      </c>
      <c r="F51" s="12">
        <v>46038</v>
      </c>
      <c r="G51" s="13">
        <v>0.78125</v>
      </c>
      <c r="H51" s="2" t="s">
        <v>71</v>
      </c>
      <c r="I51" s="2" t="s">
        <v>54</v>
      </c>
      <c r="J51" s="2">
        <v>40</v>
      </c>
      <c r="K51" s="14">
        <f>VLOOKUP($C51,Sheet1!$A$2:$D$10,4,0)</f>
        <v>40</v>
      </c>
      <c r="L51" s="14" t="str">
        <f>VLOOKUP($C51,Sheet1!$A$2:$E$10,5,0)</f>
        <v>Trolley</v>
      </c>
      <c r="M51" s="14"/>
      <c r="N51" s="2">
        <f>J51/K51</f>
        <v>1</v>
      </c>
      <c r="O51" s="2" t="s">
        <v>121</v>
      </c>
      <c r="P51" s="2">
        <v>910105765</v>
      </c>
    </row>
    <row r="52" spans="1:16" x14ac:dyDescent="0.25">
      <c r="A52" s="17" t="s">
        <v>751</v>
      </c>
      <c r="B52" s="2" t="s">
        <v>747</v>
      </c>
      <c r="C52" s="27" t="s">
        <v>26</v>
      </c>
      <c r="D52" s="2" t="str">
        <f>VLOOKUP($C52,Sheet1!$A$2:$D$10,2,0)</f>
        <v>116040-92240</v>
      </c>
      <c r="E52" s="8" t="s">
        <v>90</v>
      </c>
      <c r="F52" s="12">
        <v>46038</v>
      </c>
      <c r="G52" s="13">
        <v>0.78125</v>
      </c>
      <c r="H52" s="2" t="s">
        <v>91</v>
      </c>
      <c r="I52" s="2" t="s">
        <v>54</v>
      </c>
      <c r="J52" s="2">
        <v>18</v>
      </c>
      <c r="K52" s="14">
        <f>VLOOKUP($C52,Sheet1!$A$2:$D$10,4,0)</f>
        <v>6</v>
      </c>
      <c r="L52" s="14" t="str">
        <f>VLOOKUP($C52,Sheet1!$A$2:$E$10,5,0)</f>
        <v>Bin</v>
      </c>
      <c r="M52" s="14">
        <f t="shared" ref="M52:M54" si="8">J52/K52</f>
        <v>3</v>
      </c>
      <c r="N52" s="2"/>
      <c r="O52" s="2" t="s">
        <v>121</v>
      </c>
      <c r="P52" s="2" t="s">
        <v>1864</v>
      </c>
    </row>
    <row r="53" spans="1:16" x14ac:dyDescent="0.25">
      <c r="A53" s="17" t="s">
        <v>751</v>
      </c>
      <c r="B53" s="2" t="s">
        <v>748</v>
      </c>
      <c r="C53" s="27" t="s">
        <v>32</v>
      </c>
      <c r="D53" s="2" t="str">
        <f>VLOOKUP($C53,Sheet1!$A$2:$D$10,2,0)</f>
        <v>114010-50820</v>
      </c>
      <c r="E53" s="8" t="s">
        <v>98</v>
      </c>
      <c r="F53" s="12">
        <v>46038</v>
      </c>
      <c r="G53" s="13">
        <v>0.78125</v>
      </c>
      <c r="H53" s="2" t="s">
        <v>91</v>
      </c>
      <c r="I53" s="2" t="s">
        <v>54</v>
      </c>
      <c r="J53" s="2">
        <v>4</v>
      </c>
      <c r="K53" s="14">
        <f>VLOOKUP($C53,Sheet1!$A$2:$D$10,4,0)</f>
        <v>1</v>
      </c>
      <c r="L53" s="14" t="str">
        <f>VLOOKUP($C53,Sheet1!$A$2:$E$10,5,0)</f>
        <v>Bin</v>
      </c>
      <c r="M53" s="14">
        <f t="shared" si="8"/>
        <v>4</v>
      </c>
      <c r="N53" s="2"/>
      <c r="O53" s="2" t="s">
        <v>121</v>
      </c>
      <c r="P53" s="2" t="s">
        <v>417</v>
      </c>
    </row>
    <row r="54" spans="1:16" x14ac:dyDescent="0.25">
      <c r="A54" s="17" t="s">
        <v>751</v>
      </c>
      <c r="B54" s="2" t="s">
        <v>749</v>
      </c>
      <c r="C54" s="27" t="s">
        <v>29</v>
      </c>
      <c r="D54" s="2" t="str">
        <f>VLOOKUP($C54,Sheet1!$A$2:$D$10,2,0)</f>
        <v>114010-50830</v>
      </c>
      <c r="E54" s="8" t="s">
        <v>98</v>
      </c>
      <c r="F54" s="12">
        <v>46038</v>
      </c>
      <c r="G54" s="13">
        <v>0.78125</v>
      </c>
      <c r="H54" s="2" t="s">
        <v>91</v>
      </c>
      <c r="I54" s="2" t="s">
        <v>54</v>
      </c>
      <c r="J54" s="2">
        <v>11</v>
      </c>
      <c r="K54" s="14">
        <f>VLOOKUP($C54,Sheet1!$A$2:$D$10,4,0)</f>
        <v>1</v>
      </c>
      <c r="L54" s="14" t="str">
        <f>VLOOKUP($C54,Sheet1!$A$2:$E$10,5,0)</f>
        <v>Bin</v>
      </c>
      <c r="M54" s="14">
        <f t="shared" si="8"/>
        <v>11</v>
      </c>
      <c r="N54" s="2"/>
      <c r="O54" s="2" t="s">
        <v>121</v>
      </c>
      <c r="P54" s="2" t="s">
        <v>947</v>
      </c>
    </row>
    <row r="55" spans="1:16" x14ac:dyDescent="0.25">
      <c r="A55" s="17" t="s">
        <v>714</v>
      </c>
      <c r="B55" s="2" t="s">
        <v>669</v>
      </c>
      <c r="C55" s="27" t="s">
        <v>5</v>
      </c>
      <c r="D55" s="2" t="str">
        <f>VLOOKUP($C55,Sheet1!$A$2:$D$10,2,0)</f>
        <v>141110-14600</v>
      </c>
      <c r="E55" s="8" t="s">
        <v>52</v>
      </c>
      <c r="F55" s="12">
        <v>46038</v>
      </c>
      <c r="G55" s="23">
        <v>0.97916666666666663</v>
      </c>
      <c r="H55" s="2" t="s">
        <v>53</v>
      </c>
      <c r="I55" s="2" t="s">
        <v>54</v>
      </c>
      <c r="J55" s="2">
        <v>54</v>
      </c>
      <c r="K55" s="14">
        <f>VLOOKUP($C55,Sheet1!$A$2:$D$10,4,0)</f>
        <v>18</v>
      </c>
      <c r="L55" s="14" t="str">
        <f>VLOOKUP($C55,Sheet1!$A$2:$E$10,5,0)</f>
        <v>Trolley (H)</v>
      </c>
      <c r="M55" s="14"/>
      <c r="N55" s="52">
        <v>3</v>
      </c>
      <c r="O55" s="2" t="s">
        <v>121</v>
      </c>
      <c r="P55" s="2" t="s">
        <v>1865</v>
      </c>
    </row>
    <row r="56" spans="1:16" x14ac:dyDescent="0.25">
      <c r="A56" s="17" t="s">
        <v>714</v>
      </c>
      <c r="B56" s="2" t="s">
        <v>673</v>
      </c>
      <c r="C56" s="27" t="s">
        <v>9</v>
      </c>
      <c r="D56" s="2" t="str">
        <f>VLOOKUP($C56,Sheet1!$A$2:$D$10,2,0)</f>
        <v>141120-14600</v>
      </c>
      <c r="E56" s="8" t="s">
        <v>60</v>
      </c>
      <c r="F56" s="12">
        <v>46038</v>
      </c>
      <c r="G56" s="23">
        <v>0.97916666666666663</v>
      </c>
      <c r="H56" s="2" t="s">
        <v>53</v>
      </c>
      <c r="I56" s="2" t="s">
        <v>54</v>
      </c>
      <c r="J56" s="2">
        <v>54</v>
      </c>
      <c r="K56" s="14">
        <f>VLOOKUP($C56,Sheet1!$A$2:$D$10,4,0)</f>
        <v>18</v>
      </c>
      <c r="L56" s="14" t="str">
        <f>VLOOKUP($C56,Sheet1!$A$2:$E$10,5,0)</f>
        <v>Trolley (H)</v>
      </c>
      <c r="M56" s="14"/>
      <c r="N56" s="53"/>
      <c r="O56" s="2" t="s">
        <v>121</v>
      </c>
      <c r="P56" s="2" t="s">
        <v>1865</v>
      </c>
    </row>
    <row r="57" spans="1:16" x14ac:dyDescent="0.25">
      <c r="A57" s="17" t="s">
        <v>714</v>
      </c>
      <c r="B57" s="2" t="s">
        <v>677</v>
      </c>
      <c r="C57" s="27" t="s">
        <v>12</v>
      </c>
      <c r="D57" s="2" t="str">
        <f>VLOOKUP($C57,Sheet1!$A$2:$D$10,2,0)</f>
        <v>141185-74670</v>
      </c>
      <c r="E57" s="8" t="s">
        <v>66</v>
      </c>
      <c r="F57" s="12">
        <v>46038</v>
      </c>
      <c r="G57" s="23">
        <v>0.97916666666666663</v>
      </c>
      <c r="H57" s="2" t="s">
        <v>53</v>
      </c>
      <c r="I57" s="2" t="s">
        <v>54</v>
      </c>
      <c r="J57" s="2">
        <v>80</v>
      </c>
      <c r="K57" s="14">
        <f>VLOOKUP($C57,Sheet1!$A$2:$D$10,4,0)</f>
        <v>40</v>
      </c>
      <c r="L57" s="14" t="str">
        <f>VLOOKUP($C57,Sheet1!$A$2:$E$10,5,0)</f>
        <v>Trolley</v>
      </c>
      <c r="M57" s="14"/>
      <c r="N57" s="2">
        <f>J57/K57</f>
        <v>2</v>
      </c>
      <c r="O57" s="2" t="s">
        <v>121</v>
      </c>
      <c r="P57" s="2">
        <v>910106059</v>
      </c>
    </row>
    <row r="58" spans="1:16" x14ac:dyDescent="0.25">
      <c r="A58" s="17" t="s">
        <v>714</v>
      </c>
      <c r="B58" s="2" t="s">
        <v>682</v>
      </c>
      <c r="C58" s="27" t="s">
        <v>16</v>
      </c>
      <c r="D58" s="2" t="str">
        <f>VLOOKUP($C58,Sheet1!$A$2:$D$10,2,0)</f>
        <v>141140-91211</v>
      </c>
      <c r="E58" s="8" t="s">
        <v>70</v>
      </c>
      <c r="F58" s="12">
        <v>46038</v>
      </c>
      <c r="G58" s="23">
        <v>0.97916666666666663</v>
      </c>
      <c r="H58" s="2" t="s">
        <v>71</v>
      </c>
      <c r="I58" s="2" t="s">
        <v>54</v>
      </c>
      <c r="J58" s="2">
        <v>48</v>
      </c>
      <c r="K58" s="14">
        <f>VLOOKUP($C58,Sheet1!$A$2:$D$10,4,0)</f>
        <v>2</v>
      </c>
      <c r="L58" s="14" t="str">
        <f>VLOOKUP($C58,Sheet1!$A$2:$E$10,5,0)</f>
        <v>Bin</v>
      </c>
      <c r="M58" s="14">
        <f t="shared" ref="M58:M59" si="9">J58/K58</f>
        <v>24</v>
      </c>
      <c r="N58" s="2"/>
      <c r="O58" s="2" t="s">
        <v>121</v>
      </c>
      <c r="P58" s="2" t="s">
        <v>739</v>
      </c>
    </row>
    <row r="59" spans="1:16" x14ac:dyDescent="0.25">
      <c r="A59" s="17" t="s">
        <v>714</v>
      </c>
      <c r="B59" s="2" t="s">
        <v>687</v>
      </c>
      <c r="C59" s="27" t="s">
        <v>20</v>
      </c>
      <c r="D59" s="2" t="str">
        <f>VLOOKUP($C59,Sheet1!$A$2:$D$10,2,0)</f>
        <v>141150-91211</v>
      </c>
      <c r="E59" s="8" t="s">
        <v>78</v>
      </c>
      <c r="F59" s="12">
        <v>46038</v>
      </c>
      <c r="G59" s="23">
        <v>0.97916666666666663</v>
      </c>
      <c r="H59" s="2" t="s">
        <v>71</v>
      </c>
      <c r="I59" s="2" t="s">
        <v>54</v>
      </c>
      <c r="J59" s="2">
        <v>48</v>
      </c>
      <c r="K59" s="14">
        <f>VLOOKUP($C59,Sheet1!$A$2:$D$10,4,0)</f>
        <v>2</v>
      </c>
      <c r="L59" s="14" t="str">
        <f>VLOOKUP($C59,Sheet1!$A$2:$E$10,5,0)</f>
        <v>Bin</v>
      </c>
      <c r="M59" s="14">
        <f t="shared" si="9"/>
        <v>24</v>
      </c>
      <c r="N59" s="2"/>
      <c r="O59" s="2" t="s">
        <v>121</v>
      </c>
      <c r="P59" s="2" t="s">
        <v>1863</v>
      </c>
    </row>
    <row r="60" spans="1:16" x14ac:dyDescent="0.25">
      <c r="A60" s="17" t="s">
        <v>714</v>
      </c>
      <c r="B60" s="2" t="s">
        <v>691</v>
      </c>
      <c r="C60" s="27" t="s">
        <v>23</v>
      </c>
      <c r="D60" s="2" t="str">
        <f>VLOOKUP($C60,Sheet1!$A$2:$D$10,2,0)</f>
        <v>141186-74360</v>
      </c>
      <c r="E60" s="8" t="s">
        <v>85</v>
      </c>
      <c r="F60" s="12">
        <v>46038</v>
      </c>
      <c r="G60" s="23">
        <v>0.97916666666666663</v>
      </c>
      <c r="H60" s="2" t="s">
        <v>71</v>
      </c>
      <c r="I60" s="2" t="s">
        <v>54</v>
      </c>
      <c r="J60" s="2">
        <v>80</v>
      </c>
      <c r="K60" s="14">
        <f>VLOOKUP($C60,Sheet1!$A$2:$D$10,4,0)</f>
        <v>40</v>
      </c>
      <c r="L60" s="14" t="str">
        <f>VLOOKUP($C60,Sheet1!$A$2:$E$10,5,0)</f>
        <v>Trolley</v>
      </c>
      <c r="M60" s="14"/>
      <c r="N60" s="2">
        <f>J60/K60</f>
        <v>2</v>
      </c>
      <c r="O60" s="2" t="s">
        <v>121</v>
      </c>
      <c r="P60" s="2">
        <v>910105765</v>
      </c>
    </row>
    <row r="61" spans="1:16" x14ac:dyDescent="0.25">
      <c r="A61" s="17" t="s">
        <v>715</v>
      </c>
      <c r="B61" s="2" t="s">
        <v>695</v>
      </c>
      <c r="C61" s="27" t="s">
        <v>26</v>
      </c>
      <c r="D61" s="2" t="str">
        <f>VLOOKUP($C61,Sheet1!$A$2:$D$10,2,0)</f>
        <v>116040-92240</v>
      </c>
      <c r="E61" s="8" t="s">
        <v>90</v>
      </c>
      <c r="F61" s="12">
        <v>46038</v>
      </c>
      <c r="G61" s="23">
        <v>0.97916666666666663</v>
      </c>
      <c r="H61" s="2" t="s">
        <v>91</v>
      </c>
      <c r="I61" s="2" t="s">
        <v>54</v>
      </c>
      <c r="J61" s="2">
        <v>48</v>
      </c>
      <c r="K61" s="14">
        <f>VLOOKUP($C61,Sheet1!$A$2:$D$10,4,0)</f>
        <v>6</v>
      </c>
      <c r="L61" s="14" t="str">
        <f>VLOOKUP($C61,Sheet1!$A$2:$E$10,5,0)</f>
        <v>Bin</v>
      </c>
      <c r="M61" s="14">
        <f t="shared" ref="M61:M63" si="10">J61/K61</f>
        <v>8</v>
      </c>
      <c r="N61" s="2"/>
      <c r="O61" s="2" t="s">
        <v>121</v>
      </c>
      <c r="P61" s="2" t="s">
        <v>1864</v>
      </c>
    </row>
    <row r="62" spans="1:16" x14ac:dyDescent="0.25">
      <c r="A62" s="17" t="s">
        <v>715</v>
      </c>
      <c r="B62" s="2" t="s">
        <v>700</v>
      </c>
      <c r="C62" s="27" t="s">
        <v>32</v>
      </c>
      <c r="D62" s="2" t="str">
        <f>VLOOKUP($C62,Sheet1!$A$2:$D$10,2,0)</f>
        <v>114010-50820</v>
      </c>
      <c r="E62" s="8" t="s">
        <v>98</v>
      </c>
      <c r="F62" s="12">
        <v>46038</v>
      </c>
      <c r="G62" s="23">
        <v>0.97916666666666663</v>
      </c>
      <c r="H62" s="2" t="s">
        <v>91</v>
      </c>
      <c r="I62" s="2" t="s">
        <v>54</v>
      </c>
      <c r="J62" s="2">
        <v>12</v>
      </c>
      <c r="K62" s="14">
        <f>VLOOKUP($C62,Sheet1!$A$2:$D$10,4,0)</f>
        <v>1</v>
      </c>
      <c r="L62" s="14" t="str">
        <f>VLOOKUP($C62,Sheet1!$A$2:$E$10,5,0)</f>
        <v>Bin</v>
      </c>
      <c r="M62" s="14">
        <f t="shared" si="10"/>
        <v>12</v>
      </c>
      <c r="N62" s="2"/>
      <c r="O62" s="2" t="s">
        <v>121</v>
      </c>
      <c r="P62" s="2" t="s">
        <v>417</v>
      </c>
    </row>
    <row r="63" spans="1:16" x14ac:dyDescent="0.25">
      <c r="A63" s="17" t="s">
        <v>715</v>
      </c>
      <c r="B63" s="2" t="s">
        <v>704</v>
      </c>
      <c r="C63" s="27" t="s">
        <v>29</v>
      </c>
      <c r="D63" s="2" t="str">
        <f>VLOOKUP($C63,Sheet1!$A$2:$D$10,2,0)</f>
        <v>114010-50830</v>
      </c>
      <c r="E63" s="8" t="s">
        <v>98</v>
      </c>
      <c r="F63" s="12">
        <v>46038</v>
      </c>
      <c r="G63" s="23">
        <v>0.97916666666666663</v>
      </c>
      <c r="H63" s="2" t="s">
        <v>91</v>
      </c>
      <c r="I63" s="2" t="s">
        <v>54</v>
      </c>
      <c r="J63" s="2">
        <v>29</v>
      </c>
      <c r="K63" s="14">
        <f>VLOOKUP($C63,Sheet1!$A$2:$D$10,4,0)</f>
        <v>1</v>
      </c>
      <c r="L63" s="14" t="str">
        <f>VLOOKUP($C63,Sheet1!$A$2:$E$10,5,0)</f>
        <v>Bin</v>
      </c>
      <c r="M63" s="14">
        <f t="shared" si="10"/>
        <v>29</v>
      </c>
      <c r="N63" s="2"/>
      <c r="O63" s="2" t="s">
        <v>121</v>
      </c>
      <c r="P63" s="2" t="s">
        <v>947</v>
      </c>
    </row>
    <row r="64" spans="1:16" s="11" customForma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>
        <v>97</v>
      </c>
      <c r="N64" s="10">
        <v>7</v>
      </c>
      <c r="O64" s="10"/>
      <c r="P64" s="10"/>
    </row>
  </sheetData>
  <autoFilter ref="A3:P64" xr:uid="{459F7A6C-95CC-4303-9EE9-AB155EE4F294}"/>
  <mergeCells count="9">
    <mergeCell ref="N55:N56"/>
    <mergeCell ref="N17:N18"/>
    <mergeCell ref="A1:F1"/>
    <mergeCell ref="J1:N1"/>
    <mergeCell ref="L2:N2"/>
    <mergeCell ref="N4:N5"/>
    <mergeCell ref="N46:N47"/>
    <mergeCell ref="N27:N28"/>
    <mergeCell ref="N36:N37"/>
  </mergeCells>
  <conditionalFormatting sqref="B2">
    <cfRule type="duplicateValues" dxfId="82" priority="2"/>
    <cfRule type="duplicateValues" dxfId="81" priority="3"/>
  </conditionalFormatting>
  <conditionalFormatting sqref="B4:B15 B17:B25 B27:B34 B36:B44 B46:B63">
    <cfRule type="duplicateValues" dxfId="80" priority="20"/>
  </conditionalFormatting>
  <conditionalFormatting sqref="C2:D2">
    <cfRule type="duplicateValues" dxfId="79" priority="4"/>
    <cfRule type="duplicateValues" dxfId="78" priority="5"/>
  </conditionalFormatting>
  <pageMargins left="0.17" right="0.17" top="0.19" bottom="0.75" header="0.3" footer="0.3"/>
  <pageSetup paperSize="9" scale="5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125F-BE10-4C45-80B2-1E9F073000D1}">
  <sheetPr>
    <tabColor rgb="FF00B050"/>
    <pageSetUpPr fitToPage="1"/>
  </sheetPr>
  <dimension ref="A1:P79"/>
  <sheetViews>
    <sheetView workbookViewId="0">
      <selection activeCell="A4" sqref="A4:A15"/>
    </sheetView>
  </sheetViews>
  <sheetFormatPr defaultColWidth="50.42578125" defaultRowHeight="15" x14ac:dyDescent="0.25"/>
  <cols>
    <col min="1" max="1" width="15.140625" bestFit="1" customWidth="1"/>
    <col min="2" max="2" width="22.140625" customWidth="1"/>
    <col min="3" max="3" width="14.140625" bestFit="1" customWidth="1"/>
    <col min="4" max="4" width="14.140625" customWidth="1"/>
    <col min="5" max="5" width="32.5703125" bestFit="1" customWidth="1"/>
    <col min="6" max="6" width="9.28515625" bestFit="1" customWidth="1"/>
    <col min="7" max="7" width="7.7109375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7109375" customWidth="1"/>
    <col min="16" max="16" width="41.8554687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46039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796</v>
      </c>
      <c r="B4" s="2" t="s">
        <v>752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46039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f>J4/K4</f>
        <v>3</v>
      </c>
      <c r="O4" s="2" t="s">
        <v>122</v>
      </c>
      <c r="P4" s="2" t="s">
        <v>1865</v>
      </c>
    </row>
    <row r="5" spans="1:16" x14ac:dyDescent="0.25">
      <c r="A5" s="17" t="s">
        <v>796</v>
      </c>
      <c r="B5" s="2" t="s">
        <v>757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46039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122</v>
      </c>
      <c r="P5" s="2" t="s">
        <v>1865</v>
      </c>
    </row>
    <row r="6" spans="1:16" x14ac:dyDescent="0.25">
      <c r="A6" s="17" t="s">
        <v>796</v>
      </c>
      <c r="B6" s="2" t="s">
        <v>762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46039</v>
      </c>
      <c r="G6" s="13">
        <v>0.35416666666666669</v>
      </c>
      <c r="H6" s="2" t="s">
        <v>53</v>
      </c>
      <c r="I6" s="2" t="s">
        <v>54</v>
      </c>
      <c r="J6" s="2">
        <v>120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3</v>
      </c>
      <c r="O6" s="2" t="s">
        <v>122</v>
      </c>
      <c r="P6" s="2">
        <v>910106059</v>
      </c>
    </row>
    <row r="7" spans="1:16" x14ac:dyDescent="0.25">
      <c r="A7" s="17" t="s">
        <v>796</v>
      </c>
      <c r="B7" s="2" t="s">
        <v>766</v>
      </c>
      <c r="C7" s="27" t="s">
        <v>16</v>
      </c>
      <c r="D7" s="2" t="str">
        <f>VLOOKUP($C7,Sheet1!$A$2:$D$10,2,0)</f>
        <v>141140-91211</v>
      </c>
      <c r="E7" s="8" t="s">
        <v>70</v>
      </c>
      <c r="F7" s="12">
        <v>46039</v>
      </c>
      <c r="G7" s="13">
        <v>0.35416666666666669</v>
      </c>
      <c r="H7" s="2" t="s">
        <v>71</v>
      </c>
      <c r="I7" s="2" t="s">
        <v>54</v>
      </c>
      <c r="J7" s="2">
        <v>52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26</v>
      </c>
      <c r="N7" s="2"/>
      <c r="O7" s="2" t="s">
        <v>122</v>
      </c>
      <c r="P7" s="2" t="s">
        <v>739</v>
      </c>
    </row>
    <row r="8" spans="1:16" x14ac:dyDescent="0.25">
      <c r="A8" s="17" t="s">
        <v>796</v>
      </c>
      <c r="B8" s="2" t="s">
        <v>767</v>
      </c>
      <c r="C8" s="27" t="s">
        <v>16</v>
      </c>
      <c r="D8" s="2" t="str">
        <f>VLOOKUP($C8,Sheet1!$A$2:$D$10,2,0)</f>
        <v>141140-91211</v>
      </c>
      <c r="E8" s="8" t="s">
        <v>70</v>
      </c>
      <c r="F8" s="12">
        <v>46039</v>
      </c>
      <c r="G8" s="13">
        <v>0.35416666666666669</v>
      </c>
      <c r="H8" s="2" t="s">
        <v>71</v>
      </c>
      <c r="I8" s="2" t="s">
        <v>54</v>
      </c>
      <c r="J8" s="2">
        <v>6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:M10" si="0">J8/K8</f>
        <v>3</v>
      </c>
      <c r="N8" s="2"/>
      <c r="O8" s="2" t="s">
        <v>122</v>
      </c>
      <c r="P8" s="2" t="s">
        <v>739</v>
      </c>
    </row>
    <row r="9" spans="1:16" x14ac:dyDescent="0.25">
      <c r="A9" s="17" t="s">
        <v>796</v>
      </c>
      <c r="B9" s="2" t="s">
        <v>771</v>
      </c>
      <c r="C9" s="27" t="s">
        <v>20</v>
      </c>
      <c r="D9" s="2" t="str">
        <f>VLOOKUP($C9,Sheet1!$A$2:$D$10,2,0)</f>
        <v>141150-91211</v>
      </c>
      <c r="E9" s="8" t="s">
        <v>78</v>
      </c>
      <c r="F9" s="12">
        <v>46039</v>
      </c>
      <c r="G9" s="13">
        <v>0.35416666666666669</v>
      </c>
      <c r="H9" s="2" t="s">
        <v>71</v>
      </c>
      <c r="I9" s="2" t="s">
        <v>54</v>
      </c>
      <c r="J9" s="2">
        <v>52</v>
      </c>
      <c r="K9" s="14">
        <f>VLOOKUP($C9,Sheet1!$A$2:$D$10,4,0)</f>
        <v>2</v>
      </c>
      <c r="L9" s="14" t="str">
        <f>VLOOKUP($C9,Sheet1!$A$2:$E$10,5,0)</f>
        <v>Bin</v>
      </c>
      <c r="M9" s="14">
        <f t="shared" si="0"/>
        <v>26</v>
      </c>
      <c r="N9" s="2"/>
      <c r="O9" s="2" t="s">
        <v>122</v>
      </c>
      <c r="P9" s="2" t="s">
        <v>739</v>
      </c>
    </row>
    <row r="10" spans="1:16" x14ac:dyDescent="0.25">
      <c r="A10" s="17" t="s">
        <v>796</v>
      </c>
      <c r="B10" s="2" t="s">
        <v>772</v>
      </c>
      <c r="C10" s="27" t="s">
        <v>20</v>
      </c>
      <c r="D10" s="2" t="str">
        <f>VLOOKUP($C10,Sheet1!$A$2:$D$10,2,0)</f>
        <v>141150-91211</v>
      </c>
      <c r="E10" s="8" t="s">
        <v>78</v>
      </c>
      <c r="F10" s="12">
        <v>46039</v>
      </c>
      <c r="G10" s="13">
        <v>0.35416666666666669</v>
      </c>
      <c r="H10" s="2" t="s">
        <v>71</v>
      </c>
      <c r="I10" s="2" t="s">
        <v>54</v>
      </c>
      <c r="J10" s="2">
        <v>6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3</v>
      </c>
      <c r="N10" s="2"/>
      <c r="O10" s="2" t="s">
        <v>122</v>
      </c>
      <c r="P10" s="2" t="s">
        <v>739</v>
      </c>
    </row>
    <row r="11" spans="1:16" x14ac:dyDescent="0.25">
      <c r="A11" s="17" t="s">
        <v>796</v>
      </c>
      <c r="B11" s="2" t="s">
        <v>776</v>
      </c>
      <c r="C11" s="27" t="s">
        <v>23</v>
      </c>
      <c r="D11" s="2" t="str">
        <f>VLOOKUP($C11,Sheet1!$A$2:$D$10,2,0)</f>
        <v>141186-74360</v>
      </c>
      <c r="E11" s="8" t="s">
        <v>85</v>
      </c>
      <c r="F11" s="12">
        <v>46039</v>
      </c>
      <c r="G11" s="13">
        <v>0.35416666666666669</v>
      </c>
      <c r="H11" s="2" t="s">
        <v>71</v>
      </c>
      <c r="I11" s="2" t="s">
        <v>54</v>
      </c>
      <c r="J11" s="2">
        <v>120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>J11/K11</f>
        <v>3</v>
      </c>
      <c r="O11" s="2" t="s">
        <v>122</v>
      </c>
      <c r="P11" s="2">
        <v>910105866</v>
      </c>
    </row>
    <row r="12" spans="1:16" x14ac:dyDescent="0.25">
      <c r="A12" s="17" t="s">
        <v>797</v>
      </c>
      <c r="B12" s="2" t="s">
        <v>780</v>
      </c>
      <c r="C12" s="27" t="s">
        <v>26</v>
      </c>
      <c r="D12" s="2" t="str">
        <f>VLOOKUP($C12,Sheet1!$A$2:$D$10,2,0)</f>
        <v>116040-92240</v>
      </c>
      <c r="E12" s="8" t="s">
        <v>90</v>
      </c>
      <c r="F12" s="12">
        <v>46039</v>
      </c>
      <c r="G12" s="13">
        <v>0.35416666666666669</v>
      </c>
      <c r="H12" s="2" t="s">
        <v>91</v>
      </c>
      <c r="I12" s="2" t="s">
        <v>54</v>
      </c>
      <c r="J12" s="2">
        <v>60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ref="M12:M16" si="1">J12/K12</f>
        <v>10</v>
      </c>
      <c r="N12" s="2"/>
      <c r="O12" s="2" t="s">
        <v>122</v>
      </c>
      <c r="P12" s="2" t="s">
        <v>1864</v>
      </c>
    </row>
    <row r="13" spans="1:16" x14ac:dyDescent="0.25">
      <c r="A13" s="17" t="s">
        <v>797</v>
      </c>
      <c r="B13" s="2" t="s">
        <v>785</v>
      </c>
      <c r="C13" s="27" t="s">
        <v>32</v>
      </c>
      <c r="D13" s="2" t="str">
        <f>VLOOKUP($C13,Sheet1!$A$2:$D$10,2,0)</f>
        <v>114010-50820</v>
      </c>
      <c r="E13" s="8" t="s">
        <v>98</v>
      </c>
      <c r="F13" s="12">
        <v>46039</v>
      </c>
      <c r="G13" s="13">
        <v>0.35416666666666669</v>
      </c>
      <c r="H13" s="2" t="s">
        <v>91</v>
      </c>
      <c r="I13" s="2" t="s">
        <v>54</v>
      </c>
      <c r="J13" s="2">
        <v>15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1"/>
        <v>15</v>
      </c>
      <c r="N13" s="2"/>
      <c r="O13" s="2" t="s">
        <v>122</v>
      </c>
      <c r="P13" s="2" t="s">
        <v>419</v>
      </c>
    </row>
    <row r="14" spans="1:16" x14ac:dyDescent="0.25">
      <c r="A14" s="17" t="s">
        <v>797</v>
      </c>
      <c r="B14" s="2" t="s">
        <v>786</v>
      </c>
      <c r="C14" s="27" t="s">
        <v>32</v>
      </c>
      <c r="D14" s="2" t="str">
        <f>VLOOKUP($C14,Sheet1!$A$2:$D$10,2,0)</f>
        <v>114010-50820</v>
      </c>
      <c r="E14" s="8" t="s">
        <v>98</v>
      </c>
      <c r="F14" s="12">
        <v>46039</v>
      </c>
      <c r="G14" s="13">
        <v>0.35416666666666669</v>
      </c>
      <c r="H14" s="2" t="s">
        <v>91</v>
      </c>
      <c r="I14" s="2" t="s">
        <v>54</v>
      </c>
      <c r="J14" s="2">
        <v>4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1"/>
        <v>4</v>
      </c>
      <c r="N14" s="2"/>
      <c r="O14" s="2" t="s">
        <v>122</v>
      </c>
      <c r="P14" s="2" t="s">
        <v>419</v>
      </c>
    </row>
    <row r="15" spans="1:16" x14ac:dyDescent="0.25">
      <c r="A15" s="17" t="s">
        <v>797</v>
      </c>
      <c r="B15" s="2" t="s">
        <v>790</v>
      </c>
      <c r="C15" s="27" t="s">
        <v>29</v>
      </c>
      <c r="D15" s="2" t="str">
        <f>VLOOKUP($C15,Sheet1!$A$2:$D$10,2,0)</f>
        <v>114010-50830</v>
      </c>
      <c r="E15" s="8" t="s">
        <v>98</v>
      </c>
      <c r="F15" s="12">
        <v>46039</v>
      </c>
      <c r="G15" s="13">
        <v>0.35416666666666669</v>
      </c>
      <c r="H15" s="2" t="s">
        <v>91</v>
      </c>
      <c r="I15" s="2" t="s">
        <v>54</v>
      </c>
      <c r="J15" s="2">
        <v>16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1"/>
        <v>16</v>
      </c>
      <c r="N15" s="2"/>
      <c r="O15" s="2" t="s">
        <v>122</v>
      </c>
      <c r="P15" s="2" t="s">
        <v>947</v>
      </c>
    </row>
    <row r="16" spans="1:16" x14ac:dyDescent="0.25">
      <c r="A16" s="17" t="s">
        <v>797</v>
      </c>
      <c r="B16" s="2" t="s">
        <v>791</v>
      </c>
      <c r="C16" s="27" t="s">
        <v>29</v>
      </c>
      <c r="D16" s="2" t="str">
        <f>VLOOKUP($C16,Sheet1!$A$2:$D$10,2,0)</f>
        <v>114010-50830</v>
      </c>
      <c r="E16" s="8" t="s">
        <v>98</v>
      </c>
      <c r="F16" s="12">
        <v>46039</v>
      </c>
      <c r="G16" s="13">
        <v>0.35416666666666669</v>
      </c>
      <c r="H16" s="2" t="s">
        <v>91</v>
      </c>
      <c r="I16" s="2" t="s">
        <v>54</v>
      </c>
      <c r="J16" s="2">
        <v>2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1"/>
        <v>2</v>
      </c>
      <c r="N16" s="2"/>
      <c r="O16" s="2" t="s">
        <v>122</v>
      </c>
      <c r="P16" s="2" t="s">
        <v>947</v>
      </c>
    </row>
    <row r="17" spans="1:16" s="11" customForma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>
        <v>105</v>
      </c>
      <c r="N17" s="10">
        <v>9</v>
      </c>
      <c r="O17" s="10"/>
      <c r="P17" s="10"/>
    </row>
    <row r="18" spans="1:16" x14ac:dyDescent="0.25">
      <c r="A18" s="17" t="s">
        <v>798</v>
      </c>
      <c r="B18" s="2" t="s">
        <v>752</v>
      </c>
      <c r="C18" s="27" t="s">
        <v>5</v>
      </c>
      <c r="D18" s="2" t="str">
        <f>VLOOKUP($C18,Sheet1!$A$2:$D$10,2,0)</f>
        <v>141110-14600</v>
      </c>
      <c r="E18" s="8" t="s">
        <v>52</v>
      </c>
      <c r="F18" s="12">
        <v>46039</v>
      </c>
      <c r="G18" s="13">
        <v>0.35416666666666669</v>
      </c>
      <c r="H18" s="2" t="s">
        <v>53</v>
      </c>
      <c r="I18" s="2" t="s">
        <v>54</v>
      </c>
      <c r="J18" s="2">
        <v>36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2">
        <f>J18/K18</f>
        <v>2</v>
      </c>
      <c r="O18" s="2" t="s">
        <v>359</v>
      </c>
      <c r="P18" s="2" t="s">
        <v>1865</v>
      </c>
    </row>
    <row r="19" spans="1:16" x14ac:dyDescent="0.25">
      <c r="A19" s="17" t="s">
        <v>798</v>
      </c>
      <c r="B19" s="2" t="s">
        <v>757</v>
      </c>
      <c r="C19" s="27" t="s">
        <v>9</v>
      </c>
      <c r="D19" s="2" t="str">
        <f>VLOOKUP($C19,Sheet1!$A$2:$D$10,2,0)</f>
        <v>141120-14600</v>
      </c>
      <c r="E19" s="8" t="s">
        <v>60</v>
      </c>
      <c r="F19" s="12">
        <v>46039</v>
      </c>
      <c r="G19" s="13">
        <v>0.35416666666666669</v>
      </c>
      <c r="H19" s="2" t="s">
        <v>53</v>
      </c>
      <c r="I19" s="2" t="s">
        <v>54</v>
      </c>
      <c r="J19" s="2">
        <v>36</v>
      </c>
      <c r="K19" s="14">
        <f>VLOOKUP($C19,Sheet1!$A$2:$D$10,4,0)</f>
        <v>18</v>
      </c>
      <c r="L19" s="14" t="str">
        <f>VLOOKUP($C19,Sheet1!$A$2:$E$10,5,0)</f>
        <v>Trolley (H)</v>
      </c>
      <c r="M19" s="14"/>
      <c r="N19" s="53"/>
      <c r="O19" s="2" t="s">
        <v>359</v>
      </c>
      <c r="P19" s="2" t="s">
        <v>1865</v>
      </c>
    </row>
    <row r="20" spans="1:16" x14ac:dyDescent="0.25">
      <c r="A20" s="17" t="s">
        <v>798</v>
      </c>
      <c r="B20" s="2" t="s">
        <v>753</v>
      </c>
      <c r="C20" s="27" t="s">
        <v>5</v>
      </c>
      <c r="D20" s="2" t="str">
        <f>VLOOKUP($C20,Sheet1!$A$2:$D$10,2,0)</f>
        <v>141110-14600</v>
      </c>
      <c r="E20" s="8" t="s">
        <v>52</v>
      </c>
      <c r="F20" s="12">
        <v>46039</v>
      </c>
      <c r="G20" s="13">
        <v>0.35416666666666669</v>
      </c>
      <c r="H20" s="2" t="s">
        <v>53</v>
      </c>
      <c r="I20" s="2" t="s">
        <v>54</v>
      </c>
      <c r="J20" s="2">
        <v>18</v>
      </c>
      <c r="K20" s="14">
        <f>VLOOKUP($C20,Sheet1!$A$2:$D$10,4,0)</f>
        <v>18</v>
      </c>
      <c r="L20" s="14" t="str">
        <f>VLOOKUP($C20,Sheet1!$A$2:$E$10,5,0)</f>
        <v>Trolley (H)</v>
      </c>
      <c r="M20" s="14"/>
      <c r="N20" s="52">
        <v>1</v>
      </c>
      <c r="O20" s="2" t="s">
        <v>359</v>
      </c>
      <c r="P20" s="2" t="s">
        <v>1865</v>
      </c>
    </row>
    <row r="21" spans="1:16" x14ac:dyDescent="0.25">
      <c r="A21" s="17" t="s">
        <v>798</v>
      </c>
      <c r="B21" s="2" t="s">
        <v>758</v>
      </c>
      <c r="C21" s="27" t="s">
        <v>9</v>
      </c>
      <c r="D21" s="2" t="str">
        <f>VLOOKUP($C21,Sheet1!$A$2:$D$10,2,0)</f>
        <v>141120-14600</v>
      </c>
      <c r="E21" s="8" t="s">
        <v>60</v>
      </c>
      <c r="F21" s="12">
        <v>46039</v>
      </c>
      <c r="G21" s="13">
        <v>0.35416666666666669</v>
      </c>
      <c r="H21" s="2" t="s">
        <v>53</v>
      </c>
      <c r="I21" s="2" t="s">
        <v>54</v>
      </c>
      <c r="J21" s="2">
        <v>18</v>
      </c>
      <c r="K21" s="14">
        <f>VLOOKUP($C21,Sheet1!$A$2:$D$10,4,0)</f>
        <v>18</v>
      </c>
      <c r="L21" s="14" t="str">
        <f>VLOOKUP($C21,Sheet1!$A$2:$E$10,5,0)</f>
        <v>Trolley (H)</v>
      </c>
      <c r="M21" s="14"/>
      <c r="N21" s="53"/>
      <c r="O21" s="2" t="s">
        <v>359</v>
      </c>
      <c r="P21" s="2" t="s">
        <v>1865</v>
      </c>
    </row>
    <row r="22" spans="1:16" x14ac:dyDescent="0.25">
      <c r="A22" s="17" t="s">
        <v>798</v>
      </c>
      <c r="B22" s="2" t="s">
        <v>762</v>
      </c>
      <c r="C22" s="27" t="s">
        <v>12</v>
      </c>
      <c r="D22" s="2" t="str">
        <f>VLOOKUP($C22,Sheet1!$A$2:$D$10,2,0)</f>
        <v>141185-74670</v>
      </c>
      <c r="E22" s="8" t="s">
        <v>66</v>
      </c>
      <c r="F22" s="12">
        <v>46039</v>
      </c>
      <c r="G22" s="13">
        <v>0.35416666666666669</v>
      </c>
      <c r="H22" s="2" t="s">
        <v>53</v>
      </c>
      <c r="I22" s="2" t="s">
        <v>54</v>
      </c>
      <c r="J22" s="2">
        <v>80</v>
      </c>
      <c r="K22" s="14">
        <f>VLOOKUP($C22,Sheet1!$A$2:$D$10,4,0)</f>
        <v>40</v>
      </c>
      <c r="L22" s="14" t="str">
        <f>VLOOKUP($C22,Sheet1!$A$2:$E$10,5,0)</f>
        <v>Trolley</v>
      </c>
      <c r="M22" s="14"/>
      <c r="N22" s="2">
        <f>J22/K22</f>
        <v>2</v>
      </c>
      <c r="O22" s="2" t="s">
        <v>359</v>
      </c>
      <c r="P22" s="2">
        <v>910106059</v>
      </c>
    </row>
    <row r="23" spans="1:16" x14ac:dyDescent="0.25">
      <c r="A23" s="17" t="s">
        <v>798</v>
      </c>
      <c r="B23" s="2" t="s">
        <v>766</v>
      </c>
      <c r="C23" s="27" t="s">
        <v>16</v>
      </c>
      <c r="D23" s="2" t="str">
        <f>VLOOKUP($C23,Sheet1!$A$2:$D$10,2,0)</f>
        <v>141140-91211</v>
      </c>
      <c r="E23" s="8" t="s">
        <v>70</v>
      </c>
      <c r="F23" s="12">
        <v>46039</v>
      </c>
      <c r="G23" s="13">
        <v>0.35416666666666669</v>
      </c>
      <c r="H23" s="2" t="s">
        <v>71</v>
      </c>
      <c r="I23" s="2" t="s">
        <v>54</v>
      </c>
      <c r="J23" s="2">
        <v>50</v>
      </c>
      <c r="K23" s="14">
        <f>VLOOKUP($C23,Sheet1!$A$2:$D$10,4,0)</f>
        <v>2</v>
      </c>
      <c r="L23" s="14" t="str">
        <f>VLOOKUP($C23,Sheet1!$A$2:$E$10,5,0)</f>
        <v>Bin</v>
      </c>
      <c r="M23" s="14">
        <f>J23/K23</f>
        <v>25</v>
      </c>
      <c r="N23" s="2"/>
      <c r="O23" s="2" t="s">
        <v>359</v>
      </c>
      <c r="P23" s="2" t="s">
        <v>739</v>
      </c>
    </row>
    <row r="24" spans="1:16" x14ac:dyDescent="0.25">
      <c r="A24" s="17" t="s">
        <v>798</v>
      </c>
      <c r="B24" s="2" t="s">
        <v>771</v>
      </c>
      <c r="C24" s="27" t="s">
        <v>20</v>
      </c>
      <c r="D24" s="2" t="str">
        <f>VLOOKUP($C24,Sheet1!$A$2:$D$10,2,0)</f>
        <v>141150-91211</v>
      </c>
      <c r="E24" s="8" t="s">
        <v>78</v>
      </c>
      <c r="F24" s="12">
        <v>46039</v>
      </c>
      <c r="G24" s="13">
        <v>0.35416666666666669</v>
      </c>
      <c r="H24" s="2" t="s">
        <v>71</v>
      </c>
      <c r="I24" s="2" t="s">
        <v>54</v>
      </c>
      <c r="J24" s="2">
        <v>50</v>
      </c>
      <c r="K24" s="14">
        <f>VLOOKUP($C24,Sheet1!$A$2:$D$10,4,0)</f>
        <v>2</v>
      </c>
      <c r="L24" s="14" t="str">
        <f>VLOOKUP($C24,Sheet1!$A$2:$E$10,5,0)</f>
        <v>Bin</v>
      </c>
      <c r="M24" s="14">
        <f t="shared" ref="M24" si="2">J24/K24</f>
        <v>25</v>
      </c>
      <c r="N24" s="2"/>
      <c r="O24" s="2" t="s">
        <v>359</v>
      </c>
      <c r="P24" s="2" t="s">
        <v>948</v>
      </c>
    </row>
    <row r="25" spans="1:16" x14ac:dyDescent="0.25">
      <c r="A25" s="17" t="s">
        <v>798</v>
      </c>
      <c r="B25" s="2" t="s">
        <v>776</v>
      </c>
      <c r="C25" s="27" t="s">
        <v>23</v>
      </c>
      <c r="D25" s="2" t="str">
        <f>VLOOKUP($C25,Sheet1!$A$2:$D$10,2,0)</f>
        <v>141186-74360</v>
      </c>
      <c r="E25" s="8" t="s">
        <v>85</v>
      </c>
      <c r="F25" s="12">
        <v>46039</v>
      </c>
      <c r="G25" s="13">
        <v>0.35416666666666669</v>
      </c>
      <c r="H25" s="2" t="s">
        <v>71</v>
      </c>
      <c r="I25" s="2" t="s">
        <v>54</v>
      </c>
      <c r="J25" s="2">
        <v>80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>J25/K25</f>
        <v>2</v>
      </c>
      <c r="O25" s="2" t="s">
        <v>359</v>
      </c>
      <c r="P25" s="2">
        <v>910105866</v>
      </c>
    </row>
    <row r="26" spans="1:16" x14ac:dyDescent="0.25">
      <c r="A26" s="17" t="s">
        <v>799</v>
      </c>
      <c r="B26" s="2" t="s">
        <v>780</v>
      </c>
      <c r="C26" s="27" t="s">
        <v>26</v>
      </c>
      <c r="D26" s="2" t="str">
        <f>VLOOKUP($C26,Sheet1!$A$2:$D$10,2,0)</f>
        <v>116040-92240</v>
      </c>
      <c r="E26" s="8" t="s">
        <v>90</v>
      </c>
      <c r="F26" s="12">
        <v>46039</v>
      </c>
      <c r="G26" s="13">
        <v>0.35416666666666669</v>
      </c>
      <c r="H26" s="2" t="s">
        <v>91</v>
      </c>
      <c r="I26" s="2" t="s">
        <v>54</v>
      </c>
      <c r="J26" s="2">
        <v>42</v>
      </c>
      <c r="K26" s="14">
        <f>VLOOKUP($C26,Sheet1!$A$2:$D$10,4,0)</f>
        <v>6</v>
      </c>
      <c r="L26" s="14" t="str">
        <f>VLOOKUP($C26,Sheet1!$A$2:$E$10,5,0)</f>
        <v>Bin</v>
      </c>
      <c r="M26" s="14">
        <f t="shared" ref="M26" si="3">J26/K26</f>
        <v>7</v>
      </c>
      <c r="N26" s="2"/>
      <c r="O26" s="2" t="s">
        <v>359</v>
      </c>
      <c r="P26" s="2" t="s">
        <v>1864</v>
      </c>
    </row>
    <row r="27" spans="1:16" x14ac:dyDescent="0.25">
      <c r="A27" s="17" t="s">
        <v>799</v>
      </c>
      <c r="B27" s="2" t="s">
        <v>781</v>
      </c>
      <c r="C27" s="27" t="s">
        <v>26</v>
      </c>
      <c r="D27" s="2" t="str">
        <f>VLOOKUP($C27,Sheet1!$A$2:$D$10,2,0)</f>
        <v>116040-92240</v>
      </c>
      <c r="E27" s="8" t="s">
        <v>90</v>
      </c>
      <c r="F27" s="12">
        <v>46039</v>
      </c>
      <c r="G27" s="13">
        <v>0.35416666666666669</v>
      </c>
      <c r="H27" s="2" t="s">
        <v>91</v>
      </c>
      <c r="I27" s="2" t="s">
        <v>54</v>
      </c>
      <c r="J27" s="2">
        <v>6</v>
      </c>
      <c r="K27" s="14">
        <f>VLOOKUP($C27,Sheet1!$A$2:$D$10,4,0)</f>
        <v>6</v>
      </c>
      <c r="L27" s="14" t="str">
        <f>VLOOKUP($C27,Sheet1!$A$2:$E$10,5,0)</f>
        <v>Bin</v>
      </c>
      <c r="M27" s="14">
        <f>J27/K27</f>
        <v>1</v>
      </c>
      <c r="N27" s="2"/>
      <c r="O27" s="2" t="s">
        <v>359</v>
      </c>
      <c r="P27" s="2" t="s">
        <v>1864</v>
      </c>
    </row>
    <row r="28" spans="1:16" x14ac:dyDescent="0.25">
      <c r="A28" s="17" t="s">
        <v>799</v>
      </c>
      <c r="B28" s="2" t="s">
        <v>785</v>
      </c>
      <c r="C28" s="27" t="s">
        <v>32</v>
      </c>
      <c r="D28" s="2" t="str">
        <f>VLOOKUP($C28,Sheet1!$A$2:$D$10,2,0)</f>
        <v>114010-50820</v>
      </c>
      <c r="E28" s="8" t="s">
        <v>98</v>
      </c>
      <c r="F28" s="12">
        <v>46039</v>
      </c>
      <c r="G28" s="13">
        <v>0.35416666666666669</v>
      </c>
      <c r="H28" s="2" t="s">
        <v>91</v>
      </c>
      <c r="I28" s="2" t="s">
        <v>54</v>
      </c>
      <c r="J28" s="2">
        <v>15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ref="M28:M29" si="4">J28/K28</f>
        <v>15</v>
      </c>
      <c r="N28" s="2"/>
      <c r="O28" s="2" t="s">
        <v>359</v>
      </c>
      <c r="P28" s="2" t="s">
        <v>419</v>
      </c>
    </row>
    <row r="29" spans="1:16" x14ac:dyDescent="0.25">
      <c r="A29" s="17" t="s">
        <v>799</v>
      </c>
      <c r="B29" s="2" t="s">
        <v>790</v>
      </c>
      <c r="C29" s="27" t="s">
        <v>29</v>
      </c>
      <c r="D29" s="2" t="str">
        <f>VLOOKUP($C29,Sheet1!$A$2:$D$10,2,0)</f>
        <v>114010-50830</v>
      </c>
      <c r="E29" s="8" t="s">
        <v>98</v>
      </c>
      <c r="F29" s="12">
        <v>46039</v>
      </c>
      <c r="G29" s="13">
        <v>0.35416666666666669</v>
      </c>
      <c r="H29" s="2" t="s">
        <v>91</v>
      </c>
      <c r="I29" s="2" t="s">
        <v>54</v>
      </c>
      <c r="J29" s="2">
        <v>55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si="4"/>
        <v>55</v>
      </c>
      <c r="N29" s="2"/>
      <c r="O29" s="2" t="s">
        <v>359</v>
      </c>
      <c r="P29" s="2" t="s">
        <v>1866</v>
      </c>
    </row>
    <row r="30" spans="1:16" s="1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128</v>
      </c>
      <c r="N30" s="10">
        <v>7</v>
      </c>
      <c r="O30" s="10"/>
      <c r="P30" s="10"/>
    </row>
    <row r="31" spans="1:16" x14ac:dyDescent="0.25">
      <c r="A31" s="17" t="s">
        <v>800</v>
      </c>
      <c r="B31" s="2" t="s">
        <v>754</v>
      </c>
      <c r="C31" s="27" t="s">
        <v>5</v>
      </c>
      <c r="D31" s="2" t="str">
        <f>VLOOKUP($C31,Sheet1!$A$2:$D$10,2,0)</f>
        <v>141110-14600</v>
      </c>
      <c r="E31" s="8" t="s">
        <v>52</v>
      </c>
      <c r="F31" s="12">
        <v>46039</v>
      </c>
      <c r="G31" s="13">
        <v>0.5625</v>
      </c>
      <c r="H31" s="2" t="s">
        <v>53</v>
      </c>
      <c r="I31" s="2" t="s">
        <v>54</v>
      </c>
      <c r="J31" s="2">
        <v>54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2">
        <f>J31/K31</f>
        <v>3</v>
      </c>
      <c r="O31" s="2" t="s">
        <v>119</v>
      </c>
      <c r="P31" s="2" t="s">
        <v>1865</v>
      </c>
    </row>
    <row r="32" spans="1:16" x14ac:dyDescent="0.25">
      <c r="A32" s="17" t="s">
        <v>800</v>
      </c>
      <c r="B32" s="2" t="s">
        <v>759</v>
      </c>
      <c r="C32" s="27" t="s">
        <v>9</v>
      </c>
      <c r="D32" s="2" t="str">
        <f>VLOOKUP($C32,Sheet1!$A$2:$D$10,2,0)</f>
        <v>141120-14600</v>
      </c>
      <c r="E32" s="8" t="s">
        <v>60</v>
      </c>
      <c r="F32" s="12">
        <v>46039</v>
      </c>
      <c r="G32" s="13">
        <v>0.5625</v>
      </c>
      <c r="H32" s="2" t="s">
        <v>53</v>
      </c>
      <c r="I32" s="2" t="s">
        <v>54</v>
      </c>
      <c r="J32" s="2">
        <v>54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3"/>
      <c r="O32" s="2" t="s">
        <v>119</v>
      </c>
      <c r="P32" s="2" t="s">
        <v>1865</v>
      </c>
    </row>
    <row r="33" spans="1:16" x14ac:dyDescent="0.25">
      <c r="A33" s="17" t="s">
        <v>800</v>
      </c>
      <c r="B33" s="2" t="s">
        <v>763</v>
      </c>
      <c r="C33" s="27" t="s">
        <v>12</v>
      </c>
      <c r="D33" s="2" t="str">
        <f>VLOOKUP($C33,Sheet1!$A$2:$D$10,2,0)</f>
        <v>141185-74670</v>
      </c>
      <c r="E33" s="8" t="s">
        <v>66</v>
      </c>
      <c r="F33" s="12">
        <v>46039</v>
      </c>
      <c r="G33" s="13">
        <v>0.5625</v>
      </c>
      <c r="H33" s="2" t="s">
        <v>53</v>
      </c>
      <c r="I33" s="2" t="s">
        <v>54</v>
      </c>
      <c r="J33" s="2">
        <v>120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3</v>
      </c>
      <c r="O33" s="2" t="s">
        <v>119</v>
      </c>
      <c r="P33" s="2">
        <v>910106059</v>
      </c>
    </row>
    <row r="34" spans="1:16" x14ac:dyDescent="0.25">
      <c r="A34" s="17" t="s">
        <v>800</v>
      </c>
      <c r="B34" s="2" t="s">
        <v>768</v>
      </c>
      <c r="C34" s="27" t="s">
        <v>16</v>
      </c>
      <c r="D34" s="2" t="str">
        <f>VLOOKUP($C34,Sheet1!$A$2:$D$10,2,0)</f>
        <v>141140-91211</v>
      </c>
      <c r="E34" s="8" t="s">
        <v>70</v>
      </c>
      <c r="F34" s="12">
        <v>46039</v>
      </c>
      <c r="G34" s="13">
        <v>0.5625</v>
      </c>
      <c r="H34" s="2" t="s">
        <v>71</v>
      </c>
      <c r="I34" s="2" t="s">
        <v>54</v>
      </c>
      <c r="J34" s="2">
        <v>50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ref="M34:M35" si="5">J34/K34</f>
        <v>25</v>
      </c>
      <c r="N34" s="2"/>
      <c r="O34" s="2" t="s">
        <v>119</v>
      </c>
      <c r="P34" s="2" t="s">
        <v>739</v>
      </c>
    </row>
    <row r="35" spans="1:16" x14ac:dyDescent="0.25">
      <c r="A35" s="17" t="s">
        <v>800</v>
      </c>
      <c r="B35" s="2" t="s">
        <v>773</v>
      </c>
      <c r="C35" s="27" t="s">
        <v>20</v>
      </c>
      <c r="D35" s="2" t="str">
        <f>VLOOKUP($C35,Sheet1!$A$2:$D$10,2,0)</f>
        <v>141150-91211</v>
      </c>
      <c r="E35" s="8" t="s">
        <v>78</v>
      </c>
      <c r="F35" s="12">
        <v>46039</v>
      </c>
      <c r="G35" s="13">
        <v>0.5625</v>
      </c>
      <c r="H35" s="2" t="s">
        <v>71</v>
      </c>
      <c r="I35" s="2" t="s">
        <v>54</v>
      </c>
      <c r="J35" s="2">
        <v>50</v>
      </c>
      <c r="K35" s="14">
        <f>VLOOKUP($C35,Sheet1!$A$2:$D$10,4,0)</f>
        <v>2</v>
      </c>
      <c r="L35" s="14" t="str">
        <f>VLOOKUP($C35,Sheet1!$A$2:$E$10,5,0)</f>
        <v>Bin</v>
      </c>
      <c r="M35" s="14">
        <f t="shared" si="5"/>
        <v>25</v>
      </c>
      <c r="N35" s="2"/>
      <c r="O35" s="2" t="s">
        <v>119</v>
      </c>
      <c r="P35" s="2" t="s">
        <v>739</v>
      </c>
    </row>
    <row r="36" spans="1:16" x14ac:dyDescent="0.25">
      <c r="A36" s="17" t="s">
        <v>800</v>
      </c>
      <c r="B36" s="2" t="s">
        <v>777</v>
      </c>
      <c r="C36" s="27" t="s">
        <v>23</v>
      </c>
      <c r="D36" s="2" t="str">
        <f>VLOOKUP($C36,Sheet1!$A$2:$D$10,2,0)</f>
        <v>141186-74360</v>
      </c>
      <c r="E36" s="8" t="s">
        <v>85</v>
      </c>
      <c r="F36" s="12">
        <v>46039</v>
      </c>
      <c r="G36" s="13">
        <v>0.5625</v>
      </c>
      <c r="H36" s="2" t="s">
        <v>71</v>
      </c>
      <c r="I36" s="2" t="s">
        <v>54</v>
      </c>
      <c r="J36" s="2">
        <v>120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3</v>
      </c>
      <c r="O36" s="2" t="s">
        <v>119</v>
      </c>
      <c r="P36" s="2">
        <v>910105866</v>
      </c>
    </row>
    <row r="37" spans="1:16" x14ac:dyDescent="0.25">
      <c r="A37" s="17" t="s">
        <v>801</v>
      </c>
      <c r="B37" s="2" t="s">
        <v>782</v>
      </c>
      <c r="C37" s="27" t="s">
        <v>26</v>
      </c>
      <c r="D37" s="2" t="str">
        <f>VLOOKUP($C37,Sheet1!$A$2:$D$10,2,0)</f>
        <v>116040-92240</v>
      </c>
      <c r="E37" s="8" t="s">
        <v>90</v>
      </c>
      <c r="F37" s="12">
        <v>46039</v>
      </c>
      <c r="G37" s="13">
        <v>0.5625</v>
      </c>
      <c r="H37" s="2" t="s">
        <v>91</v>
      </c>
      <c r="I37" s="2" t="s">
        <v>54</v>
      </c>
      <c r="J37" s="2">
        <v>48</v>
      </c>
      <c r="K37" s="14">
        <f>VLOOKUP($C37,Sheet1!$A$2:$D$10,4,0)</f>
        <v>6</v>
      </c>
      <c r="L37" s="14" t="str">
        <f>VLOOKUP($C37,Sheet1!$A$2:$E$10,5,0)</f>
        <v>Bin</v>
      </c>
      <c r="M37" s="14">
        <f t="shared" ref="M37:M39" si="6">J37/K37</f>
        <v>8</v>
      </c>
      <c r="N37" s="2"/>
      <c r="O37" s="2" t="s">
        <v>119</v>
      </c>
      <c r="P37" s="2" t="s">
        <v>1864</v>
      </c>
    </row>
    <row r="38" spans="1:16" x14ac:dyDescent="0.25">
      <c r="A38" s="17" t="s">
        <v>801</v>
      </c>
      <c r="B38" s="2" t="s">
        <v>787</v>
      </c>
      <c r="C38" s="27" t="s">
        <v>32</v>
      </c>
      <c r="D38" s="2" t="str">
        <f>VLOOKUP($C38,Sheet1!$A$2:$D$10,2,0)</f>
        <v>114010-50820</v>
      </c>
      <c r="E38" s="8" t="s">
        <v>98</v>
      </c>
      <c r="F38" s="12">
        <v>46039</v>
      </c>
      <c r="G38" s="13">
        <v>0.5625</v>
      </c>
      <c r="H38" s="2" t="s">
        <v>91</v>
      </c>
      <c r="I38" s="2" t="s">
        <v>54</v>
      </c>
      <c r="J38" s="2">
        <v>19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6"/>
        <v>19</v>
      </c>
      <c r="N38" s="2"/>
      <c r="O38" s="2" t="s">
        <v>119</v>
      </c>
      <c r="P38" s="2" t="s">
        <v>419</v>
      </c>
    </row>
    <row r="39" spans="1:16" x14ac:dyDescent="0.25">
      <c r="A39" s="17" t="s">
        <v>801</v>
      </c>
      <c r="B39" s="2" t="s">
        <v>792</v>
      </c>
      <c r="C39" s="27" t="s">
        <v>29</v>
      </c>
      <c r="D39" s="2" t="str">
        <f>VLOOKUP($C39,Sheet1!$A$2:$D$10,2,0)</f>
        <v>114010-50830</v>
      </c>
      <c r="E39" s="8" t="s">
        <v>98</v>
      </c>
      <c r="F39" s="12">
        <v>46039</v>
      </c>
      <c r="G39" s="13">
        <v>0.5625</v>
      </c>
      <c r="H39" s="2" t="s">
        <v>91</v>
      </c>
      <c r="I39" s="2" t="s">
        <v>54</v>
      </c>
      <c r="J39" s="2">
        <v>21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6"/>
        <v>21</v>
      </c>
      <c r="N39" s="2"/>
      <c r="O39" s="2" t="s">
        <v>119</v>
      </c>
      <c r="P39" s="2" t="s">
        <v>1867</v>
      </c>
    </row>
    <row r="40" spans="1:16" x14ac:dyDescent="0.25">
      <c r="A40" s="17" t="s">
        <v>814</v>
      </c>
      <c r="B40" s="2" t="s">
        <v>812</v>
      </c>
      <c r="C40" s="27" t="s">
        <v>32</v>
      </c>
      <c r="D40" s="2" t="str">
        <f>VLOOKUP($C40,Sheet1!$A$2:$D$10,2,0)</f>
        <v>114010-50820</v>
      </c>
      <c r="E40" s="8"/>
      <c r="F40" s="12">
        <v>46039</v>
      </c>
      <c r="G40" s="23" t="s">
        <v>224</v>
      </c>
      <c r="H40" s="2" t="s">
        <v>91</v>
      </c>
      <c r="I40" s="2"/>
      <c r="J40" s="2">
        <v>15</v>
      </c>
      <c r="K40" s="14">
        <f>VLOOKUP($C40,Sheet1!$A$2:$D$10,4,0)</f>
        <v>1</v>
      </c>
      <c r="L40" s="14" t="str">
        <f>VLOOKUP($C40,Sheet1!$A$2:$E$10,5,0)</f>
        <v>Bin</v>
      </c>
      <c r="M40" s="14"/>
      <c r="N40" s="2"/>
      <c r="O40" s="2" t="s">
        <v>119</v>
      </c>
      <c r="P40" s="2" t="s">
        <v>724</v>
      </c>
    </row>
    <row r="41" spans="1:16" x14ac:dyDescent="0.25">
      <c r="A41" s="17" t="s">
        <v>814</v>
      </c>
      <c r="B41" s="2" t="s">
        <v>813</v>
      </c>
      <c r="C41" s="27" t="s">
        <v>29</v>
      </c>
      <c r="D41" s="2" t="str">
        <f>VLOOKUP($C41,Sheet1!$A$2:$D$10,2,0)</f>
        <v>114010-50830</v>
      </c>
      <c r="E41" s="8"/>
      <c r="F41" s="12">
        <v>46039</v>
      </c>
      <c r="G41" s="23" t="s">
        <v>224</v>
      </c>
      <c r="H41" s="2" t="s">
        <v>91</v>
      </c>
      <c r="I41" s="2"/>
      <c r="J41" s="2">
        <v>15</v>
      </c>
      <c r="K41" s="14">
        <f>VLOOKUP($C41,Sheet1!$A$2:$D$10,4,0)</f>
        <v>1</v>
      </c>
      <c r="L41" s="14" t="str">
        <f>VLOOKUP($C41,Sheet1!$A$2:$E$10,5,0)</f>
        <v>Bin</v>
      </c>
      <c r="M41" s="14"/>
      <c r="N41" s="2"/>
      <c r="O41" s="2" t="s">
        <v>119</v>
      </c>
      <c r="P41" s="2" t="s">
        <v>419</v>
      </c>
    </row>
    <row r="42" spans="1:16" s="11" customForma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98</v>
      </c>
      <c r="N42" s="10">
        <v>9</v>
      </c>
      <c r="O42" s="10"/>
      <c r="P42" s="10"/>
    </row>
    <row r="43" spans="1:16" x14ac:dyDescent="0.25">
      <c r="A43" s="17" t="s">
        <v>802</v>
      </c>
      <c r="B43" s="2" t="s">
        <v>754</v>
      </c>
      <c r="C43" s="27" t="s">
        <v>5</v>
      </c>
      <c r="D43" s="2" t="str">
        <f>VLOOKUP($C43,Sheet1!$A$2:$D$10,2,0)</f>
        <v>141110-14600</v>
      </c>
      <c r="E43" s="8" t="s">
        <v>52</v>
      </c>
      <c r="F43" s="12">
        <v>46039</v>
      </c>
      <c r="G43" s="13">
        <v>0.5625</v>
      </c>
      <c r="H43" s="2" t="s">
        <v>53</v>
      </c>
      <c r="I43" s="2" t="s">
        <v>54</v>
      </c>
      <c r="J43" s="2">
        <v>18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2">
        <f>J43/K43</f>
        <v>1</v>
      </c>
      <c r="O43" s="2" t="s">
        <v>121</v>
      </c>
      <c r="P43" s="2" t="s">
        <v>1865</v>
      </c>
    </row>
    <row r="44" spans="1:16" x14ac:dyDescent="0.25">
      <c r="A44" s="17" t="s">
        <v>802</v>
      </c>
      <c r="B44" s="2" t="s">
        <v>759</v>
      </c>
      <c r="C44" s="27" t="s">
        <v>9</v>
      </c>
      <c r="D44" s="2" t="str">
        <f>VLOOKUP($C44,Sheet1!$A$2:$D$10,2,0)</f>
        <v>141120-14600</v>
      </c>
      <c r="E44" s="8" t="s">
        <v>60</v>
      </c>
      <c r="F44" s="12">
        <v>46039</v>
      </c>
      <c r="G44" s="13">
        <v>0.5625</v>
      </c>
      <c r="H44" s="2" t="s">
        <v>53</v>
      </c>
      <c r="I44" s="2" t="s">
        <v>54</v>
      </c>
      <c r="J44" s="2">
        <v>18</v>
      </c>
      <c r="K44" s="14">
        <f>VLOOKUP($C44,Sheet1!$A$2:$D$10,4,0)</f>
        <v>18</v>
      </c>
      <c r="L44" s="14" t="str">
        <f>VLOOKUP($C44,Sheet1!$A$2:$E$10,5,0)</f>
        <v>Trolley (H)</v>
      </c>
      <c r="M44" s="14"/>
      <c r="N44" s="53"/>
      <c r="O44" s="2" t="s">
        <v>121</v>
      </c>
      <c r="P44" s="2" t="s">
        <v>1865</v>
      </c>
    </row>
    <row r="45" spans="1:16" x14ac:dyDescent="0.25">
      <c r="A45" s="17" t="s">
        <v>802</v>
      </c>
      <c r="B45" s="2" t="s">
        <v>763</v>
      </c>
      <c r="C45" s="27" t="s">
        <v>12</v>
      </c>
      <c r="D45" s="2" t="str">
        <f>VLOOKUP($C45,Sheet1!$A$2:$D$10,2,0)</f>
        <v>141185-74670</v>
      </c>
      <c r="E45" s="8" t="s">
        <v>66</v>
      </c>
      <c r="F45" s="12">
        <v>46039</v>
      </c>
      <c r="G45" s="13">
        <v>0.5625</v>
      </c>
      <c r="H45" s="2" t="s">
        <v>53</v>
      </c>
      <c r="I45" s="2" t="s">
        <v>54</v>
      </c>
      <c r="J45" s="2">
        <v>40</v>
      </c>
      <c r="K45" s="14">
        <f>VLOOKUP($C45,Sheet1!$A$2:$D$10,4,0)</f>
        <v>40</v>
      </c>
      <c r="L45" s="14" t="str">
        <f>VLOOKUP($C45,Sheet1!$A$2:$E$10,5,0)</f>
        <v>Trolley</v>
      </c>
      <c r="M45" s="14"/>
      <c r="N45" s="2">
        <f>J45/K45</f>
        <v>1</v>
      </c>
      <c r="O45" s="2" t="s">
        <v>121</v>
      </c>
      <c r="P45" s="2">
        <v>910106059</v>
      </c>
    </row>
    <row r="46" spans="1:16" x14ac:dyDescent="0.25">
      <c r="A46" s="17" t="s">
        <v>802</v>
      </c>
      <c r="B46" s="2" t="s">
        <v>768</v>
      </c>
      <c r="C46" s="27" t="s">
        <v>16</v>
      </c>
      <c r="D46" s="2" t="str">
        <f>VLOOKUP($C46,Sheet1!$A$2:$D$10,2,0)</f>
        <v>141140-91211</v>
      </c>
      <c r="E46" s="8" t="s">
        <v>70</v>
      </c>
      <c r="F46" s="12">
        <v>46039</v>
      </c>
      <c r="G46" s="13">
        <v>0.5625</v>
      </c>
      <c r="H46" s="2" t="s">
        <v>71</v>
      </c>
      <c r="I46" s="2" t="s">
        <v>54</v>
      </c>
      <c r="J46" s="2">
        <v>20</v>
      </c>
      <c r="K46" s="14">
        <f>VLOOKUP($C46,Sheet1!$A$2:$D$10,4,0)</f>
        <v>2</v>
      </c>
      <c r="L46" s="14" t="str">
        <f>VLOOKUP($C46,Sheet1!$A$2:$E$10,5,0)</f>
        <v>Bin</v>
      </c>
      <c r="M46" s="14">
        <f t="shared" ref="M46:M47" si="7">J46/K46</f>
        <v>10</v>
      </c>
      <c r="N46" s="2"/>
      <c r="O46" s="2" t="s">
        <v>121</v>
      </c>
      <c r="P46" s="2" t="s">
        <v>739</v>
      </c>
    </row>
    <row r="47" spans="1:16" x14ac:dyDescent="0.25">
      <c r="A47" s="17" t="s">
        <v>802</v>
      </c>
      <c r="B47" s="2" t="s">
        <v>773</v>
      </c>
      <c r="C47" s="27" t="s">
        <v>20</v>
      </c>
      <c r="D47" s="2" t="str">
        <f>VLOOKUP($C47,Sheet1!$A$2:$D$10,2,0)</f>
        <v>141150-91211</v>
      </c>
      <c r="E47" s="8" t="s">
        <v>78</v>
      </c>
      <c r="F47" s="12">
        <v>46039</v>
      </c>
      <c r="G47" s="13">
        <v>0.5625</v>
      </c>
      <c r="H47" s="2" t="s">
        <v>71</v>
      </c>
      <c r="I47" s="2" t="s">
        <v>54</v>
      </c>
      <c r="J47" s="2">
        <v>20</v>
      </c>
      <c r="K47" s="14">
        <f>VLOOKUP($C47,Sheet1!$A$2:$D$10,4,0)</f>
        <v>2</v>
      </c>
      <c r="L47" s="14" t="str">
        <f>VLOOKUP($C47,Sheet1!$A$2:$E$10,5,0)</f>
        <v>Bin</v>
      </c>
      <c r="M47" s="14">
        <f t="shared" si="7"/>
        <v>10</v>
      </c>
      <c r="N47" s="2"/>
      <c r="O47" s="2" t="s">
        <v>121</v>
      </c>
      <c r="P47" s="2" t="s">
        <v>739</v>
      </c>
    </row>
    <row r="48" spans="1:16" x14ac:dyDescent="0.25">
      <c r="A48" s="17" t="s">
        <v>802</v>
      </c>
      <c r="B48" s="2" t="s">
        <v>777</v>
      </c>
      <c r="C48" s="27" t="s">
        <v>23</v>
      </c>
      <c r="D48" s="2" t="str">
        <f>VLOOKUP($C48,Sheet1!$A$2:$D$10,2,0)</f>
        <v>141186-74360</v>
      </c>
      <c r="E48" s="8" t="s">
        <v>85</v>
      </c>
      <c r="F48" s="12">
        <v>46039</v>
      </c>
      <c r="G48" s="13">
        <v>0.5625</v>
      </c>
      <c r="H48" s="2" t="s">
        <v>71</v>
      </c>
      <c r="I48" s="2" t="s">
        <v>54</v>
      </c>
      <c r="J48" s="2">
        <v>40</v>
      </c>
      <c r="K48" s="14">
        <f>VLOOKUP($C48,Sheet1!$A$2:$D$10,4,0)</f>
        <v>40</v>
      </c>
      <c r="L48" s="14" t="str">
        <f>VLOOKUP($C48,Sheet1!$A$2:$E$10,5,0)</f>
        <v>Trolley</v>
      </c>
      <c r="M48" s="14"/>
      <c r="N48" s="2">
        <f>J48/K48</f>
        <v>1</v>
      </c>
      <c r="O48" s="2" t="s">
        <v>121</v>
      </c>
      <c r="P48" s="2">
        <v>910105866</v>
      </c>
    </row>
    <row r="49" spans="1:16" x14ac:dyDescent="0.25">
      <c r="A49" s="17" t="s">
        <v>803</v>
      </c>
      <c r="B49" s="2" t="s">
        <v>782</v>
      </c>
      <c r="C49" s="27" t="s">
        <v>26</v>
      </c>
      <c r="D49" s="2" t="str">
        <f>VLOOKUP($C49,Sheet1!$A$2:$D$10,2,0)</f>
        <v>116040-92240</v>
      </c>
      <c r="E49" s="8" t="s">
        <v>90</v>
      </c>
      <c r="F49" s="12">
        <v>46039</v>
      </c>
      <c r="G49" s="13">
        <v>0.5625</v>
      </c>
      <c r="H49" s="2" t="s">
        <v>91</v>
      </c>
      <c r="I49" s="2" t="s">
        <v>54</v>
      </c>
      <c r="J49" s="2">
        <v>24</v>
      </c>
      <c r="K49" s="14">
        <f>VLOOKUP($C49,Sheet1!$A$2:$D$10,4,0)</f>
        <v>6</v>
      </c>
      <c r="L49" s="14" t="str">
        <f>VLOOKUP($C49,Sheet1!$A$2:$E$10,5,0)</f>
        <v>Bin</v>
      </c>
      <c r="M49" s="14">
        <f t="shared" ref="M49:M50" si="8">J49/K49</f>
        <v>4</v>
      </c>
      <c r="N49" s="2"/>
      <c r="O49" s="2" t="s">
        <v>121</v>
      </c>
      <c r="P49" s="2" t="s">
        <v>1864</v>
      </c>
    </row>
    <row r="50" spans="1:16" ht="15.75" thickBot="1" x14ac:dyDescent="0.3">
      <c r="A50" s="17" t="s">
        <v>811</v>
      </c>
      <c r="B50" s="2" t="s">
        <v>792</v>
      </c>
      <c r="C50" s="27" t="s">
        <v>29</v>
      </c>
      <c r="D50" s="2" t="str">
        <f>VLOOKUP($C50,Sheet1!$A$2:$D$10,2,0)</f>
        <v>114010-50830</v>
      </c>
      <c r="E50" s="8" t="s">
        <v>98</v>
      </c>
      <c r="F50" s="12">
        <v>46039</v>
      </c>
      <c r="G50" s="15">
        <v>0.5625</v>
      </c>
      <c r="H50" s="2" t="s">
        <v>91</v>
      </c>
      <c r="I50" s="2" t="s">
        <v>54</v>
      </c>
      <c r="J50" s="2">
        <v>30</v>
      </c>
      <c r="K50" s="14">
        <f>VLOOKUP($C50,Sheet1!$A$2:$D$10,4,0)</f>
        <v>1</v>
      </c>
      <c r="L50" s="14" t="str">
        <f>VLOOKUP($C50,Sheet1!$A$2:$E$10,5,0)</f>
        <v>Bin</v>
      </c>
      <c r="M50" s="14">
        <f t="shared" si="8"/>
        <v>30</v>
      </c>
      <c r="N50" s="2"/>
      <c r="O50" s="2" t="s">
        <v>121</v>
      </c>
      <c r="P50" s="2" t="s">
        <v>724</v>
      </c>
    </row>
    <row r="51" spans="1:16" ht="15.75" thickTop="1" x14ac:dyDescent="0.25">
      <c r="A51" s="17" t="s">
        <v>804</v>
      </c>
      <c r="B51" s="2" t="s">
        <v>755</v>
      </c>
      <c r="C51" s="27" t="s">
        <v>5</v>
      </c>
      <c r="D51" s="2" t="str">
        <f>VLOOKUP($C51,Sheet1!$A$2:$D$10,2,0)</f>
        <v>141110-14600</v>
      </c>
      <c r="E51" s="8" t="s">
        <v>52</v>
      </c>
      <c r="F51" s="12">
        <v>46039</v>
      </c>
      <c r="G51" s="16">
        <v>0.77083333333333337</v>
      </c>
      <c r="H51" s="2" t="s">
        <v>53</v>
      </c>
      <c r="I51" s="2" t="s">
        <v>54</v>
      </c>
      <c r="J51" s="2">
        <v>18</v>
      </c>
      <c r="K51" s="14">
        <f>VLOOKUP($C51,Sheet1!$A$2:$D$10,4,0)</f>
        <v>18</v>
      </c>
      <c r="L51" s="14" t="str">
        <f>VLOOKUP($C51,Sheet1!$A$2:$E$10,5,0)</f>
        <v>Trolley (H)</v>
      </c>
      <c r="M51" s="14"/>
      <c r="N51" s="52">
        <f>J51/K51</f>
        <v>1</v>
      </c>
      <c r="O51" s="2" t="s">
        <v>121</v>
      </c>
      <c r="P51" s="2" t="s">
        <v>1865</v>
      </c>
    </row>
    <row r="52" spans="1:16" x14ac:dyDescent="0.25">
      <c r="A52" s="17" t="s">
        <v>804</v>
      </c>
      <c r="B52" s="2" t="s">
        <v>760</v>
      </c>
      <c r="C52" s="27" t="s">
        <v>9</v>
      </c>
      <c r="D52" s="2" t="str">
        <f>VLOOKUP($C52,Sheet1!$A$2:$D$10,2,0)</f>
        <v>141120-14600</v>
      </c>
      <c r="E52" s="8" t="s">
        <v>60</v>
      </c>
      <c r="F52" s="12">
        <v>46039</v>
      </c>
      <c r="G52" s="13">
        <v>0.77083333333333337</v>
      </c>
      <c r="H52" s="2" t="s">
        <v>53</v>
      </c>
      <c r="I52" s="2" t="s">
        <v>54</v>
      </c>
      <c r="J52" s="2">
        <v>18</v>
      </c>
      <c r="K52" s="14">
        <f>VLOOKUP($C52,Sheet1!$A$2:$D$10,4,0)</f>
        <v>18</v>
      </c>
      <c r="L52" s="14" t="str">
        <f>VLOOKUP($C52,Sheet1!$A$2:$E$10,5,0)</f>
        <v>Trolley (H)</v>
      </c>
      <c r="M52" s="14"/>
      <c r="N52" s="53"/>
      <c r="O52" s="2" t="s">
        <v>121</v>
      </c>
      <c r="P52" s="2" t="s">
        <v>1865</v>
      </c>
    </row>
    <row r="53" spans="1:16" x14ac:dyDescent="0.25">
      <c r="A53" s="17" t="s">
        <v>804</v>
      </c>
      <c r="B53" s="2" t="s">
        <v>769</v>
      </c>
      <c r="C53" s="27" t="s">
        <v>16</v>
      </c>
      <c r="D53" s="2" t="str">
        <f>VLOOKUP($C53,Sheet1!$A$2:$D$10,2,0)</f>
        <v>141140-91211</v>
      </c>
      <c r="E53" s="8" t="s">
        <v>70</v>
      </c>
      <c r="F53" s="12">
        <v>46039</v>
      </c>
      <c r="G53" s="13">
        <v>0.77083333333333337</v>
      </c>
      <c r="H53" s="2" t="s">
        <v>71</v>
      </c>
      <c r="I53" s="2" t="s">
        <v>54</v>
      </c>
      <c r="J53" s="2">
        <v>40</v>
      </c>
      <c r="K53" s="14">
        <f>VLOOKUP($C53,Sheet1!$A$2:$D$10,4,0)</f>
        <v>2</v>
      </c>
      <c r="L53" s="14" t="str">
        <f>VLOOKUP($C53,Sheet1!$A$2:$E$10,5,0)</f>
        <v>Bin</v>
      </c>
      <c r="M53" s="14">
        <f t="shared" ref="M53:M54" si="9">J53/K53</f>
        <v>20</v>
      </c>
      <c r="N53" s="2"/>
      <c r="O53" s="2" t="s">
        <v>121</v>
      </c>
      <c r="P53" s="2" t="s">
        <v>739</v>
      </c>
    </row>
    <row r="54" spans="1:16" x14ac:dyDescent="0.25">
      <c r="A54" s="17" t="s">
        <v>804</v>
      </c>
      <c r="B54" s="2" t="s">
        <v>774</v>
      </c>
      <c r="C54" s="27" t="s">
        <v>20</v>
      </c>
      <c r="D54" s="2" t="str">
        <f>VLOOKUP($C54,Sheet1!$A$2:$D$10,2,0)</f>
        <v>141150-91211</v>
      </c>
      <c r="E54" s="8" t="s">
        <v>78</v>
      </c>
      <c r="F54" s="12">
        <v>46039</v>
      </c>
      <c r="G54" s="13">
        <v>0.77083333333333337</v>
      </c>
      <c r="H54" s="2" t="s">
        <v>71</v>
      </c>
      <c r="I54" s="2" t="s">
        <v>54</v>
      </c>
      <c r="J54" s="2">
        <v>40</v>
      </c>
      <c r="K54" s="14">
        <f>VLOOKUP($C54,Sheet1!$A$2:$D$10,4,0)</f>
        <v>2</v>
      </c>
      <c r="L54" s="14" t="str">
        <f>VLOOKUP($C54,Sheet1!$A$2:$E$10,5,0)</f>
        <v>Bin</v>
      </c>
      <c r="M54" s="14">
        <f t="shared" si="9"/>
        <v>20</v>
      </c>
      <c r="N54" s="2"/>
      <c r="O54" s="2" t="s">
        <v>121</v>
      </c>
      <c r="P54" s="2" t="s">
        <v>739</v>
      </c>
    </row>
    <row r="55" spans="1:16" x14ac:dyDescent="0.25">
      <c r="A55" s="17" t="s">
        <v>805</v>
      </c>
      <c r="B55" s="2" t="s">
        <v>788</v>
      </c>
      <c r="C55" s="27" t="s">
        <v>32</v>
      </c>
      <c r="D55" s="2" t="str">
        <f>VLOOKUP($C55,Sheet1!$A$2:$D$10,2,0)</f>
        <v>114010-50820</v>
      </c>
      <c r="E55" s="8" t="s">
        <v>98</v>
      </c>
      <c r="F55" s="12">
        <v>46039</v>
      </c>
      <c r="G55" s="13">
        <v>0.77083333333333337</v>
      </c>
      <c r="H55" s="2" t="s">
        <v>91</v>
      </c>
      <c r="I55" s="2" t="s">
        <v>54</v>
      </c>
      <c r="J55" s="2">
        <v>12</v>
      </c>
      <c r="K55" s="14">
        <f>VLOOKUP($C55,Sheet1!$A$2:$D$10,4,0)</f>
        <v>1</v>
      </c>
      <c r="L55" s="14" t="str">
        <f>VLOOKUP($C55,Sheet1!$A$2:$E$10,5,0)</f>
        <v>Bin</v>
      </c>
      <c r="M55" s="14">
        <f t="shared" ref="M55" si="10">J55/K55</f>
        <v>12</v>
      </c>
      <c r="N55" s="2"/>
      <c r="O55" s="2" t="s">
        <v>121</v>
      </c>
      <c r="P55" s="2" t="s">
        <v>419</v>
      </c>
    </row>
    <row r="56" spans="1:16" x14ac:dyDescent="0.25">
      <c r="A56" s="17" t="s">
        <v>805</v>
      </c>
      <c r="B56" s="2" t="s">
        <v>793</v>
      </c>
      <c r="C56" s="27" t="s">
        <v>29</v>
      </c>
      <c r="D56" s="2" t="str">
        <f>VLOOKUP($C56,Sheet1!$A$2:$D$10,2,0)</f>
        <v>114010-50830</v>
      </c>
      <c r="E56" s="8" t="s">
        <v>98</v>
      </c>
      <c r="F56" s="12">
        <v>46039</v>
      </c>
      <c r="G56" s="13">
        <v>0.77083333333333337</v>
      </c>
      <c r="H56" s="2" t="s">
        <v>91</v>
      </c>
      <c r="I56" s="2" t="s">
        <v>54</v>
      </c>
      <c r="J56" s="2">
        <v>30</v>
      </c>
      <c r="K56" s="14">
        <f>VLOOKUP($C56,Sheet1!$A$2:$D$10,4,0)</f>
        <v>1</v>
      </c>
      <c r="L56" s="14" t="str">
        <f>VLOOKUP($C56,Sheet1!$A$2:$E$10,5,0)</f>
        <v>Bin</v>
      </c>
      <c r="M56" s="14">
        <f t="shared" ref="M56" si="11">J56/K56</f>
        <v>30</v>
      </c>
      <c r="N56" s="2"/>
      <c r="O56" s="2" t="s">
        <v>121</v>
      </c>
      <c r="P56" s="2" t="s">
        <v>724</v>
      </c>
    </row>
    <row r="57" spans="1:16" s="11" customForma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>
        <v>136</v>
      </c>
      <c r="N57" s="10">
        <v>4</v>
      </c>
      <c r="O57" s="10"/>
      <c r="P57" s="10"/>
    </row>
    <row r="58" spans="1:16" x14ac:dyDescent="0.25">
      <c r="A58" s="17" t="s">
        <v>806</v>
      </c>
      <c r="B58" s="2" t="s">
        <v>755</v>
      </c>
      <c r="C58" s="27" t="s">
        <v>5</v>
      </c>
      <c r="D58" s="2" t="str">
        <f>VLOOKUP($C58,Sheet1!$A$2:$D$10,2,0)</f>
        <v>141110-14600</v>
      </c>
      <c r="E58" s="8" t="s">
        <v>52</v>
      </c>
      <c r="F58" s="12">
        <v>46039</v>
      </c>
      <c r="G58" s="13">
        <v>0.77083333333333337</v>
      </c>
      <c r="H58" s="2" t="s">
        <v>53</v>
      </c>
      <c r="I58" s="2" t="s">
        <v>54</v>
      </c>
      <c r="J58" s="2">
        <v>54</v>
      </c>
      <c r="K58" s="14">
        <f>VLOOKUP($C58,Sheet1!$A$2:$D$10,4,0)</f>
        <v>18</v>
      </c>
      <c r="L58" s="14" t="str">
        <f>VLOOKUP($C58,Sheet1!$A$2:$E$10,5,0)</f>
        <v>Trolley (H)</v>
      </c>
      <c r="M58" s="14"/>
      <c r="N58" s="52">
        <f>J58/K58</f>
        <v>3</v>
      </c>
      <c r="O58" s="2" t="s">
        <v>122</v>
      </c>
      <c r="P58" s="2" t="s">
        <v>1865</v>
      </c>
    </row>
    <row r="59" spans="1:16" x14ac:dyDescent="0.25">
      <c r="A59" s="17" t="s">
        <v>806</v>
      </c>
      <c r="B59" s="2" t="s">
        <v>760</v>
      </c>
      <c r="C59" s="27" t="s">
        <v>9</v>
      </c>
      <c r="D59" s="2" t="str">
        <f>VLOOKUP($C59,Sheet1!$A$2:$D$10,2,0)</f>
        <v>141120-14600</v>
      </c>
      <c r="E59" s="8" t="s">
        <v>60</v>
      </c>
      <c r="F59" s="12">
        <v>46039</v>
      </c>
      <c r="G59" s="13">
        <v>0.77083333333333337</v>
      </c>
      <c r="H59" s="2" t="s">
        <v>53</v>
      </c>
      <c r="I59" s="2" t="s">
        <v>54</v>
      </c>
      <c r="J59" s="2">
        <v>54</v>
      </c>
      <c r="K59" s="14">
        <f>VLOOKUP($C59,Sheet1!$A$2:$D$10,4,0)</f>
        <v>18</v>
      </c>
      <c r="L59" s="14" t="str">
        <f>VLOOKUP($C59,Sheet1!$A$2:$E$10,5,0)</f>
        <v>Trolley (H)</v>
      </c>
      <c r="M59" s="14"/>
      <c r="N59" s="53"/>
      <c r="O59" s="2" t="s">
        <v>122</v>
      </c>
      <c r="P59" s="2" t="s">
        <v>1865</v>
      </c>
    </row>
    <row r="60" spans="1:16" x14ac:dyDescent="0.25">
      <c r="A60" s="17" t="s">
        <v>806</v>
      </c>
      <c r="B60" s="2" t="s">
        <v>764</v>
      </c>
      <c r="C60" s="27" t="s">
        <v>12</v>
      </c>
      <c r="D60" s="2" t="str">
        <f>VLOOKUP($C60,Sheet1!$A$2:$D$10,2,0)</f>
        <v>141185-74670</v>
      </c>
      <c r="E60" s="8" t="s">
        <v>66</v>
      </c>
      <c r="F60" s="12">
        <v>46039</v>
      </c>
      <c r="G60" s="13">
        <v>0.77083333333333337</v>
      </c>
      <c r="H60" s="2" t="s">
        <v>53</v>
      </c>
      <c r="I60" s="2" t="s">
        <v>54</v>
      </c>
      <c r="J60" s="2">
        <v>120</v>
      </c>
      <c r="K60" s="14">
        <f>VLOOKUP($C60,Sheet1!$A$2:$D$10,4,0)</f>
        <v>40</v>
      </c>
      <c r="L60" s="14" t="str">
        <f>VLOOKUP($C60,Sheet1!$A$2:$E$10,5,0)</f>
        <v>Trolley</v>
      </c>
      <c r="M60" s="14"/>
      <c r="N60" s="2">
        <f>J60/K60</f>
        <v>3</v>
      </c>
      <c r="O60" s="2" t="s">
        <v>122</v>
      </c>
      <c r="P60" s="2">
        <v>910106059</v>
      </c>
    </row>
    <row r="61" spans="1:16" x14ac:dyDescent="0.25">
      <c r="A61" s="17" t="s">
        <v>806</v>
      </c>
      <c r="B61" s="2" t="s">
        <v>769</v>
      </c>
      <c r="C61" s="27" t="s">
        <v>16</v>
      </c>
      <c r="D61" s="2" t="str">
        <f>VLOOKUP($C61,Sheet1!$A$2:$D$10,2,0)</f>
        <v>141140-91211</v>
      </c>
      <c r="E61" s="8" t="s">
        <v>70</v>
      </c>
      <c r="F61" s="12">
        <v>46039</v>
      </c>
      <c r="G61" s="13">
        <v>0.77083333333333337</v>
      </c>
      <c r="H61" s="2" t="s">
        <v>71</v>
      </c>
      <c r="I61" s="2" t="s">
        <v>54</v>
      </c>
      <c r="J61" s="2">
        <v>30</v>
      </c>
      <c r="K61" s="14">
        <f>VLOOKUP($C61,Sheet1!$A$2:$D$10,4,0)</f>
        <v>2</v>
      </c>
      <c r="L61" s="14" t="str">
        <f>VLOOKUP($C61,Sheet1!$A$2:$E$10,5,0)</f>
        <v>Bin</v>
      </c>
      <c r="M61" s="14">
        <f t="shared" ref="M61:M62" si="12">J61/K61</f>
        <v>15</v>
      </c>
      <c r="N61" s="2"/>
      <c r="O61" s="2" t="s">
        <v>122</v>
      </c>
      <c r="P61" s="2" t="s">
        <v>739</v>
      </c>
    </row>
    <row r="62" spans="1:16" x14ac:dyDescent="0.25">
      <c r="A62" s="17" t="s">
        <v>806</v>
      </c>
      <c r="B62" s="2" t="s">
        <v>774</v>
      </c>
      <c r="C62" s="27" t="s">
        <v>20</v>
      </c>
      <c r="D62" s="2" t="str">
        <f>VLOOKUP($C62,Sheet1!$A$2:$D$10,2,0)</f>
        <v>141150-91211</v>
      </c>
      <c r="E62" s="8" t="s">
        <v>78</v>
      </c>
      <c r="F62" s="12">
        <v>46039</v>
      </c>
      <c r="G62" s="13">
        <v>0.77083333333333337</v>
      </c>
      <c r="H62" s="2" t="s">
        <v>71</v>
      </c>
      <c r="I62" s="2" t="s">
        <v>54</v>
      </c>
      <c r="J62" s="2">
        <v>30</v>
      </c>
      <c r="K62" s="14">
        <f>VLOOKUP($C62,Sheet1!$A$2:$D$10,4,0)</f>
        <v>2</v>
      </c>
      <c r="L62" s="14" t="str">
        <f>VLOOKUP($C62,Sheet1!$A$2:$E$10,5,0)</f>
        <v>Bin</v>
      </c>
      <c r="M62" s="14">
        <f t="shared" si="12"/>
        <v>15</v>
      </c>
      <c r="N62" s="2"/>
      <c r="O62" s="2" t="s">
        <v>122</v>
      </c>
      <c r="P62" s="2" t="s">
        <v>739</v>
      </c>
    </row>
    <row r="63" spans="1:16" x14ac:dyDescent="0.25">
      <c r="A63" s="17" t="s">
        <v>806</v>
      </c>
      <c r="B63" s="2" t="s">
        <v>778</v>
      </c>
      <c r="C63" s="27" t="s">
        <v>23</v>
      </c>
      <c r="D63" s="2" t="str">
        <f>VLOOKUP($C63,Sheet1!$A$2:$D$10,2,0)</f>
        <v>141186-74360</v>
      </c>
      <c r="E63" s="8" t="s">
        <v>85</v>
      </c>
      <c r="F63" s="12">
        <v>46039</v>
      </c>
      <c r="G63" s="13">
        <v>0.77083333333333337</v>
      </c>
      <c r="H63" s="2" t="s">
        <v>71</v>
      </c>
      <c r="I63" s="2" t="s">
        <v>54</v>
      </c>
      <c r="J63" s="2">
        <v>120</v>
      </c>
      <c r="K63" s="14">
        <f>VLOOKUP($C63,Sheet1!$A$2:$D$10,4,0)</f>
        <v>40</v>
      </c>
      <c r="L63" s="14" t="str">
        <f>VLOOKUP($C63,Sheet1!$A$2:$E$10,5,0)</f>
        <v>Trolley</v>
      </c>
      <c r="M63" s="14"/>
      <c r="N63" s="2">
        <f>J63/K63</f>
        <v>3</v>
      </c>
      <c r="O63" s="2" t="s">
        <v>122</v>
      </c>
      <c r="P63" s="2">
        <v>910105866</v>
      </c>
    </row>
    <row r="64" spans="1:16" x14ac:dyDescent="0.25">
      <c r="A64" s="17" t="s">
        <v>807</v>
      </c>
      <c r="B64" s="2" t="s">
        <v>783</v>
      </c>
      <c r="C64" s="27" t="s">
        <v>26</v>
      </c>
      <c r="D64" s="2" t="str">
        <f>VLOOKUP($C64,Sheet1!$A$2:$D$10,2,0)</f>
        <v>116040-92240</v>
      </c>
      <c r="E64" s="8" t="s">
        <v>90</v>
      </c>
      <c r="F64" s="12">
        <v>46039</v>
      </c>
      <c r="G64" s="13">
        <v>0.77083333333333337</v>
      </c>
      <c r="H64" s="2" t="s">
        <v>91</v>
      </c>
      <c r="I64" s="2" t="s">
        <v>54</v>
      </c>
      <c r="J64" s="2">
        <v>66</v>
      </c>
      <c r="K64" s="14">
        <f>VLOOKUP($C64,Sheet1!$A$2:$D$10,4,0)</f>
        <v>6</v>
      </c>
      <c r="L64" s="14" t="str">
        <f>VLOOKUP($C64,Sheet1!$A$2:$E$10,5,0)</f>
        <v>Bin</v>
      </c>
      <c r="M64" s="14">
        <f t="shared" ref="M64:M67" si="13">J64/K64</f>
        <v>11</v>
      </c>
      <c r="N64" s="2"/>
      <c r="O64" s="2" t="s">
        <v>122</v>
      </c>
      <c r="P64" s="2" t="s">
        <v>1864</v>
      </c>
    </row>
    <row r="65" spans="1:16" x14ac:dyDescent="0.25">
      <c r="A65" s="17" t="s">
        <v>807</v>
      </c>
      <c r="B65" s="2" t="s">
        <v>788</v>
      </c>
      <c r="C65" s="27" t="s">
        <v>32</v>
      </c>
      <c r="D65" s="2" t="str">
        <f>VLOOKUP($C65,Sheet1!$A$2:$D$10,2,0)</f>
        <v>114010-50820</v>
      </c>
      <c r="E65" s="8" t="s">
        <v>98</v>
      </c>
      <c r="F65" s="12">
        <v>46039</v>
      </c>
      <c r="G65" s="13">
        <v>0.77083333333333337</v>
      </c>
      <c r="H65" s="2" t="s">
        <v>91</v>
      </c>
      <c r="I65" s="2" t="s">
        <v>54</v>
      </c>
      <c r="J65" s="2">
        <v>10</v>
      </c>
      <c r="K65" s="14">
        <f>VLOOKUP($C65,Sheet1!$A$2:$D$10,4,0)</f>
        <v>1</v>
      </c>
      <c r="L65" s="14" t="str">
        <f>VLOOKUP($C65,Sheet1!$A$2:$E$10,5,0)</f>
        <v>Bin</v>
      </c>
      <c r="M65" s="14">
        <f t="shared" si="13"/>
        <v>10</v>
      </c>
      <c r="N65" s="2"/>
      <c r="O65" s="2" t="s">
        <v>122</v>
      </c>
      <c r="P65" s="2" t="s">
        <v>419</v>
      </c>
    </row>
    <row r="66" spans="1:16" ht="15.75" thickBot="1" x14ac:dyDescent="0.3">
      <c r="A66" s="17" t="s">
        <v>807</v>
      </c>
      <c r="B66" s="2" t="s">
        <v>793</v>
      </c>
      <c r="C66" s="27" t="s">
        <v>29</v>
      </c>
      <c r="D66" s="2" t="str">
        <f>VLOOKUP($C66,Sheet1!$A$2:$D$10,2,0)</f>
        <v>114010-50830</v>
      </c>
      <c r="E66" s="8" t="s">
        <v>98</v>
      </c>
      <c r="F66" s="12">
        <v>46039</v>
      </c>
      <c r="G66" s="25">
        <v>0.77083333333333337</v>
      </c>
      <c r="H66" s="2" t="s">
        <v>91</v>
      </c>
      <c r="I66" s="2" t="s">
        <v>54</v>
      </c>
      <c r="J66" s="2">
        <v>18</v>
      </c>
      <c r="K66" s="14">
        <f>VLOOKUP($C66,Sheet1!$A$2:$D$10,4,0)</f>
        <v>1</v>
      </c>
      <c r="L66" s="14" t="str">
        <f>VLOOKUP($C66,Sheet1!$A$2:$E$10,5,0)</f>
        <v>Bin</v>
      </c>
      <c r="M66" s="14">
        <f t="shared" si="13"/>
        <v>18</v>
      </c>
      <c r="N66" s="2"/>
      <c r="O66" s="2" t="s">
        <v>122</v>
      </c>
      <c r="P66" s="2" t="s">
        <v>724</v>
      </c>
    </row>
    <row r="67" spans="1:16" ht="15.75" thickTop="1" x14ac:dyDescent="0.25">
      <c r="A67" s="17" t="s">
        <v>808</v>
      </c>
      <c r="B67" s="2" t="s">
        <v>794</v>
      </c>
      <c r="C67" s="27" t="s">
        <v>29</v>
      </c>
      <c r="D67" s="2" t="str">
        <f>VLOOKUP($C67,Sheet1!$A$2:$D$10,2,0)</f>
        <v>114010-50830</v>
      </c>
      <c r="E67" s="8" t="s">
        <v>98</v>
      </c>
      <c r="F67" s="12">
        <v>46039</v>
      </c>
      <c r="G67" s="22">
        <v>0.97916666666666663</v>
      </c>
      <c r="H67" s="2" t="s">
        <v>91</v>
      </c>
      <c r="I67" s="2" t="s">
        <v>54</v>
      </c>
      <c r="J67" s="2">
        <v>25</v>
      </c>
      <c r="K67" s="14">
        <f>VLOOKUP($C67,Sheet1!$A$2:$D$10,4,0)</f>
        <v>1</v>
      </c>
      <c r="L67" s="14" t="str">
        <f>VLOOKUP($C67,Sheet1!$A$2:$E$10,5,0)</f>
        <v>Bin</v>
      </c>
      <c r="M67" s="14">
        <f t="shared" si="13"/>
        <v>25</v>
      </c>
      <c r="N67" s="2"/>
      <c r="O67" s="2" t="s">
        <v>122</v>
      </c>
      <c r="P67" s="2" t="s">
        <v>724</v>
      </c>
    </row>
    <row r="68" spans="1:16" s="11" customForma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94</v>
      </c>
      <c r="N68" s="10">
        <v>9</v>
      </c>
      <c r="O68" s="10"/>
      <c r="P68" s="10"/>
    </row>
    <row r="69" spans="1:16" x14ac:dyDescent="0.25">
      <c r="A69" s="17" t="s">
        <v>809</v>
      </c>
      <c r="B69" s="2" t="s">
        <v>756</v>
      </c>
      <c r="C69" s="27" t="s">
        <v>5</v>
      </c>
      <c r="D69" s="2" t="str">
        <f>VLOOKUP($C69,Sheet1!$A$2:$D$10,2,0)</f>
        <v>141110-14600</v>
      </c>
      <c r="E69" s="8" t="s">
        <v>52</v>
      </c>
      <c r="F69" s="12">
        <v>46039</v>
      </c>
      <c r="G69" s="13">
        <v>0.97916666666666663</v>
      </c>
      <c r="H69" s="2" t="s">
        <v>53</v>
      </c>
      <c r="I69" s="2" t="s">
        <v>54</v>
      </c>
      <c r="J69" s="2">
        <v>54</v>
      </c>
      <c r="K69" s="14">
        <f>VLOOKUP($C69,Sheet1!$A$2:$D$10,4,0)</f>
        <v>18</v>
      </c>
      <c r="L69" s="14" t="str">
        <f>VLOOKUP($C69,Sheet1!$A$2:$E$10,5,0)</f>
        <v>Trolley (H)</v>
      </c>
      <c r="M69" s="14"/>
      <c r="N69" s="52">
        <v>3</v>
      </c>
      <c r="O69" s="2" t="s">
        <v>359</v>
      </c>
      <c r="P69" s="2" t="s">
        <v>1865</v>
      </c>
    </row>
    <row r="70" spans="1:16" x14ac:dyDescent="0.25">
      <c r="A70" s="17" t="s">
        <v>809</v>
      </c>
      <c r="B70" s="2" t="s">
        <v>761</v>
      </c>
      <c r="C70" s="27" t="s">
        <v>9</v>
      </c>
      <c r="D70" s="2" t="str">
        <f>VLOOKUP($C70,Sheet1!$A$2:$D$10,2,0)</f>
        <v>141120-14600</v>
      </c>
      <c r="E70" s="8" t="s">
        <v>60</v>
      </c>
      <c r="F70" s="12">
        <v>46039</v>
      </c>
      <c r="G70" s="13">
        <v>0.97916666666666663</v>
      </c>
      <c r="H70" s="2" t="s">
        <v>53</v>
      </c>
      <c r="I70" s="2" t="s">
        <v>54</v>
      </c>
      <c r="J70" s="2">
        <v>54</v>
      </c>
      <c r="K70" s="14">
        <f>VLOOKUP($C70,Sheet1!$A$2:$D$10,4,0)</f>
        <v>18</v>
      </c>
      <c r="L70" s="14" t="str">
        <f>VLOOKUP($C70,Sheet1!$A$2:$E$10,5,0)</f>
        <v>Trolley (H)</v>
      </c>
      <c r="M70" s="14"/>
      <c r="N70" s="53"/>
      <c r="O70" s="2" t="s">
        <v>359</v>
      </c>
      <c r="P70" s="2" t="s">
        <v>1865</v>
      </c>
    </row>
    <row r="71" spans="1:16" x14ac:dyDescent="0.25">
      <c r="A71" s="17" t="s">
        <v>809</v>
      </c>
      <c r="B71" s="2" t="s">
        <v>765</v>
      </c>
      <c r="C71" s="27" t="s">
        <v>12</v>
      </c>
      <c r="D71" s="2" t="str">
        <f>VLOOKUP($C71,Sheet1!$A$2:$D$10,2,0)</f>
        <v>141185-74670</v>
      </c>
      <c r="E71" s="8" t="s">
        <v>66</v>
      </c>
      <c r="F71" s="12">
        <v>46039</v>
      </c>
      <c r="G71" s="13">
        <v>0.97916666666666663</v>
      </c>
      <c r="H71" s="2" t="s">
        <v>53</v>
      </c>
      <c r="I71" s="2" t="s">
        <v>54</v>
      </c>
      <c r="J71" s="2">
        <v>120</v>
      </c>
      <c r="K71" s="14">
        <f>VLOOKUP($C71,Sheet1!$A$2:$D$10,4,0)</f>
        <v>40</v>
      </c>
      <c r="L71" s="14" t="str">
        <f>VLOOKUP($C71,Sheet1!$A$2:$E$10,5,0)</f>
        <v>Trolley</v>
      </c>
      <c r="M71" s="14"/>
      <c r="N71" s="2">
        <f>J71/K71</f>
        <v>3</v>
      </c>
      <c r="O71" s="2" t="s">
        <v>359</v>
      </c>
      <c r="P71" s="2" t="s">
        <v>1868</v>
      </c>
    </row>
    <row r="72" spans="1:16" x14ac:dyDescent="0.25">
      <c r="A72" s="17" t="s">
        <v>809</v>
      </c>
      <c r="B72" s="2" t="s">
        <v>770</v>
      </c>
      <c r="C72" s="27" t="s">
        <v>16</v>
      </c>
      <c r="D72" s="2" t="str">
        <f>VLOOKUP($C72,Sheet1!$A$2:$D$10,2,0)</f>
        <v>141140-91211</v>
      </c>
      <c r="E72" s="8" t="s">
        <v>70</v>
      </c>
      <c r="F72" s="12">
        <v>46039</v>
      </c>
      <c r="G72" s="13">
        <v>0.97916666666666663</v>
      </c>
      <c r="H72" s="2" t="s">
        <v>71</v>
      </c>
      <c r="I72" s="2" t="s">
        <v>54</v>
      </c>
      <c r="J72" s="2">
        <v>60</v>
      </c>
      <c r="K72" s="14">
        <f>VLOOKUP($C72,Sheet1!$A$2:$D$10,4,0)</f>
        <v>2</v>
      </c>
      <c r="L72" s="14" t="str">
        <f>VLOOKUP($C72,Sheet1!$A$2:$E$10,5,0)</f>
        <v>Bin</v>
      </c>
      <c r="M72" s="14">
        <f t="shared" ref="M72:M73" si="14">J72/K72</f>
        <v>30</v>
      </c>
      <c r="N72" s="2"/>
      <c r="O72" s="2" t="s">
        <v>359</v>
      </c>
      <c r="P72" s="2" t="s">
        <v>739</v>
      </c>
    </row>
    <row r="73" spans="1:16" x14ac:dyDescent="0.25">
      <c r="A73" s="17" t="s">
        <v>809</v>
      </c>
      <c r="B73" s="2" t="s">
        <v>775</v>
      </c>
      <c r="C73" s="27" t="s">
        <v>20</v>
      </c>
      <c r="D73" s="2" t="str">
        <f>VLOOKUP($C73,Sheet1!$A$2:$D$10,2,0)</f>
        <v>141150-91211</v>
      </c>
      <c r="E73" s="8" t="s">
        <v>78</v>
      </c>
      <c r="F73" s="12">
        <v>46039</v>
      </c>
      <c r="G73" s="13">
        <v>0.97916666666666663</v>
      </c>
      <c r="H73" s="2" t="s">
        <v>71</v>
      </c>
      <c r="I73" s="2" t="s">
        <v>54</v>
      </c>
      <c r="J73" s="2">
        <v>60</v>
      </c>
      <c r="K73" s="14">
        <f>VLOOKUP($C73,Sheet1!$A$2:$D$10,4,0)</f>
        <v>2</v>
      </c>
      <c r="L73" s="14" t="str">
        <f>VLOOKUP($C73,Sheet1!$A$2:$E$10,5,0)</f>
        <v>Bin</v>
      </c>
      <c r="M73" s="14">
        <f t="shared" si="14"/>
        <v>30</v>
      </c>
      <c r="N73" s="2"/>
      <c r="O73" s="2" t="s">
        <v>359</v>
      </c>
      <c r="P73" s="2" t="s">
        <v>739</v>
      </c>
    </row>
    <row r="74" spans="1:16" x14ac:dyDescent="0.25">
      <c r="A74" s="17" t="s">
        <v>809</v>
      </c>
      <c r="B74" s="2" t="s">
        <v>779</v>
      </c>
      <c r="C74" s="27" t="s">
        <v>23</v>
      </c>
      <c r="D74" s="2" t="str">
        <f>VLOOKUP($C74,Sheet1!$A$2:$D$10,2,0)</f>
        <v>141186-74360</v>
      </c>
      <c r="E74" s="8" t="s">
        <v>85</v>
      </c>
      <c r="F74" s="12">
        <v>46039</v>
      </c>
      <c r="G74" s="13">
        <v>0.97916666666666663</v>
      </c>
      <c r="H74" s="2" t="s">
        <v>71</v>
      </c>
      <c r="I74" s="2" t="s">
        <v>54</v>
      </c>
      <c r="J74" s="2">
        <v>120</v>
      </c>
      <c r="K74" s="14">
        <f>VLOOKUP($C74,Sheet1!$A$2:$D$10,4,0)</f>
        <v>40</v>
      </c>
      <c r="L74" s="14" t="str">
        <f>VLOOKUP($C74,Sheet1!$A$2:$E$10,5,0)</f>
        <v>Trolley</v>
      </c>
      <c r="M74" s="14"/>
      <c r="N74" s="2">
        <f>J74/K74</f>
        <v>3</v>
      </c>
      <c r="O74" s="2" t="s">
        <v>359</v>
      </c>
      <c r="P74" s="2">
        <v>910105866</v>
      </c>
    </row>
    <row r="75" spans="1:16" x14ac:dyDescent="0.25">
      <c r="A75" s="17" t="s">
        <v>810</v>
      </c>
      <c r="B75" s="2" t="s">
        <v>784</v>
      </c>
      <c r="C75" s="27" t="s">
        <v>26</v>
      </c>
      <c r="D75" s="2" t="str">
        <f>VLOOKUP($C75,Sheet1!$A$2:$D$10,2,0)</f>
        <v>116040-92240</v>
      </c>
      <c r="E75" s="8" t="s">
        <v>90</v>
      </c>
      <c r="F75" s="12">
        <v>46039</v>
      </c>
      <c r="G75" s="13">
        <v>0.97916666666666663</v>
      </c>
      <c r="H75" s="2" t="s">
        <v>91</v>
      </c>
      <c r="I75" s="2" t="s">
        <v>54</v>
      </c>
      <c r="J75" s="2">
        <v>60</v>
      </c>
      <c r="K75" s="14">
        <f>VLOOKUP($C75,Sheet1!$A$2:$D$10,4,0)</f>
        <v>6</v>
      </c>
      <c r="L75" s="14" t="str">
        <f>VLOOKUP($C75,Sheet1!$A$2:$E$10,5,0)</f>
        <v>Bin</v>
      </c>
      <c r="M75" s="14">
        <f t="shared" ref="M75:M77" si="15">J75/K75</f>
        <v>10</v>
      </c>
      <c r="N75" s="2"/>
      <c r="O75" s="2" t="s">
        <v>359</v>
      </c>
      <c r="P75" s="2" t="s">
        <v>1864</v>
      </c>
    </row>
    <row r="76" spans="1:16" x14ac:dyDescent="0.25">
      <c r="A76" s="17" t="s">
        <v>810</v>
      </c>
      <c r="B76" s="2" t="s">
        <v>789</v>
      </c>
      <c r="C76" s="27" t="s">
        <v>32</v>
      </c>
      <c r="D76" s="2" t="str">
        <f>VLOOKUP($C76,Sheet1!$A$2:$D$10,2,0)</f>
        <v>114010-50820</v>
      </c>
      <c r="E76" s="8" t="s">
        <v>98</v>
      </c>
      <c r="F76" s="12">
        <v>46039</v>
      </c>
      <c r="G76" s="13">
        <v>0.97916666666666663</v>
      </c>
      <c r="H76" s="2" t="s">
        <v>91</v>
      </c>
      <c r="I76" s="2" t="s">
        <v>54</v>
      </c>
      <c r="J76" s="2">
        <v>12</v>
      </c>
      <c r="K76" s="14">
        <f>VLOOKUP($C76,Sheet1!$A$2:$D$10,4,0)</f>
        <v>1</v>
      </c>
      <c r="L76" s="14" t="str">
        <f>VLOOKUP($C76,Sheet1!$A$2:$E$10,5,0)</f>
        <v>Bin</v>
      </c>
      <c r="M76" s="14">
        <f t="shared" si="15"/>
        <v>12</v>
      </c>
      <c r="N76" s="2"/>
      <c r="O76" s="2" t="s">
        <v>359</v>
      </c>
      <c r="P76" s="2" t="s">
        <v>419</v>
      </c>
    </row>
    <row r="77" spans="1:16" x14ac:dyDescent="0.25">
      <c r="A77" s="17" t="s">
        <v>810</v>
      </c>
      <c r="B77" s="2" t="s">
        <v>794</v>
      </c>
      <c r="C77" s="27" t="s">
        <v>29</v>
      </c>
      <c r="D77" s="2" t="str">
        <f>VLOOKUP($C77,Sheet1!$A$2:$D$10,2,0)</f>
        <v>114010-50830</v>
      </c>
      <c r="E77" s="8" t="s">
        <v>98</v>
      </c>
      <c r="F77" s="12">
        <v>46039</v>
      </c>
      <c r="G77" s="13">
        <v>0.97916666666666663</v>
      </c>
      <c r="H77" s="2" t="s">
        <v>91</v>
      </c>
      <c r="I77" s="2" t="s">
        <v>54</v>
      </c>
      <c r="J77" s="2">
        <v>23</v>
      </c>
      <c r="K77" s="14">
        <f>VLOOKUP($C77,Sheet1!$A$2:$D$10,4,0)</f>
        <v>1</v>
      </c>
      <c r="L77" s="14" t="str">
        <f>VLOOKUP($C77,Sheet1!$A$2:$E$10,5,0)</f>
        <v>Bin</v>
      </c>
      <c r="M77" s="14">
        <f t="shared" si="15"/>
        <v>23</v>
      </c>
      <c r="N77" s="2"/>
      <c r="O77" s="2" t="s">
        <v>359</v>
      </c>
      <c r="P77" s="2" t="s">
        <v>724</v>
      </c>
    </row>
    <row r="78" spans="1:16" s="11" customForma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>
        <v>105</v>
      </c>
      <c r="N78" s="10">
        <v>9</v>
      </c>
      <c r="O78" s="10"/>
      <c r="P78" s="10"/>
    </row>
    <row r="79" spans="1:16" x14ac:dyDescent="0.25">
      <c r="A79" s="2"/>
      <c r="B79" s="2" t="s">
        <v>795</v>
      </c>
      <c r="C79" s="2"/>
      <c r="D79" s="2"/>
      <c r="E79" s="8"/>
      <c r="F79" s="12"/>
      <c r="G79" s="13"/>
      <c r="H79" s="2"/>
      <c r="I79" s="2"/>
      <c r="J79" s="2"/>
      <c r="K79" s="14"/>
      <c r="L79" s="14"/>
      <c r="M79" s="14"/>
      <c r="N79" s="2"/>
      <c r="O79" s="2"/>
      <c r="P79" s="2"/>
    </row>
  </sheetData>
  <autoFilter ref="A3:P79" xr:uid="{8488125F-BE10-4C45-80B2-1E9F073000D1}"/>
  <mergeCells count="11">
    <mergeCell ref="N58:N59"/>
    <mergeCell ref="N69:N70"/>
    <mergeCell ref="N18:N19"/>
    <mergeCell ref="N43:N44"/>
    <mergeCell ref="N51:N52"/>
    <mergeCell ref="N31:N32"/>
    <mergeCell ref="A1:F1"/>
    <mergeCell ref="J1:N1"/>
    <mergeCell ref="L2:N2"/>
    <mergeCell ref="N4:N5"/>
    <mergeCell ref="N20:N21"/>
  </mergeCells>
  <conditionalFormatting sqref="B2">
    <cfRule type="duplicateValues" dxfId="77" priority="3"/>
    <cfRule type="duplicateValues" dxfId="76" priority="4"/>
  </conditionalFormatting>
  <conditionalFormatting sqref="B40:B41">
    <cfRule type="duplicateValues" dxfId="75" priority="1"/>
  </conditionalFormatting>
  <conditionalFormatting sqref="B69:B77 B4:B16 B79 B18:B29 B31:B39 B43:B56 B58:B67">
    <cfRule type="duplicateValues" dxfId="74" priority="2"/>
  </conditionalFormatting>
  <conditionalFormatting sqref="C2:D2">
    <cfRule type="duplicateValues" dxfId="73" priority="5"/>
    <cfRule type="duplicateValues" dxfId="72" priority="6"/>
  </conditionalFormatting>
  <hyperlinks>
    <hyperlink ref="B79" r:id="rId1" display="http://192.168.1.249/downloads/temp/X539_eNagare_2026116.log" xr:uid="{FAF6C518-E25C-4422-8FBA-4CA576037115}"/>
  </hyperlinks>
  <pageMargins left="0.17" right="0.17" top="0.17" bottom="0.17" header="0.17" footer="0.17"/>
  <pageSetup paperSize="9" scale="14" fitToHeight="0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64DD-B1B2-4F02-8024-60FD80E3B8AF}">
  <sheetPr>
    <tabColor rgb="FF00B050"/>
    <pageSetUpPr fitToPage="1"/>
  </sheetPr>
  <dimension ref="A1:P67"/>
  <sheetViews>
    <sheetView topLeftCell="A34" workbookViewId="0">
      <selection activeCell="P64" sqref="P64"/>
    </sheetView>
  </sheetViews>
  <sheetFormatPr defaultColWidth="39.7109375" defaultRowHeight="15" x14ac:dyDescent="0.25"/>
  <cols>
    <col min="1" max="1" width="15.140625" bestFit="1" customWidth="1"/>
    <col min="2" max="2" width="18.7109375" customWidth="1"/>
    <col min="3" max="3" width="14.140625" bestFit="1" customWidth="1"/>
    <col min="4" max="4" width="14.140625" customWidth="1"/>
    <col min="5" max="5" width="32.5703125" bestFit="1" customWidth="1"/>
    <col min="6" max="6" width="11.140625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0.7109375" customWidth="1"/>
    <col min="13" max="13" width="7.140625" bestFit="1" customWidth="1"/>
    <col min="14" max="14" width="7.85546875" bestFit="1" customWidth="1"/>
    <col min="15" max="15" width="10.7109375" customWidth="1"/>
    <col min="16" max="16" width="42.8554687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46041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861</v>
      </c>
      <c r="B4" s="2" t="s">
        <v>815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46041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119</v>
      </c>
      <c r="P4" s="2" t="s">
        <v>1870</v>
      </c>
    </row>
    <row r="5" spans="1:16" x14ac:dyDescent="0.25">
      <c r="A5" s="17" t="s">
        <v>861</v>
      </c>
      <c r="B5" s="2" t="s">
        <v>820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46041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119</v>
      </c>
      <c r="P5" s="2" t="s">
        <v>1871</v>
      </c>
    </row>
    <row r="6" spans="1:16" x14ac:dyDescent="0.25">
      <c r="A6" s="17" t="s">
        <v>861</v>
      </c>
      <c r="B6" s="2" t="s">
        <v>825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46041</v>
      </c>
      <c r="G6" s="13">
        <v>0.35416666666666669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119</v>
      </c>
      <c r="P6" s="2" t="s">
        <v>1869</v>
      </c>
    </row>
    <row r="7" spans="1:16" x14ac:dyDescent="0.25">
      <c r="A7" s="17" t="s">
        <v>861</v>
      </c>
      <c r="B7" s="2" t="s">
        <v>826</v>
      </c>
      <c r="C7" s="27" t="s">
        <v>12</v>
      </c>
      <c r="D7" s="2" t="str">
        <f>VLOOKUP($C7,Sheet1!$A$2:$D$10,2,0)</f>
        <v>141185-74670</v>
      </c>
      <c r="E7" s="8" t="s">
        <v>66</v>
      </c>
      <c r="F7" s="12">
        <v>46041</v>
      </c>
      <c r="G7" s="13">
        <v>0.35416666666666669</v>
      </c>
      <c r="H7" s="2" t="s">
        <v>53</v>
      </c>
      <c r="I7" s="2" t="s">
        <v>54</v>
      </c>
      <c r="J7" s="2">
        <v>40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1</v>
      </c>
      <c r="O7" s="2" t="s">
        <v>119</v>
      </c>
      <c r="P7" s="2">
        <v>910105841</v>
      </c>
    </row>
    <row r="8" spans="1:16" x14ac:dyDescent="0.25">
      <c r="A8" s="17" t="s">
        <v>861</v>
      </c>
      <c r="B8" s="2" t="s">
        <v>830</v>
      </c>
      <c r="C8" s="27" t="s">
        <v>16</v>
      </c>
      <c r="D8" s="2" t="str">
        <f>VLOOKUP($C8,Sheet1!$A$2:$D$10,2,0)</f>
        <v>141140-91211</v>
      </c>
      <c r="E8" s="8" t="s">
        <v>70</v>
      </c>
      <c r="F8" s="12">
        <v>46041</v>
      </c>
      <c r="G8" s="13">
        <v>0.35416666666666669</v>
      </c>
      <c r="H8" s="2" t="s">
        <v>71</v>
      </c>
      <c r="I8" s="2" t="s">
        <v>54</v>
      </c>
      <c r="J8" s="2">
        <v>58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29</v>
      </c>
      <c r="N8" s="2"/>
      <c r="O8" s="2" t="s">
        <v>119</v>
      </c>
      <c r="P8" s="2" t="s">
        <v>739</v>
      </c>
    </row>
    <row r="9" spans="1:16" x14ac:dyDescent="0.25">
      <c r="A9" s="17" t="s">
        <v>861</v>
      </c>
      <c r="B9" s="2" t="s">
        <v>835</v>
      </c>
      <c r="C9" s="27" t="s">
        <v>20</v>
      </c>
      <c r="D9" s="2" t="str">
        <f>VLOOKUP($C9,Sheet1!$A$2:$D$10,2,0)</f>
        <v>141150-91211</v>
      </c>
      <c r="E9" s="8" t="s">
        <v>78</v>
      </c>
      <c r="F9" s="12">
        <v>46041</v>
      </c>
      <c r="G9" s="13">
        <v>0.35416666666666669</v>
      </c>
      <c r="H9" s="2" t="s">
        <v>71</v>
      </c>
      <c r="I9" s="2" t="s">
        <v>54</v>
      </c>
      <c r="J9" s="2">
        <v>58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" si="0">J9/K9</f>
        <v>29</v>
      </c>
      <c r="N9" s="2"/>
      <c r="O9" s="2" t="s">
        <v>119</v>
      </c>
      <c r="P9" s="2" t="s">
        <v>739</v>
      </c>
    </row>
    <row r="10" spans="1:16" x14ac:dyDescent="0.25">
      <c r="A10" s="17" t="s">
        <v>861</v>
      </c>
      <c r="B10" s="2" t="s">
        <v>840</v>
      </c>
      <c r="C10" s="27" t="s">
        <v>23</v>
      </c>
      <c r="D10" s="2" t="str">
        <f>VLOOKUP($C10,Sheet1!$A$2:$D$10,2,0)</f>
        <v>141186-74360</v>
      </c>
      <c r="E10" s="8" t="s">
        <v>85</v>
      </c>
      <c r="F10" s="12">
        <v>46041</v>
      </c>
      <c r="G10" s="13">
        <v>0.35416666666666669</v>
      </c>
      <c r="H10" s="2" t="s">
        <v>71</v>
      </c>
      <c r="I10" s="2" t="s">
        <v>54</v>
      </c>
      <c r="J10" s="2">
        <v>40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 t="shared" ref="N10:N11" si="1">J10/K10</f>
        <v>1</v>
      </c>
      <c r="O10" s="2" t="s">
        <v>119</v>
      </c>
      <c r="P10" s="2">
        <v>910105866</v>
      </c>
    </row>
    <row r="11" spans="1:16" x14ac:dyDescent="0.25">
      <c r="A11" s="17" t="s">
        <v>861</v>
      </c>
      <c r="B11" s="2" t="s">
        <v>841</v>
      </c>
      <c r="C11" s="27" t="s">
        <v>23</v>
      </c>
      <c r="D11" s="2" t="str">
        <f>VLOOKUP($C11,Sheet1!$A$2:$D$10,2,0)</f>
        <v>141186-74360</v>
      </c>
      <c r="E11" s="8" t="s">
        <v>85</v>
      </c>
      <c r="F11" s="12">
        <v>46041</v>
      </c>
      <c r="G11" s="13">
        <v>0.35416666666666669</v>
      </c>
      <c r="H11" s="2" t="s">
        <v>71</v>
      </c>
      <c r="I11" s="2" t="s">
        <v>54</v>
      </c>
      <c r="J11" s="2">
        <v>80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 t="shared" si="1"/>
        <v>2</v>
      </c>
      <c r="O11" s="2" t="s">
        <v>119</v>
      </c>
      <c r="P11" s="2">
        <v>910105866</v>
      </c>
    </row>
    <row r="12" spans="1:16" x14ac:dyDescent="0.25">
      <c r="A12" s="17" t="s">
        <v>862</v>
      </c>
      <c r="B12" s="2" t="s">
        <v>845</v>
      </c>
      <c r="C12" s="27" t="s">
        <v>26</v>
      </c>
      <c r="D12" s="2" t="str">
        <f>VLOOKUP($C12,Sheet1!$A$2:$D$10,2,0)</f>
        <v>116040-92240</v>
      </c>
      <c r="E12" s="8" t="s">
        <v>90</v>
      </c>
      <c r="F12" s="12">
        <v>46041</v>
      </c>
      <c r="G12" s="13">
        <v>0.35416666666666669</v>
      </c>
      <c r="H12" s="2" t="s">
        <v>91</v>
      </c>
      <c r="I12" s="2" t="s">
        <v>54</v>
      </c>
      <c r="J12" s="2">
        <v>84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ref="M12:M14" si="2">J12/K12</f>
        <v>14</v>
      </c>
      <c r="N12" s="2"/>
      <c r="O12" s="2" t="s">
        <v>119</v>
      </c>
      <c r="P12" s="2" t="s">
        <v>1864</v>
      </c>
    </row>
    <row r="13" spans="1:16" x14ac:dyDescent="0.25">
      <c r="A13" s="17" t="s">
        <v>862</v>
      </c>
      <c r="B13" s="2" t="s">
        <v>850</v>
      </c>
      <c r="C13" s="27" t="s">
        <v>32</v>
      </c>
      <c r="D13" s="2" t="str">
        <f>VLOOKUP($C13,Sheet1!$A$2:$D$10,2,0)</f>
        <v>114010-50820</v>
      </c>
      <c r="E13" s="8" t="s">
        <v>98</v>
      </c>
      <c r="F13" s="12">
        <v>46041</v>
      </c>
      <c r="G13" s="13">
        <v>0.35416666666666669</v>
      </c>
      <c r="H13" s="2" t="s">
        <v>91</v>
      </c>
      <c r="I13" s="2" t="s">
        <v>54</v>
      </c>
      <c r="J13" s="2">
        <v>23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2"/>
        <v>23</v>
      </c>
      <c r="N13" s="2"/>
      <c r="O13" s="2" t="s">
        <v>119</v>
      </c>
      <c r="P13" s="2" t="s">
        <v>1872</v>
      </c>
    </row>
    <row r="14" spans="1:16" x14ac:dyDescent="0.25">
      <c r="A14" s="17" t="s">
        <v>862</v>
      </c>
      <c r="B14" s="2" t="s">
        <v>855</v>
      </c>
      <c r="C14" s="27" t="s">
        <v>29</v>
      </c>
      <c r="D14" s="2" t="str">
        <f>VLOOKUP($C14,Sheet1!$A$2:$D$10,2,0)</f>
        <v>114010-50830</v>
      </c>
      <c r="E14" s="8" t="s">
        <v>98</v>
      </c>
      <c r="F14" s="12">
        <v>46041</v>
      </c>
      <c r="G14" s="13">
        <v>0.35416666666666669</v>
      </c>
      <c r="H14" s="2" t="s">
        <v>91</v>
      </c>
      <c r="I14" s="2" t="s">
        <v>54</v>
      </c>
      <c r="J14" s="2">
        <v>20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2"/>
        <v>20</v>
      </c>
      <c r="N14" s="2"/>
      <c r="O14" s="2" t="s">
        <v>119</v>
      </c>
      <c r="P14" s="2" t="s">
        <v>724</v>
      </c>
    </row>
    <row r="15" spans="1:16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115</v>
      </c>
      <c r="N15" s="10">
        <v>9</v>
      </c>
      <c r="O15" s="10"/>
      <c r="P15" s="10"/>
    </row>
    <row r="16" spans="1:16" x14ac:dyDescent="0.25">
      <c r="A16" s="17" t="s">
        <v>863</v>
      </c>
      <c r="B16" s="2" t="s">
        <v>815</v>
      </c>
      <c r="C16" s="27" t="s">
        <v>5</v>
      </c>
      <c r="D16" s="2" t="str">
        <f>VLOOKUP($C16,Sheet1!$A$2:$D$10,2,0)</f>
        <v>141110-14600</v>
      </c>
      <c r="E16" s="8" t="s">
        <v>52</v>
      </c>
      <c r="F16" s="12">
        <v>46041</v>
      </c>
      <c r="G16" s="13">
        <v>0.35416666666666669</v>
      </c>
      <c r="H16" s="2" t="s">
        <v>53</v>
      </c>
      <c r="I16" s="2" t="s">
        <v>54</v>
      </c>
      <c r="J16" s="2">
        <v>18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2">
        <v>1</v>
      </c>
      <c r="O16" s="2" t="s">
        <v>121</v>
      </c>
      <c r="P16" s="2" t="s">
        <v>1873</v>
      </c>
    </row>
    <row r="17" spans="1:16" x14ac:dyDescent="0.25">
      <c r="A17" s="17" t="s">
        <v>863</v>
      </c>
      <c r="B17" s="2" t="s">
        <v>820</v>
      </c>
      <c r="C17" s="27" t="s">
        <v>9</v>
      </c>
      <c r="D17" s="2" t="str">
        <f>VLOOKUP($C17,Sheet1!$A$2:$D$10,2,0)</f>
        <v>141120-14600</v>
      </c>
      <c r="E17" s="8" t="s">
        <v>60</v>
      </c>
      <c r="F17" s="12">
        <v>46041</v>
      </c>
      <c r="G17" s="13">
        <v>0.35416666666666669</v>
      </c>
      <c r="H17" s="2" t="s">
        <v>53</v>
      </c>
      <c r="I17" s="2" t="s">
        <v>54</v>
      </c>
      <c r="J17" s="2">
        <v>18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3"/>
      <c r="O17" s="2" t="s">
        <v>121</v>
      </c>
      <c r="P17" s="2" t="s">
        <v>1873</v>
      </c>
    </row>
    <row r="18" spans="1:16" x14ac:dyDescent="0.25">
      <c r="A18" s="17" t="s">
        <v>863</v>
      </c>
      <c r="B18" s="2" t="s">
        <v>816</v>
      </c>
      <c r="C18" s="27" t="s">
        <v>5</v>
      </c>
      <c r="D18" s="2" t="str">
        <f>VLOOKUP($C18,Sheet1!$A$2:$D$10,2,0)</f>
        <v>141110-14600</v>
      </c>
      <c r="E18" s="8" t="s">
        <v>52</v>
      </c>
      <c r="F18" s="12">
        <v>46041</v>
      </c>
      <c r="G18" s="13">
        <v>0.35416666666666669</v>
      </c>
      <c r="H18" s="2" t="s">
        <v>53</v>
      </c>
      <c r="I18" s="2" t="s">
        <v>54</v>
      </c>
      <c r="J18" s="2">
        <v>18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2">
        <v>1</v>
      </c>
      <c r="O18" s="2" t="s">
        <v>121</v>
      </c>
      <c r="P18" s="2" t="s">
        <v>1873</v>
      </c>
    </row>
    <row r="19" spans="1:16" x14ac:dyDescent="0.25">
      <c r="A19" s="17" t="s">
        <v>863</v>
      </c>
      <c r="B19" s="2" t="s">
        <v>821</v>
      </c>
      <c r="C19" s="27" t="s">
        <v>9</v>
      </c>
      <c r="D19" s="2" t="str">
        <f>VLOOKUP($C19,Sheet1!$A$2:$D$10,2,0)</f>
        <v>141120-14600</v>
      </c>
      <c r="E19" s="8" t="s">
        <v>60</v>
      </c>
      <c r="F19" s="12">
        <v>46041</v>
      </c>
      <c r="G19" s="13">
        <v>0.35416666666666669</v>
      </c>
      <c r="H19" s="2" t="s">
        <v>53</v>
      </c>
      <c r="I19" s="2" t="s">
        <v>54</v>
      </c>
      <c r="J19" s="2">
        <v>18</v>
      </c>
      <c r="K19" s="14">
        <f>VLOOKUP($C19,Sheet1!$A$2:$D$10,4,0)</f>
        <v>18</v>
      </c>
      <c r="L19" s="14" t="str">
        <f>VLOOKUP($C19,Sheet1!$A$2:$E$10,5,0)</f>
        <v>Trolley (H)</v>
      </c>
      <c r="M19" s="14"/>
      <c r="N19" s="53"/>
      <c r="O19" s="2" t="s">
        <v>121</v>
      </c>
      <c r="P19" s="2" t="s">
        <v>1873</v>
      </c>
    </row>
    <row r="20" spans="1:16" x14ac:dyDescent="0.25">
      <c r="A20" s="17" t="s">
        <v>863</v>
      </c>
      <c r="B20" s="2" t="s">
        <v>825</v>
      </c>
      <c r="C20" s="27" t="s">
        <v>12</v>
      </c>
      <c r="D20" s="2" t="str">
        <f>VLOOKUP($C20,Sheet1!$A$2:$D$10,2,0)</f>
        <v>141185-74670</v>
      </c>
      <c r="E20" s="8" t="s">
        <v>66</v>
      </c>
      <c r="F20" s="12">
        <v>46041</v>
      </c>
      <c r="G20" s="13">
        <v>0.35416666666666669</v>
      </c>
      <c r="H20" s="2" t="s">
        <v>53</v>
      </c>
      <c r="I20" s="2" t="s">
        <v>54</v>
      </c>
      <c r="J20" s="2">
        <v>120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3</v>
      </c>
      <c r="O20" s="2" t="s">
        <v>121</v>
      </c>
      <c r="P20" s="2">
        <v>910105841</v>
      </c>
    </row>
    <row r="21" spans="1:16" x14ac:dyDescent="0.25">
      <c r="A21" s="17" t="s">
        <v>863</v>
      </c>
      <c r="B21" s="2" t="s">
        <v>831</v>
      </c>
      <c r="C21" s="27" t="s">
        <v>16</v>
      </c>
      <c r="D21" s="2" t="str">
        <f>VLOOKUP($C21,Sheet1!$A$2:$D$10,2,0)</f>
        <v>141140-91211</v>
      </c>
      <c r="E21" s="8" t="s">
        <v>70</v>
      </c>
      <c r="F21" s="12">
        <v>46041</v>
      </c>
      <c r="G21" s="13">
        <v>0.35416666666666669</v>
      </c>
      <c r="H21" s="2" t="s">
        <v>71</v>
      </c>
      <c r="I21" s="2" t="s">
        <v>54</v>
      </c>
      <c r="J21" s="2">
        <v>22</v>
      </c>
      <c r="K21" s="14">
        <f>VLOOKUP($C21,Sheet1!$A$2:$D$10,4,0)</f>
        <v>2</v>
      </c>
      <c r="L21" s="14" t="str">
        <f>VLOOKUP($C21,Sheet1!$A$2:$E$10,5,0)</f>
        <v>Bin</v>
      </c>
      <c r="M21" s="14">
        <f>J21/K21</f>
        <v>11</v>
      </c>
      <c r="N21" s="2"/>
      <c r="O21" s="2" t="s">
        <v>121</v>
      </c>
      <c r="P21" s="2" t="s">
        <v>739</v>
      </c>
    </row>
    <row r="22" spans="1:16" x14ac:dyDescent="0.25">
      <c r="A22" s="17" t="s">
        <v>863</v>
      </c>
      <c r="B22" s="2" t="s">
        <v>830</v>
      </c>
      <c r="C22" s="27" t="s">
        <v>16</v>
      </c>
      <c r="D22" s="2" t="str">
        <f>VLOOKUP($C22,Sheet1!$A$2:$D$10,2,0)</f>
        <v>141140-91211</v>
      </c>
      <c r="E22" s="8" t="s">
        <v>70</v>
      </c>
      <c r="F22" s="12">
        <v>46041</v>
      </c>
      <c r="G22" s="13">
        <v>0.35416666666666669</v>
      </c>
      <c r="H22" s="2" t="s">
        <v>71</v>
      </c>
      <c r="I22" s="2" t="s">
        <v>54</v>
      </c>
      <c r="J22" s="2">
        <v>30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15</v>
      </c>
      <c r="N22" s="2"/>
      <c r="O22" s="2" t="s">
        <v>121</v>
      </c>
      <c r="P22" s="2" t="s">
        <v>739</v>
      </c>
    </row>
    <row r="23" spans="1:16" x14ac:dyDescent="0.25">
      <c r="A23" s="17" t="s">
        <v>863</v>
      </c>
      <c r="B23" s="2" t="s">
        <v>835</v>
      </c>
      <c r="C23" s="27" t="s">
        <v>20</v>
      </c>
      <c r="D23" s="2" t="str">
        <f>VLOOKUP($C23,Sheet1!$A$2:$D$10,2,0)</f>
        <v>141150-91211</v>
      </c>
      <c r="E23" s="8" t="s">
        <v>78</v>
      </c>
      <c r="F23" s="12">
        <v>46041</v>
      </c>
      <c r="G23" s="13">
        <v>0.35416666666666669</v>
      </c>
      <c r="H23" s="2" t="s">
        <v>71</v>
      </c>
      <c r="I23" s="2" t="s">
        <v>54</v>
      </c>
      <c r="J23" s="2">
        <v>30</v>
      </c>
      <c r="K23" s="14">
        <f>VLOOKUP($C23,Sheet1!$A$2:$D$10,4,0)</f>
        <v>2</v>
      </c>
      <c r="L23" s="14" t="str">
        <f>VLOOKUP($C23,Sheet1!$A$2:$E$10,5,0)</f>
        <v>Bin</v>
      </c>
      <c r="M23" s="14">
        <f t="shared" ref="M23" si="3">J23/K23</f>
        <v>15</v>
      </c>
      <c r="N23" s="2"/>
      <c r="O23" s="2" t="s">
        <v>121</v>
      </c>
      <c r="P23" s="2" t="s">
        <v>739</v>
      </c>
    </row>
    <row r="24" spans="1:16" x14ac:dyDescent="0.25">
      <c r="A24" s="17" t="s">
        <v>863</v>
      </c>
      <c r="B24" s="2" t="s">
        <v>836</v>
      </c>
      <c r="C24" s="27" t="s">
        <v>20</v>
      </c>
      <c r="D24" s="2" t="str">
        <f>VLOOKUP($C24,Sheet1!$A$2:$D$10,2,0)</f>
        <v>141150-91211</v>
      </c>
      <c r="E24" s="8" t="s">
        <v>78</v>
      </c>
      <c r="F24" s="12">
        <v>46041</v>
      </c>
      <c r="G24" s="13">
        <v>0.35416666666666669</v>
      </c>
      <c r="H24" s="2" t="s">
        <v>71</v>
      </c>
      <c r="I24" s="2" t="s">
        <v>54</v>
      </c>
      <c r="J24" s="2">
        <v>22</v>
      </c>
      <c r="K24" s="14">
        <f>VLOOKUP($C24,Sheet1!$A$2:$D$10,4,0)</f>
        <v>2</v>
      </c>
      <c r="L24" s="14" t="str">
        <f>VLOOKUP($C24,Sheet1!$A$2:$E$10,5,0)</f>
        <v>Bin</v>
      </c>
      <c r="M24" s="14">
        <f>J24/K24</f>
        <v>11</v>
      </c>
      <c r="N24" s="2"/>
      <c r="O24" s="2" t="s">
        <v>121</v>
      </c>
      <c r="P24" s="2" t="s">
        <v>739</v>
      </c>
    </row>
    <row r="25" spans="1:16" x14ac:dyDescent="0.25">
      <c r="A25" s="17" t="s">
        <v>863</v>
      </c>
      <c r="B25" s="2" t="s">
        <v>840</v>
      </c>
      <c r="C25" s="27" t="s">
        <v>23</v>
      </c>
      <c r="D25" s="2" t="str">
        <f>VLOOKUP($C25,Sheet1!$A$2:$D$10,2,0)</f>
        <v>141186-74360</v>
      </c>
      <c r="E25" s="8" t="s">
        <v>85</v>
      </c>
      <c r="F25" s="12">
        <v>46041</v>
      </c>
      <c r="G25" s="13">
        <v>0.35416666666666669</v>
      </c>
      <c r="H25" s="2" t="s">
        <v>71</v>
      </c>
      <c r="I25" s="2" t="s">
        <v>54</v>
      </c>
      <c r="J25" s="2">
        <v>160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 t="shared" ref="N25" si="4">J25/K25</f>
        <v>4</v>
      </c>
      <c r="O25" s="2" t="s">
        <v>121</v>
      </c>
      <c r="P25" s="2" t="s">
        <v>1874</v>
      </c>
    </row>
    <row r="26" spans="1:16" x14ac:dyDescent="0.25">
      <c r="A26" s="17" t="s">
        <v>870</v>
      </c>
      <c r="B26" s="2" t="s">
        <v>846</v>
      </c>
      <c r="C26" s="27" t="s">
        <v>26</v>
      </c>
      <c r="D26" s="2" t="str">
        <f>VLOOKUP($C26,Sheet1!$A$2:$D$10,2,0)</f>
        <v>116040-92240</v>
      </c>
      <c r="E26" s="8" t="s">
        <v>90</v>
      </c>
      <c r="F26" s="12">
        <v>46041</v>
      </c>
      <c r="G26" s="13">
        <v>0.35416666666666669</v>
      </c>
      <c r="H26" s="2" t="s">
        <v>91</v>
      </c>
      <c r="I26" s="2" t="s">
        <v>54</v>
      </c>
      <c r="J26" s="2">
        <v>24</v>
      </c>
      <c r="K26" s="14">
        <f>VLOOKUP($C26,Sheet1!$A$2:$D$10,4,0)</f>
        <v>6</v>
      </c>
      <c r="L26" s="14" t="str">
        <f>VLOOKUP($C26,Sheet1!$A$2:$E$10,5,0)</f>
        <v>Bin</v>
      </c>
      <c r="M26" s="14">
        <f>J26/K26</f>
        <v>4</v>
      </c>
      <c r="N26" s="2"/>
      <c r="O26" s="2" t="s">
        <v>121</v>
      </c>
      <c r="P26" s="2" t="s">
        <v>1864</v>
      </c>
    </row>
    <row r="27" spans="1:16" x14ac:dyDescent="0.25">
      <c r="A27" s="17" t="s">
        <v>870</v>
      </c>
      <c r="B27" s="2" t="s">
        <v>851</v>
      </c>
      <c r="C27" s="27" t="s">
        <v>32</v>
      </c>
      <c r="D27" s="2" t="str">
        <f>VLOOKUP($C27,Sheet1!$A$2:$D$10,2,0)</f>
        <v>114010-50820</v>
      </c>
      <c r="E27" s="8" t="s">
        <v>98</v>
      </c>
      <c r="F27" s="12">
        <v>46041</v>
      </c>
      <c r="G27" s="13">
        <v>0.35416666666666669</v>
      </c>
      <c r="H27" s="2" t="s">
        <v>91</v>
      </c>
      <c r="I27" s="2" t="s">
        <v>54</v>
      </c>
      <c r="J27" s="2">
        <v>13</v>
      </c>
      <c r="K27" s="14">
        <f>VLOOKUP($C27,Sheet1!$A$2:$D$10,4,0)</f>
        <v>1</v>
      </c>
      <c r="L27" s="14" t="str">
        <f>VLOOKUP($C27,Sheet1!$A$2:$E$10,5,0)</f>
        <v>Bin</v>
      </c>
      <c r="M27" s="14">
        <f>J27/K27</f>
        <v>13</v>
      </c>
      <c r="N27" s="2"/>
      <c r="O27" s="2" t="s">
        <v>121</v>
      </c>
      <c r="P27" s="2" t="s">
        <v>419</v>
      </c>
    </row>
    <row r="28" spans="1:16" x14ac:dyDescent="0.25">
      <c r="A28" s="17" t="s">
        <v>870</v>
      </c>
      <c r="B28" s="2" t="s">
        <v>856</v>
      </c>
      <c r="C28" s="27" t="s">
        <v>29</v>
      </c>
      <c r="D28" s="2" t="str">
        <f>VLOOKUP($C28,Sheet1!$A$2:$D$10,2,0)</f>
        <v>114010-50830</v>
      </c>
      <c r="E28" s="8" t="s">
        <v>98</v>
      </c>
      <c r="F28" s="12">
        <v>46041</v>
      </c>
      <c r="G28" s="13">
        <v>0.35416666666666669</v>
      </c>
      <c r="H28" s="2" t="s">
        <v>91</v>
      </c>
      <c r="I28" s="2" t="s">
        <v>54</v>
      </c>
      <c r="J28" s="2">
        <v>8</v>
      </c>
      <c r="K28" s="14">
        <f>VLOOKUP($C28,Sheet1!$A$2:$D$10,4,0)</f>
        <v>1</v>
      </c>
      <c r="L28" s="14" t="str">
        <f>VLOOKUP($C28,Sheet1!$A$2:$E$10,5,0)</f>
        <v>Bin</v>
      </c>
      <c r="M28" s="14">
        <f>J28/K28</f>
        <v>8</v>
      </c>
      <c r="N28" s="2"/>
      <c r="O28" s="2" t="s">
        <v>121</v>
      </c>
      <c r="P28" s="2" t="s">
        <v>724</v>
      </c>
    </row>
    <row r="29" spans="1:16" x14ac:dyDescent="0.25">
      <c r="A29" s="17" t="s">
        <v>870</v>
      </c>
      <c r="B29" s="2" t="s">
        <v>855</v>
      </c>
      <c r="C29" s="27" t="s">
        <v>29</v>
      </c>
      <c r="D29" s="2" t="str">
        <f>VLOOKUP($C29,Sheet1!$A$2:$D$10,2,0)</f>
        <v>114010-50830</v>
      </c>
      <c r="E29" s="8" t="s">
        <v>98</v>
      </c>
      <c r="F29" s="12">
        <v>46041</v>
      </c>
      <c r="G29" s="13">
        <v>0.35416666666666669</v>
      </c>
      <c r="H29" s="2" t="s">
        <v>91</v>
      </c>
      <c r="I29" s="2" t="s">
        <v>54</v>
      </c>
      <c r="J29" s="2">
        <v>44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ref="M29" si="5">J29/K29</f>
        <v>44</v>
      </c>
      <c r="N29" s="2"/>
      <c r="O29" s="2" t="s">
        <v>121</v>
      </c>
      <c r="P29" s="2" t="s">
        <v>724</v>
      </c>
    </row>
    <row r="30" spans="1:16" s="1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121</v>
      </c>
      <c r="N30" s="10">
        <v>9</v>
      </c>
      <c r="O30" s="10"/>
      <c r="P30" s="10"/>
    </row>
    <row r="31" spans="1:16" x14ac:dyDescent="0.25">
      <c r="A31" s="17" t="s">
        <v>871</v>
      </c>
      <c r="B31" s="2" t="s">
        <v>817</v>
      </c>
      <c r="C31" s="27" t="s">
        <v>5</v>
      </c>
      <c r="D31" s="2" t="str">
        <f>VLOOKUP($C31,Sheet1!$A$2:$D$10,2,0)</f>
        <v>141110-14600</v>
      </c>
      <c r="E31" s="8" t="s">
        <v>52</v>
      </c>
      <c r="F31" s="12">
        <v>46041</v>
      </c>
      <c r="G31" s="13">
        <v>0.5625</v>
      </c>
      <c r="H31" s="2" t="s">
        <v>53</v>
      </c>
      <c r="I31" s="2" t="s">
        <v>54</v>
      </c>
      <c r="J31" s="2">
        <v>54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2">
        <v>3</v>
      </c>
      <c r="O31" s="2" t="s">
        <v>359</v>
      </c>
      <c r="P31" s="2" t="s">
        <v>1873</v>
      </c>
    </row>
    <row r="32" spans="1:16" x14ac:dyDescent="0.25">
      <c r="A32" s="17" t="s">
        <v>871</v>
      </c>
      <c r="B32" s="2" t="s">
        <v>822</v>
      </c>
      <c r="C32" s="27" t="s">
        <v>9</v>
      </c>
      <c r="D32" s="2" t="str">
        <f>VLOOKUP($C32,Sheet1!$A$2:$D$10,2,0)</f>
        <v>141120-14600</v>
      </c>
      <c r="E32" s="8" t="s">
        <v>60</v>
      </c>
      <c r="F32" s="12">
        <v>46041</v>
      </c>
      <c r="G32" s="13">
        <v>0.5625</v>
      </c>
      <c r="H32" s="2" t="s">
        <v>53</v>
      </c>
      <c r="I32" s="2" t="s">
        <v>54</v>
      </c>
      <c r="J32" s="2">
        <v>54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3"/>
      <c r="O32" s="2" t="s">
        <v>359</v>
      </c>
      <c r="P32" s="2" t="s">
        <v>1873</v>
      </c>
    </row>
    <row r="33" spans="1:16" x14ac:dyDescent="0.25">
      <c r="A33" s="17" t="s">
        <v>871</v>
      </c>
      <c r="B33" s="2" t="s">
        <v>827</v>
      </c>
      <c r="C33" s="27" t="s">
        <v>12</v>
      </c>
      <c r="D33" s="2" t="str">
        <f>VLOOKUP($C33,Sheet1!$A$2:$D$10,2,0)</f>
        <v>141185-74670</v>
      </c>
      <c r="E33" s="8" t="s">
        <v>66</v>
      </c>
      <c r="F33" s="12">
        <v>46041</v>
      </c>
      <c r="G33" s="13">
        <v>0.5625</v>
      </c>
      <c r="H33" s="2" t="s">
        <v>53</v>
      </c>
      <c r="I33" s="2" t="s">
        <v>54</v>
      </c>
      <c r="J33" s="2">
        <v>80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2</v>
      </c>
      <c r="O33" s="2" t="s">
        <v>359</v>
      </c>
      <c r="P33" s="2">
        <v>910105841</v>
      </c>
    </row>
    <row r="34" spans="1:16" x14ac:dyDescent="0.25">
      <c r="A34" s="17" t="s">
        <v>871</v>
      </c>
      <c r="B34" s="2" t="s">
        <v>832</v>
      </c>
      <c r="C34" s="27" t="s">
        <v>16</v>
      </c>
      <c r="D34" s="2" t="str">
        <f>VLOOKUP($C34,Sheet1!$A$2:$D$10,2,0)</f>
        <v>141140-91211</v>
      </c>
      <c r="E34" s="8" t="s">
        <v>70</v>
      </c>
      <c r="F34" s="12">
        <v>46041</v>
      </c>
      <c r="G34" s="13">
        <v>0.5625</v>
      </c>
      <c r="H34" s="2" t="s">
        <v>71</v>
      </c>
      <c r="I34" s="2" t="s">
        <v>54</v>
      </c>
      <c r="J34" s="2">
        <v>60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ref="M34:M35" si="6">J34/K34</f>
        <v>30</v>
      </c>
      <c r="N34" s="2"/>
      <c r="O34" s="2" t="s">
        <v>359</v>
      </c>
      <c r="P34" s="2" t="s">
        <v>739</v>
      </c>
    </row>
    <row r="35" spans="1:16" x14ac:dyDescent="0.25">
      <c r="A35" s="17" t="s">
        <v>871</v>
      </c>
      <c r="B35" s="2" t="s">
        <v>837</v>
      </c>
      <c r="C35" s="27" t="s">
        <v>20</v>
      </c>
      <c r="D35" s="2" t="str">
        <f>VLOOKUP($C35,Sheet1!$A$2:$D$10,2,0)</f>
        <v>141150-91211</v>
      </c>
      <c r="E35" s="8" t="s">
        <v>78</v>
      </c>
      <c r="F35" s="12">
        <v>46041</v>
      </c>
      <c r="G35" s="13">
        <v>0.5625</v>
      </c>
      <c r="H35" s="2" t="s">
        <v>71</v>
      </c>
      <c r="I35" s="2" t="s">
        <v>54</v>
      </c>
      <c r="J35" s="2">
        <v>60</v>
      </c>
      <c r="K35" s="14">
        <f>VLOOKUP($C35,Sheet1!$A$2:$D$10,4,0)</f>
        <v>2</v>
      </c>
      <c r="L35" s="14" t="str">
        <f>VLOOKUP($C35,Sheet1!$A$2:$E$10,5,0)</f>
        <v>Bin</v>
      </c>
      <c r="M35" s="14">
        <f t="shared" si="6"/>
        <v>30</v>
      </c>
      <c r="N35" s="2"/>
      <c r="O35" s="2" t="s">
        <v>359</v>
      </c>
      <c r="P35" s="2" t="s">
        <v>739</v>
      </c>
    </row>
    <row r="36" spans="1:16" x14ac:dyDescent="0.25">
      <c r="A36" s="17" t="s">
        <v>871</v>
      </c>
      <c r="B36" s="2" t="s">
        <v>842</v>
      </c>
      <c r="C36" s="27" t="s">
        <v>23</v>
      </c>
      <c r="D36" s="2" t="str">
        <f>VLOOKUP($C36,Sheet1!$A$2:$D$10,2,0)</f>
        <v>141186-74360</v>
      </c>
      <c r="E36" s="8" t="s">
        <v>85</v>
      </c>
      <c r="F36" s="12">
        <v>46041</v>
      </c>
      <c r="G36" s="13">
        <v>0.5625</v>
      </c>
      <c r="H36" s="2" t="s">
        <v>71</v>
      </c>
      <c r="I36" s="2" t="s">
        <v>54</v>
      </c>
      <c r="J36" s="2">
        <v>80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2</v>
      </c>
      <c r="O36" s="2" t="s">
        <v>359</v>
      </c>
      <c r="P36" s="2">
        <v>910106060</v>
      </c>
    </row>
    <row r="37" spans="1:16" x14ac:dyDescent="0.25">
      <c r="A37" s="17" t="s">
        <v>864</v>
      </c>
      <c r="B37" s="43" t="s">
        <v>847</v>
      </c>
      <c r="C37" s="27" t="s">
        <v>26</v>
      </c>
      <c r="D37" s="2" t="str">
        <f>VLOOKUP($C37,Sheet1!$A$2:$D$10,2,0)</f>
        <v>116040-92240</v>
      </c>
      <c r="E37" s="8" t="s">
        <v>90</v>
      </c>
      <c r="F37" s="12">
        <v>46041</v>
      </c>
      <c r="G37" s="13">
        <v>0.5625</v>
      </c>
      <c r="H37" s="2" t="s">
        <v>91</v>
      </c>
      <c r="I37" s="2" t="s">
        <v>54</v>
      </c>
      <c r="J37" s="2">
        <v>60</v>
      </c>
      <c r="K37" s="14">
        <f>VLOOKUP($C37,Sheet1!$A$2:$D$10,4,0)</f>
        <v>6</v>
      </c>
      <c r="L37" s="14" t="str">
        <f>VLOOKUP($C37,Sheet1!$A$2:$E$10,5,0)</f>
        <v>Bin</v>
      </c>
      <c r="M37" s="14">
        <f t="shared" ref="M37:M39" si="7">J37/K37</f>
        <v>10</v>
      </c>
      <c r="N37" s="2"/>
      <c r="O37" s="2" t="s">
        <v>359</v>
      </c>
      <c r="P37" s="2" t="s">
        <v>1864</v>
      </c>
    </row>
    <row r="38" spans="1:16" x14ac:dyDescent="0.25">
      <c r="A38" s="17" t="s">
        <v>864</v>
      </c>
      <c r="B38" s="43" t="s">
        <v>852</v>
      </c>
      <c r="C38" s="27" t="s">
        <v>32</v>
      </c>
      <c r="D38" s="2" t="str">
        <f>VLOOKUP($C38,Sheet1!$A$2:$D$10,2,0)</f>
        <v>114010-50820</v>
      </c>
      <c r="E38" s="8" t="s">
        <v>98</v>
      </c>
      <c r="F38" s="12">
        <v>46041</v>
      </c>
      <c r="G38" s="13">
        <v>0.5625</v>
      </c>
      <c r="H38" s="2" t="s">
        <v>91</v>
      </c>
      <c r="I38" s="2" t="s">
        <v>54</v>
      </c>
      <c r="J38" s="2">
        <v>23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7"/>
        <v>23</v>
      </c>
      <c r="N38" s="2"/>
      <c r="O38" s="2" t="s">
        <v>359</v>
      </c>
      <c r="P38" s="2" t="s">
        <v>428</v>
      </c>
    </row>
    <row r="39" spans="1:16" x14ac:dyDescent="0.25">
      <c r="A39" s="17" t="s">
        <v>864</v>
      </c>
      <c r="B39" s="43" t="s">
        <v>857</v>
      </c>
      <c r="C39" s="27" t="s">
        <v>29</v>
      </c>
      <c r="D39" s="2" t="str">
        <f>VLOOKUP($C39,Sheet1!$A$2:$D$10,2,0)</f>
        <v>114010-50830</v>
      </c>
      <c r="E39" s="8" t="s">
        <v>98</v>
      </c>
      <c r="F39" s="12">
        <v>46041</v>
      </c>
      <c r="G39" s="13">
        <v>0.5625</v>
      </c>
      <c r="H39" s="2" t="s">
        <v>91</v>
      </c>
      <c r="I39" s="2" t="s">
        <v>54</v>
      </c>
      <c r="J39" s="2">
        <v>47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7"/>
        <v>47</v>
      </c>
      <c r="N39" s="2"/>
      <c r="O39" s="2" t="s">
        <v>359</v>
      </c>
      <c r="P39" s="2" t="s">
        <v>724</v>
      </c>
    </row>
    <row r="40" spans="1:16" s="11" customForma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>
        <v>140</v>
      </c>
      <c r="N40" s="10">
        <v>7</v>
      </c>
      <c r="O40" s="10"/>
      <c r="P40" s="10"/>
    </row>
    <row r="41" spans="1:16" x14ac:dyDescent="0.25">
      <c r="A41" s="17" t="s">
        <v>865</v>
      </c>
      <c r="B41" s="2" t="s">
        <v>817</v>
      </c>
      <c r="C41" s="27" t="s">
        <v>5</v>
      </c>
      <c r="D41" s="2" t="str">
        <f>VLOOKUP($C41,Sheet1!$A$2:$D$10,2,0)</f>
        <v>141110-14600</v>
      </c>
      <c r="E41" s="8" t="s">
        <v>52</v>
      </c>
      <c r="F41" s="12">
        <v>46041</v>
      </c>
      <c r="G41" s="13">
        <v>0.5625</v>
      </c>
      <c r="H41" s="2" t="s">
        <v>53</v>
      </c>
      <c r="I41" s="2" t="s">
        <v>54</v>
      </c>
      <c r="J41" s="2">
        <v>18</v>
      </c>
      <c r="K41" s="14">
        <f>VLOOKUP($C41,Sheet1!$A$2:$D$10,4,0)</f>
        <v>18</v>
      </c>
      <c r="L41" s="14" t="str">
        <f>VLOOKUP($C41,Sheet1!$A$2:$E$10,5,0)</f>
        <v>Trolley (H)</v>
      </c>
      <c r="M41" s="14"/>
      <c r="N41" s="52">
        <v>1</v>
      </c>
      <c r="O41" s="2" t="s">
        <v>122</v>
      </c>
      <c r="P41" s="2" t="s">
        <v>1873</v>
      </c>
    </row>
    <row r="42" spans="1:16" x14ac:dyDescent="0.25">
      <c r="A42" s="17" t="s">
        <v>865</v>
      </c>
      <c r="B42" s="2" t="s">
        <v>822</v>
      </c>
      <c r="C42" s="27" t="s">
        <v>9</v>
      </c>
      <c r="D42" s="2" t="str">
        <f>VLOOKUP($C42,Sheet1!$A$2:$D$10,2,0)</f>
        <v>141120-14600</v>
      </c>
      <c r="E42" s="8" t="s">
        <v>60</v>
      </c>
      <c r="F42" s="12">
        <v>46041</v>
      </c>
      <c r="G42" s="13">
        <v>0.5625</v>
      </c>
      <c r="H42" s="2" t="s">
        <v>53</v>
      </c>
      <c r="I42" s="2" t="s">
        <v>54</v>
      </c>
      <c r="J42" s="2">
        <v>18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3"/>
      <c r="O42" s="2" t="s">
        <v>122</v>
      </c>
      <c r="P42" s="2" t="s">
        <v>1873</v>
      </c>
    </row>
    <row r="43" spans="1:16" x14ac:dyDescent="0.25">
      <c r="A43" s="17" t="s">
        <v>865</v>
      </c>
      <c r="B43" s="2" t="s">
        <v>827</v>
      </c>
      <c r="C43" s="27" t="s">
        <v>12</v>
      </c>
      <c r="D43" s="2" t="str">
        <f>VLOOKUP($C43,Sheet1!$A$2:$D$10,2,0)</f>
        <v>141185-74670</v>
      </c>
      <c r="E43" s="8" t="s">
        <v>66</v>
      </c>
      <c r="F43" s="12">
        <v>46041</v>
      </c>
      <c r="G43" s="13">
        <v>0.5625</v>
      </c>
      <c r="H43" s="2" t="s">
        <v>53</v>
      </c>
      <c r="I43" s="2" t="s">
        <v>54</v>
      </c>
      <c r="J43" s="2">
        <v>40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1</v>
      </c>
      <c r="O43" s="2" t="s">
        <v>122</v>
      </c>
      <c r="P43" s="2">
        <v>910105841</v>
      </c>
    </row>
    <row r="44" spans="1:16" ht="15.75" thickBot="1" x14ac:dyDescent="0.3">
      <c r="A44" s="17" t="s">
        <v>865</v>
      </c>
      <c r="B44" s="2" t="s">
        <v>842</v>
      </c>
      <c r="C44" s="27" t="s">
        <v>23</v>
      </c>
      <c r="D44" s="2" t="str">
        <f>VLOOKUP($C44,Sheet1!$A$2:$D$10,2,0)</f>
        <v>141186-74360</v>
      </c>
      <c r="E44" s="8" t="s">
        <v>85</v>
      </c>
      <c r="F44" s="12">
        <v>46041</v>
      </c>
      <c r="G44" s="15">
        <v>0.5625</v>
      </c>
      <c r="H44" s="2" t="s">
        <v>71</v>
      </c>
      <c r="I44" s="2" t="s">
        <v>54</v>
      </c>
      <c r="J44" s="2">
        <v>40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1</v>
      </c>
      <c r="O44" s="2" t="s">
        <v>122</v>
      </c>
      <c r="P44" s="2">
        <v>910106060</v>
      </c>
    </row>
    <row r="45" spans="1:16" ht="15.75" thickTop="1" x14ac:dyDescent="0.25">
      <c r="A45" s="17" t="s">
        <v>866</v>
      </c>
      <c r="B45" s="43" t="s">
        <v>848</v>
      </c>
      <c r="C45" s="27" t="s">
        <v>26</v>
      </c>
      <c r="D45" s="2" t="str">
        <f>VLOOKUP($C45,Sheet1!$A$2:$D$10,2,0)</f>
        <v>116040-92240</v>
      </c>
      <c r="E45" s="8" t="s">
        <v>90</v>
      </c>
      <c r="F45" s="12">
        <v>46041</v>
      </c>
      <c r="G45" s="38">
        <v>0.77083333333333337</v>
      </c>
      <c r="H45" s="2" t="s">
        <v>91</v>
      </c>
      <c r="I45" s="2" t="s">
        <v>54</v>
      </c>
      <c r="J45" s="2">
        <v>60</v>
      </c>
      <c r="K45" s="14">
        <f>VLOOKUP($C45,Sheet1!$A$2:$D$10,4,0)</f>
        <v>6</v>
      </c>
      <c r="L45" s="14" t="str">
        <f>VLOOKUP($C45,Sheet1!$A$2:$E$10,5,0)</f>
        <v>Bin</v>
      </c>
      <c r="M45" s="14">
        <f t="shared" ref="M45:M47" si="8">J45/K45</f>
        <v>10</v>
      </c>
      <c r="N45" s="2"/>
      <c r="O45" s="2" t="s">
        <v>122</v>
      </c>
      <c r="P45" s="2" t="s">
        <v>1864</v>
      </c>
    </row>
    <row r="46" spans="1:16" x14ac:dyDescent="0.25">
      <c r="A46" s="17" t="s">
        <v>866</v>
      </c>
      <c r="B46" s="43" t="s">
        <v>853</v>
      </c>
      <c r="C46" s="27" t="s">
        <v>32</v>
      </c>
      <c r="D46" s="2" t="str">
        <f>VLOOKUP($C46,Sheet1!$A$2:$D$10,2,0)</f>
        <v>114010-50820</v>
      </c>
      <c r="E46" s="8" t="s">
        <v>98</v>
      </c>
      <c r="F46" s="12">
        <v>46041</v>
      </c>
      <c r="G46" s="23">
        <v>0.77083333333333337</v>
      </c>
      <c r="H46" s="2" t="s">
        <v>91</v>
      </c>
      <c r="I46" s="2" t="s">
        <v>54</v>
      </c>
      <c r="J46" s="2">
        <v>18</v>
      </c>
      <c r="K46" s="14">
        <f>VLOOKUP($C46,Sheet1!$A$2:$D$10,4,0)</f>
        <v>1</v>
      </c>
      <c r="L46" s="14" t="str">
        <f>VLOOKUP($C46,Sheet1!$A$2:$E$10,5,0)</f>
        <v>Bin</v>
      </c>
      <c r="M46" s="14">
        <f t="shared" si="8"/>
        <v>18</v>
      </c>
      <c r="N46" s="2"/>
      <c r="O46" s="2" t="s">
        <v>122</v>
      </c>
      <c r="P46" s="2" t="s">
        <v>428</v>
      </c>
    </row>
    <row r="47" spans="1:16" x14ac:dyDescent="0.25">
      <c r="A47" s="17" t="s">
        <v>866</v>
      </c>
      <c r="B47" s="43" t="s">
        <v>858</v>
      </c>
      <c r="C47" s="27" t="s">
        <v>29</v>
      </c>
      <c r="D47" s="2" t="str">
        <f>VLOOKUP($C47,Sheet1!$A$2:$D$10,2,0)</f>
        <v>114010-50830</v>
      </c>
      <c r="E47" s="8" t="s">
        <v>98</v>
      </c>
      <c r="F47" s="12">
        <v>46041</v>
      </c>
      <c r="G47" s="23">
        <v>0.77083333333333337</v>
      </c>
      <c r="H47" s="2" t="s">
        <v>91</v>
      </c>
      <c r="I47" s="2" t="s">
        <v>54</v>
      </c>
      <c r="J47" s="2">
        <v>37</v>
      </c>
      <c r="K47" s="14">
        <f>VLOOKUP($C47,Sheet1!$A$2:$D$10,4,0)</f>
        <v>1</v>
      </c>
      <c r="L47" s="14" t="str">
        <f>VLOOKUP($C47,Sheet1!$A$2:$E$10,5,0)</f>
        <v>Bin</v>
      </c>
      <c r="M47" s="14">
        <f t="shared" si="8"/>
        <v>37</v>
      </c>
      <c r="N47" s="2"/>
      <c r="O47" s="2" t="s">
        <v>122</v>
      </c>
      <c r="P47" s="2" t="s">
        <v>724</v>
      </c>
    </row>
    <row r="48" spans="1:16" s="11" customForma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>
        <v>65</v>
      </c>
      <c r="N48" s="10">
        <v>3</v>
      </c>
      <c r="O48" s="10"/>
      <c r="P48" s="10"/>
    </row>
    <row r="49" spans="1:16" x14ac:dyDescent="0.25">
      <c r="A49" s="17" t="s">
        <v>867</v>
      </c>
      <c r="B49" s="43" t="s">
        <v>818</v>
      </c>
      <c r="C49" s="27" t="s">
        <v>5</v>
      </c>
      <c r="D49" s="2" t="str">
        <f>VLOOKUP($C49,Sheet1!$A$2:$D$10,2,0)</f>
        <v>141110-14600</v>
      </c>
      <c r="E49" s="8" t="s">
        <v>52</v>
      </c>
      <c r="F49" s="12">
        <v>46041</v>
      </c>
      <c r="G49" s="13">
        <v>0.77083333333333337</v>
      </c>
      <c r="H49" s="2" t="s">
        <v>53</v>
      </c>
      <c r="I49" s="2" t="s">
        <v>54</v>
      </c>
      <c r="J49" s="2">
        <v>54</v>
      </c>
      <c r="K49" s="14">
        <f>VLOOKUP($C49,Sheet1!$A$2:$D$10,4,0)</f>
        <v>18</v>
      </c>
      <c r="L49" s="14" t="str">
        <f>VLOOKUP($C49,Sheet1!$A$2:$E$10,5,0)</f>
        <v>Trolley (H)</v>
      </c>
      <c r="M49" s="14"/>
      <c r="N49" s="52">
        <v>3</v>
      </c>
      <c r="O49" s="2" t="s">
        <v>121</v>
      </c>
      <c r="P49" s="2" t="s">
        <v>1873</v>
      </c>
    </row>
    <row r="50" spans="1:16" x14ac:dyDescent="0.25">
      <c r="A50" s="17" t="s">
        <v>867</v>
      </c>
      <c r="B50" s="43" t="s">
        <v>823</v>
      </c>
      <c r="C50" s="27" t="s">
        <v>9</v>
      </c>
      <c r="D50" s="2" t="str">
        <f>VLOOKUP($C50,Sheet1!$A$2:$D$10,2,0)</f>
        <v>141120-14600</v>
      </c>
      <c r="E50" s="8" t="s">
        <v>60</v>
      </c>
      <c r="F50" s="12">
        <v>46041</v>
      </c>
      <c r="G50" s="13">
        <v>0.77083333333333337</v>
      </c>
      <c r="H50" s="2" t="s">
        <v>53</v>
      </c>
      <c r="I50" s="2" t="s">
        <v>54</v>
      </c>
      <c r="J50" s="2">
        <v>54</v>
      </c>
      <c r="K50" s="14">
        <f>VLOOKUP($C50,Sheet1!$A$2:$D$10,4,0)</f>
        <v>18</v>
      </c>
      <c r="L50" s="14" t="str">
        <f>VLOOKUP($C50,Sheet1!$A$2:$E$10,5,0)</f>
        <v>Trolley (H)</v>
      </c>
      <c r="M50" s="14"/>
      <c r="N50" s="53"/>
      <c r="O50" s="2" t="s">
        <v>121</v>
      </c>
      <c r="P50" s="2" t="s">
        <v>1873</v>
      </c>
    </row>
    <row r="51" spans="1:16" x14ac:dyDescent="0.25">
      <c r="A51" s="17" t="s">
        <v>867</v>
      </c>
      <c r="B51" s="43" t="s">
        <v>828</v>
      </c>
      <c r="C51" s="27" t="s">
        <v>12</v>
      </c>
      <c r="D51" s="2" t="str">
        <f>VLOOKUP($C51,Sheet1!$A$2:$D$10,2,0)</f>
        <v>141185-74670</v>
      </c>
      <c r="E51" s="8" t="s">
        <v>66</v>
      </c>
      <c r="F51" s="12">
        <v>46041</v>
      </c>
      <c r="G51" s="13">
        <v>0.77083333333333337</v>
      </c>
      <c r="H51" s="2" t="s">
        <v>53</v>
      </c>
      <c r="I51" s="2" t="s">
        <v>54</v>
      </c>
      <c r="J51" s="2">
        <v>120</v>
      </c>
      <c r="K51" s="14">
        <f>VLOOKUP($C51,Sheet1!$A$2:$D$10,4,0)</f>
        <v>40</v>
      </c>
      <c r="L51" s="14" t="str">
        <f>VLOOKUP($C51,Sheet1!$A$2:$E$10,5,0)</f>
        <v>Trolley</v>
      </c>
      <c r="M51" s="14"/>
      <c r="N51" s="2">
        <f>J51/K51</f>
        <v>3</v>
      </c>
      <c r="O51" s="2" t="s">
        <v>121</v>
      </c>
      <c r="P51" s="2">
        <v>910105841</v>
      </c>
    </row>
    <row r="52" spans="1:16" x14ac:dyDescent="0.25">
      <c r="A52" s="17" t="s">
        <v>867</v>
      </c>
      <c r="B52" s="43" t="s">
        <v>833</v>
      </c>
      <c r="C52" s="27" t="s">
        <v>16</v>
      </c>
      <c r="D52" s="2" t="str">
        <f>VLOOKUP($C52,Sheet1!$A$2:$D$10,2,0)</f>
        <v>141140-91211</v>
      </c>
      <c r="E52" s="8" t="s">
        <v>70</v>
      </c>
      <c r="F52" s="12">
        <v>46041</v>
      </c>
      <c r="G52" s="13">
        <v>0.77083333333333337</v>
      </c>
      <c r="H52" s="2" t="s">
        <v>71</v>
      </c>
      <c r="I52" s="2" t="s">
        <v>54</v>
      </c>
      <c r="J52" s="2">
        <v>60</v>
      </c>
      <c r="K52" s="14">
        <f>VLOOKUP($C52,Sheet1!$A$2:$D$10,4,0)</f>
        <v>2</v>
      </c>
      <c r="L52" s="14" t="str">
        <f>VLOOKUP($C52,Sheet1!$A$2:$E$10,5,0)</f>
        <v>Bin</v>
      </c>
      <c r="M52" s="14">
        <f t="shared" ref="M52:M53" si="9">J52/K52</f>
        <v>30</v>
      </c>
      <c r="N52" s="2"/>
      <c r="O52" s="2" t="s">
        <v>121</v>
      </c>
      <c r="P52" s="2" t="s">
        <v>1875</v>
      </c>
    </row>
    <row r="53" spans="1:16" x14ac:dyDescent="0.25">
      <c r="A53" s="17" t="s">
        <v>867</v>
      </c>
      <c r="B53" s="43" t="s">
        <v>838</v>
      </c>
      <c r="C53" s="27" t="s">
        <v>20</v>
      </c>
      <c r="D53" s="2" t="str">
        <f>VLOOKUP($C53,Sheet1!$A$2:$D$10,2,0)</f>
        <v>141150-91211</v>
      </c>
      <c r="E53" s="8" t="s">
        <v>78</v>
      </c>
      <c r="F53" s="12">
        <v>46041</v>
      </c>
      <c r="G53" s="13">
        <v>0.77083333333333337</v>
      </c>
      <c r="H53" s="2" t="s">
        <v>71</v>
      </c>
      <c r="I53" s="2" t="s">
        <v>54</v>
      </c>
      <c r="J53" s="2">
        <v>60</v>
      </c>
      <c r="K53" s="14">
        <f>VLOOKUP($C53,Sheet1!$A$2:$D$10,4,0)</f>
        <v>2</v>
      </c>
      <c r="L53" s="14" t="str">
        <f>VLOOKUP($C53,Sheet1!$A$2:$E$10,5,0)</f>
        <v>Bin</v>
      </c>
      <c r="M53" s="14">
        <f t="shared" si="9"/>
        <v>30</v>
      </c>
      <c r="N53" s="2"/>
      <c r="O53" s="2" t="s">
        <v>121</v>
      </c>
      <c r="P53" s="2" t="s">
        <v>739</v>
      </c>
    </row>
    <row r="54" spans="1:16" x14ac:dyDescent="0.25">
      <c r="A54" s="17" t="s">
        <v>867</v>
      </c>
      <c r="B54" s="43" t="s">
        <v>843</v>
      </c>
      <c r="C54" s="27" t="s">
        <v>23</v>
      </c>
      <c r="D54" s="2" t="str">
        <f>VLOOKUP($C54,Sheet1!$A$2:$D$10,2,0)</f>
        <v>141186-74360</v>
      </c>
      <c r="E54" s="8" t="s">
        <v>85</v>
      </c>
      <c r="F54" s="12">
        <v>46041</v>
      </c>
      <c r="G54" s="13">
        <v>0.77083333333333337</v>
      </c>
      <c r="H54" s="2" t="s">
        <v>71</v>
      </c>
      <c r="I54" s="2" t="s">
        <v>54</v>
      </c>
      <c r="J54" s="2">
        <v>120</v>
      </c>
      <c r="K54" s="14">
        <f>VLOOKUP($C54,Sheet1!$A$2:$D$10,4,0)</f>
        <v>40</v>
      </c>
      <c r="L54" s="14" t="str">
        <f>VLOOKUP($C54,Sheet1!$A$2:$E$10,5,0)</f>
        <v>Trolley</v>
      </c>
      <c r="M54" s="14"/>
      <c r="N54" s="2">
        <f>J54/K54</f>
        <v>3</v>
      </c>
      <c r="O54" s="2" t="s">
        <v>121</v>
      </c>
      <c r="P54" s="2">
        <v>910106060</v>
      </c>
    </row>
    <row r="55" spans="1:16" s="11" customForma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>
        <v>60</v>
      </c>
      <c r="N55" s="10">
        <v>9</v>
      </c>
      <c r="O55" s="10"/>
      <c r="P55" s="10"/>
    </row>
    <row r="56" spans="1:16" x14ac:dyDescent="0.25">
      <c r="A56" s="17" t="s">
        <v>868</v>
      </c>
      <c r="B56" s="43" t="s">
        <v>819</v>
      </c>
      <c r="C56" s="27" t="s">
        <v>5</v>
      </c>
      <c r="D56" s="2" t="str">
        <f>VLOOKUP($C56,Sheet1!$A$2:$D$10,2,0)</f>
        <v>141110-14600</v>
      </c>
      <c r="E56" s="8" t="s">
        <v>52</v>
      </c>
      <c r="F56" s="12">
        <v>46041</v>
      </c>
      <c r="G56" s="13">
        <v>0.97916666666666663</v>
      </c>
      <c r="H56" s="2" t="s">
        <v>53</v>
      </c>
      <c r="I56" s="2" t="s">
        <v>54</v>
      </c>
      <c r="J56" s="2">
        <v>54</v>
      </c>
      <c r="K56" s="14">
        <f>VLOOKUP($C56,Sheet1!$A$2:$D$10,4,0)</f>
        <v>18</v>
      </c>
      <c r="L56" s="14" t="str">
        <f>VLOOKUP($C56,Sheet1!$A$2:$E$10,5,0)</f>
        <v>Trolley (H)</v>
      </c>
      <c r="M56" s="14"/>
      <c r="N56" s="52">
        <v>3</v>
      </c>
      <c r="O56" s="2" t="s">
        <v>119</v>
      </c>
      <c r="P56" s="2" t="s">
        <v>1873</v>
      </c>
    </row>
    <row r="57" spans="1:16" x14ac:dyDescent="0.25">
      <c r="A57" s="17" t="s">
        <v>868</v>
      </c>
      <c r="B57" s="43" t="s">
        <v>824</v>
      </c>
      <c r="C57" s="27" t="s">
        <v>9</v>
      </c>
      <c r="D57" s="2" t="str">
        <f>VLOOKUP($C57,Sheet1!$A$2:$D$10,2,0)</f>
        <v>141120-14600</v>
      </c>
      <c r="E57" s="8" t="s">
        <v>60</v>
      </c>
      <c r="F57" s="12">
        <v>46041</v>
      </c>
      <c r="G57" s="13">
        <v>0.97916666666666663</v>
      </c>
      <c r="H57" s="2" t="s">
        <v>53</v>
      </c>
      <c r="I57" s="2" t="s">
        <v>54</v>
      </c>
      <c r="J57" s="2">
        <v>54</v>
      </c>
      <c r="K57" s="14">
        <f>VLOOKUP($C57,Sheet1!$A$2:$D$10,4,0)</f>
        <v>18</v>
      </c>
      <c r="L57" s="14" t="str">
        <f>VLOOKUP($C57,Sheet1!$A$2:$E$10,5,0)</f>
        <v>Trolley (H)</v>
      </c>
      <c r="M57" s="14"/>
      <c r="N57" s="53"/>
      <c r="O57" s="2" t="s">
        <v>119</v>
      </c>
      <c r="P57" s="2" t="s">
        <v>1873</v>
      </c>
    </row>
    <row r="58" spans="1:16" x14ac:dyDescent="0.25">
      <c r="A58" s="17" t="s">
        <v>868</v>
      </c>
      <c r="B58" s="43" t="s">
        <v>829</v>
      </c>
      <c r="C58" s="27" t="s">
        <v>12</v>
      </c>
      <c r="D58" s="2" t="str">
        <f>VLOOKUP($C58,Sheet1!$A$2:$D$10,2,0)</f>
        <v>141185-74670</v>
      </c>
      <c r="E58" s="8" t="s">
        <v>66</v>
      </c>
      <c r="F58" s="12">
        <v>46041</v>
      </c>
      <c r="G58" s="13">
        <v>0.97916666666666663</v>
      </c>
      <c r="H58" s="2" t="s">
        <v>53</v>
      </c>
      <c r="I58" s="2" t="s">
        <v>54</v>
      </c>
      <c r="J58" s="2">
        <v>80</v>
      </c>
      <c r="K58" s="14">
        <f>VLOOKUP($C58,Sheet1!$A$2:$D$10,4,0)</f>
        <v>40</v>
      </c>
      <c r="L58" s="14" t="str">
        <f>VLOOKUP($C58,Sheet1!$A$2:$E$10,5,0)</f>
        <v>Trolley</v>
      </c>
      <c r="M58" s="14"/>
      <c r="N58" s="2">
        <f>J58/K58</f>
        <v>2</v>
      </c>
      <c r="O58" s="2" t="s">
        <v>119</v>
      </c>
      <c r="P58" s="2">
        <v>910105841</v>
      </c>
    </row>
    <row r="59" spans="1:16" x14ac:dyDescent="0.25">
      <c r="A59" s="17" t="s">
        <v>868</v>
      </c>
      <c r="B59" s="43" t="s">
        <v>834</v>
      </c>
      <c r="C59" s="27" t="s">
        <v>16</v>
      </c>
      <c r="D59" s="2" t="str">
        <f>VLOOKUP($C59,Sheet1!$A$2:$D$10,2,0)</f>
        <v>141140-91211</v>
      </c>
      <c r="E59" s="8" t="s">
        <v>70</v>
      </c>
      <c r="F59" s="12">
        <v>46041</v>
      </c>
      <c r="G59" s="13">
        <v>0.97916666666666663</v>
      </c>
      <c r="H59" s="2" t="s">
        <v>71</v>
      </c>
      <c r="I59" s="2" t="s">
        <v>54</v>
      </c>
      <c r="J59" s="2">
        <v>52</v>
      </c>
      <c r="K59" s="14">
        <f>VLOOKUP($C59,Sheet1!$A$2:$D$10,4,0)</f>
        <v>2</v>
      </c>
      <c r="L59" s="14" t="str">
        <f>VLOOKUP($C59,Sheet1!$A$2:$E$10,5,0)</f>
        <v>Bin</v>
      </c>
      <c r="M59" s="14">
        <f t="shared" ref="M59:M60" si="10">J59/K59</f>
        <v>26</v>
      </c>
      <c r="N59" s="2"/>
      <c r="O59" s="2" t="s">
        <v>119</v>
      </c>
      <c r="P59" s="2" t="s">
        <v>428</v>
      </c>
    </row>
    <row r="60" spans="1:16" x14ac:dyDescent="0.25">
      <c r="A60" s="17" t="s">
        <v>868</v>
      </c>
      <c r="B60" s="43" t="s">
        <v>839</v>
      </c>
      <c r="C60" s="27" t="s">
        <v>20</v>
      </c>
      <c r="D60" s="2" t="str">
        <f>VLOOKUP($C60,Sheet1!$A$2:$D$10,2,0)</f>
        <v>141150-91211</v>
      </c>
      <c r="E60" s="8" t="s">
        <v>78</v>
      </c>
      <c r="F60" s="12">
        <v>46041</v>
      </c>
      <c r="G60" s="13">
        <v>0.97916666666666663</v>
      </c>
      <c r="H60" s="2" t="s">
        <v>71</v>
      </c>
      <c r="I60" s="2" t="s">
        <v>54</v>
      </c>
      <c r="J60" s="2">
        <v>52</v>
      </c>
      <c r="K60" s="14">
        <f>VLOOKUP($C60,Sheet1!$A$2:$D$10,4,0)</f>
        <v>2</v>
      </c>
      <c r="L60" s="14" t="str">
        <f>VLOOKUP($C60,Sheet1!$A$2:$E$10,5,0)</f>
        <v>Bin</v>
      </c>
      <c r="M60" s="14">
        <f t="shared" si="10"/>
        <v>26</v>
      </c>
      <c r="N60" s="2"/>
      <c r="O60" s="2" t="s">
        <v>119</v>
      </c>
      <c r="P60" s="2" t="s">
        <v>739</v>
      </c>
    </row>
    <row r="61" spans="1:16" x14ac:dyDescent="0.25">
      <c r="A61" s="17" t="s">
        <v>868</v>
      </c>
      <c r="B61" s="43" t="s">
        <v>844</v>
      </c>
      <c r="C61" s="27" t="s">
        <v>23</v>
      </c>
      <c r="D61" s="2" t="str">
        <f>VLOOKUP($C61,Sheet1!$A$2:$D$10,2,0)</f>
        <v>141186-74360</v>
      </c>
      <c r="E61" s="8" t="s">
        <v>85</v>
      </c>
      <c r="F61" s="12">
        <v>46041</v>
      </c>
      <c r="G61" s="13">
        <v>0.97916666666666663</v>
      </c>
      <c r="H61" s="2" t="s">
        <v>71</v>
      </c>
      <c r="I61" s="2" t="s">
        <v>54</v>
      </c>
      <c r="J61" s="2">
        <v>80</v>
      </c>
      <c r="K61" s="14">
        <f>VLOOKUP($C61,Sheet1!$A$2:$D$10,4,0)</f>
        <v>40</v>
      </c>
      <c r="L61" s="14" t="str">
        <f>VLOOKUP($C61,Sheet1!$A$2:$E$10,5,0)</f>
        <v>Trolley</v>
      </c>
      <c r="M61" s="14"/>
      <c r="N61" s="2">
        <f>J61/K61</f>
        <v>2</v>
      </c>
      <c r="O61" s="2" t="s">
        <v>119</v>
      </c>
      <c r="P61" s="2">
        <v>910106060</v>
      </c>
    </row>
    <row r="62" spans="1:16" x14ac:dyDescent="0.25">
      <c r="A62" s="17" t="s">
        <v>869</v>
      </c>
      <c r="B62" s="2" t="s">
        <v>849</v>
      </c>
      <c r="C62" s="27" t="s">
        <v>26</v>
      </c>
      <c r="D62" s="2" t="str">
        <f>VLOOKUP($C62,Sheet1!$A$2:$D$10,2,0)</f>
        <v>116040-92240</v>
      </c>
      <c r="E62" s="8" t="s">
        <v>90</v>
      </c>
      <c r="F62" s="12">
        <v>46041</v>
      </c>
      <c r="G62" s="13">
        <v>0.97916666666666663</v>
      </c>
      <c r="H62" s="2" t="s">
        <v>91</v>
      </c>
      <c r="I62" s="2" t="s">
        <v>54</v>
      </c>
      <c r="J62" s="2">
        <v>54</v>
      </c>
      <c r="K62" s="14">
        <f>VLOOKUP($C62,Sheet1!$A$2:$D$10,4,0)</f>
        <v>6</v>
      </c>
      <c r="L62" s="14" t="str">
        <f>VLOOKUP($C62,Sheet1!$A$2:$E$10,5,0)</f>
        <v>Bin</v>
      </c>
      <c r="M62" s="14">
        <f t="shared" ref="M62:M64" si="11">J62/K62</f>
        <v>9</v>
      </c>
      <c r="N62" s="2"/>
      <c r="O62" s="2" t="s">
        <v>119</v>
      </c>
      <c r="P62" s="2" t="s">
        <v>1864</v>
      </c>
    </row>
    <row r="63" spans="1:16" x14ac:dyDescent="0.25">
      <c r="A63" s="17" t="s">
        <v>869</v>
      </c>
      <c r="B63" s="2" t="s">
        <v>854</v>
      </c>
      <c r="C63" s="27" t="s">
        <v>32</v>
      </c>
      <c r="D63" s="2" t="str">
        <f>VLOOKUP($C63,Sheet1!$A$2:$D$10,2,0)</f>
        <v>114010-50820</v>
      </c>
      <c r="E63" s="8" t="s">
        <v>98</v>
      </c>
      <c r="F63" s="12">
        <v>46041</v>
      </c>
      <c r="G63" s="13">
        <v>0.97916666666666663</v>
      </c>
      <c r="H63" s="2" t="s">
        <v>91</v>
      </c>
      <c r="I63" s="2" t="s">
        <v>54</v>
      </c>
      <c r="J63" s="2">
        <v>13</v>
      </c>
      <c r="K63" s="14">
        <f>VLOOKUP($C63,Sheet1!$A$2:$D$10,4,0)</f>
        <v>1</v>
      </c>
      <c r="L63" s="14" t="str">
        <f>VLOOKUP($C63,Sheet1!$A$2:$E$10,5,0)</f>
        <v>Bin</v>
      </c>
      <c r="M63" s="14">
        <f t="shared" si="11"/>
        <v>13</v>
      </c>
      <c r="N63" s="2"/>
      <c r="O63" s="2" t="s">
        <v>119</v>
      </c>
      <c r="P63" s="2" t="s">
        <v>428</v>
      </c>
    </row>
    <row r="64" spans="1:16" x14ac:dyDescent="0.25">
      <c r="A64" s="2" t="s">
        <v>869</v>
      </c>
      <c r="B64" s="2" t="s">
        <v>859</v>
      </c>
      <c r="C64" s="27" t="s">
        <v>29</v>
      </c>
      <c r="D64" s="2" t="str">
        <f>VLOOKUP($C64,Sheet1!$A$2:$D$10,2,0)</f>
        <v>114010-50830</v>
      </c>
      <c r="E64" s="8" t="s">
        <v>98</v>
      </c>
      <c r="F64" s="12">
        <v>46041</v>
      </c>
      <c r="G64" s="13">
        <v>0.97916666666666663</v>
      </c>
      <c r="H64" s="2" t="s">
        <v>91</v>
      </c>
      <c r="I64" s="2" t="s">
        <v>54</v>
      </c>
      <c r="J64" s="2">
        <v>35</v>
      </c>
      <c r="K64" s="14">
        <f>VLOOKUP($C64,Sheet1!$A$2:$D$10,4,0)</f>
        <v>1</v>
      </c>
      <c r="L64" s="14" t="str">
        <f>VLOOKUP($C64,Sheet1!$A$2:$E$10,5,0)</f>
        <v>Bin</v>
      </c>
      <c r="M64" s="14">
        <f t="shared" si="11"/>
        <v>35</v>
      </c>
      <c r="N64" s="2"/>
      <c r="O64" s="2" t="s">
        <v>119</v>
      </c>
      <c r="P64" s="2" t="s">
        <v>1876</v>
      </c>
    </row>
    <row r="65" spans="1:16" s="11" customForma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>
        <v>109</v>
      </c>
      <c r="N65" s="10">
        <v>7</v>
      </c>
      <c r="O65" s="10"/>
      <c r="P65" s="10"/>
    </row>
    <row r="66" spans="1:16" x14ac:dyDescent="0.25">
      <c r="A66" s="2"/>
      <c r="B66" s="2" t="s">
        <v>860</v>
      </c>
      <c r="C66" s="2"/>
      <c r="D66" s="2"/>
      <c r="E66" s="8"/>
      <c r="F66" s="12"/>
      <c r="G66" s="13"/>
      <c r="H66" s="2"/>
      <c r="I66" s="2"/>
      <c r="J66" s="2"/>
      <c r="K66" s="14"/>
      <c r="L66" s="14"/>
      <c r="M66" s="14"/>
      <c r="N66" s="2"/>
      <c r="O66" s="2"/>
      <c r="P66" s="2"/>
    </row>
    <row r="67" spans="1:16" x14ac:dyDescent="0.25">
      <c r="A67" s="2"/>
      <c r="B67" s="2"/>
      <c r="C67" s="2"/>
      <c r="D67" s="2"/>
      <c r="E67" s="8"/>
      <c r="F67" s="12"/>
      <c r="G67" s="13"/>
      <c r="H67" s="2"/>
      <c r="I67" s="2"/>
      <c r="J67" s="2"/>
      <c r="K67" s="14"/>
      <c r="L67" s="14"/>
      <c r="M67" s="14"/>
      <c r="N67" s="2"/>
      <c r="O67" s="2"/>
      <c r="P67" s="2"/>
    </row>
  </sheetData>
  <autoFilter ref="A3:P66" xr:uid="{9DC664DD-B1B2-4F02-8024-60FD80E3B8AF}">
    <sortState xmlns:xlrd2="http://schemas.microsoft.com/office/spreadsheetml/2017/richdata2" ref="A4:P64">
      <sortCondition ref="G3"/>
    </sortState>
  </autoFilter>
  <mergeCells count="10">
    <mergeCell ref="N56:N57"/>
    <mergeCell ref="N16:N17"/>
    <mergeCell ref="N41:N42"/>
    <mergeCell ref="A1:F1"/>
    <mergeCell ref="J1:N1"/>
    <mergeCell ref="L2:N2"/>
    <mergeCell ref="N4:N5"/>
    <mergeCell ref="N18:N19"/>
    <mergeCell ref="N31:N32"/>
    <mergeCell ref="N49:N50"/>
  </mergeCells>
  <conditionalFormatting sqref="B2">
    <cfRule type="duplicateValues" dxfId="71" priority="3"/>
    <cfRule type="duplicateValues" dxfId="70" priority="4"/>
  </conditionalFormatting>
  <conditionalFormatting sqref="B4:B14 B16:B29 B31:B39 B41:B47 B49:B54 B56:B64 B66:B67">
    <cfRule type="duplicateValues" dxfId="69" priority="2"/>
  </conditionalFormatting>
  <conditionalFormatting sqref="C37:C39">
    <cfRule type="duplicateValues" dxfId="68" priority="1"/>
  </conditionalFormatting>
  <conditionalFormatting sqref="C2:D2">
    <cfRule type="duplicateValues" dxfId="67" priority="5"/>
    <cfRule type="duplicateValues" dxfId="66" priority="6"/>
  </conditionalFormatting>
  <hyperlinks>
    <hyperlink ref="B66" r:id="rId1" display="http://192.168.1.249/downloads/temp/X539_eNagare_2026117.log" xr:uid="{DA19F1B2-518F-48B1-8A42-34F4C7ED1E77}"/>
  </hyperlinks>
  <pageMargins left="0.17" right="0.17" top="0.17" bottom="0.75" header="0.2" footer="0.3"/>
  <pageSetup paperSize="9" scale="53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5EBD-89D1-4E90-991A-B9F13F4A5B22}">
  <sheetPr>
    <tabColor rgb="FF00B050"/>
    <pageSetUpPr fitToPage="1"/>
  </sheetPr>
  <dimension ref="A1:P67"/>
  <sheetViews>
    <sheetView topLeftCell="A37" workbookViewId="0">
      <selection activeCell="P62" sqref="P62:P64"/>
    </sheetView>
  </sheetViews>
  <sheetFormatPr defaultColWidth="54.85546875" defaultRowHeight="15" x14ac:dyDescent="0.25"/>
  <cols>
    <col min="1" max="1" width="15.140625" bestFit="1" customWidth="1"/>
    <col min="2" max="2" width="17" bestFit="1" customWidth="1"/>
    <col min="3" max="3" width="14.140625" bestFit="1" customWidth="1"/>
    <col min="4" max="4" width="14.140625" customWidth="1"/>
    <col min="5" max="5" width="32.5703125" bestFit="1" customWidth="1"/>
    <col min="6" max="6" width="11.42578125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0.7109375" customWidth="1"/>
    <col min="13" max="13" width="7.140625" bestFit="1" customWidth="1"/>
    <col min="14" max="14" width="7.85546875" bestFit="1" customWidth="1"/>
    <col min="15" max="15" width="10.7109375" customWidth="1"/>
    <col min="16" max="16" width="46.570312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46042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915</v>
      </c>
      <c r="B4" s="2" t="s">
        <v>872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46042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122</v>
      </c>
      <c r="P4" s="2" t="s">
        <v>1873</v>
      </c>
    </row>
    <row r="5" spans="1:16" x14ac:dyDescent="0.25">
      <c r="A5" s="17" t="s">
        <v>915</v>
      </c>
      <c r="B5" s="2" t="s">
        <v>876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46042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122</v>
      </c>
      <c r="P5" s="2" t="s">
        <v>1873</v>
      </c>
    </row>
    <row r="6" spans="1:16" x14ac:dyDescent="0.25">
      <c r="A6" s="17" t="s">
        <v>915</v>
      </c>
      <c r="B6" s="2" t="s">
        <v>880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46042</v>
      </c>
      <c r="G6" s="13">
        <v>0.35416666666666669</v>
      </c>
      <c r="H6" s="2" t="s">
        <v>53</v>
      </c>
      <c r="I6" s="2" t="s">
        <v>54</v>
      </c>
      <c r="J6" s="2">
        <v>120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3</v>
      </c>
      <c r="O6" s="2" t="s">
        <v>122</v>
      </c>
      <c r="P6" s="2">
        <v>910105841</v>
      </c>
    </row>
    <row r="7" spans="1:16" x14ac:dyDescent="0.25">
      <c r="A7" s="17" t="s">
        <v>915</v>
      </c>
      <c r="B7" s="2" t="s">
        <v>884</v>
      </c>
      <c r="C7" s="27" t="s">
        <v>16</v>
      </c>
      <c r="D7" s="2" t="str">
        <f>VLOOKUP($C7,Sheet1!$A$2:$D$10,2,0)</f>
        <v>141140-91211</v>
      </c>
      <c r="E7" s="8" t="s">
        <v>70</v>
      </c>
      <c r="F7" s="12">
        <v>46042</v>
      </c>
      <c r="G7" s="13">
        <v>0.35416666666666669</v>
      </c>
      <c r="H7" s="2" t="s">
        <v>71</v>
      </c>
      <c r="I7" s="2" t="s">
        <v>54</v>
      </c>
      <c r="J7" s="2">
        <v>48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24</v>
      </c>
      <c r="N7" s="2"/>
      <c r="O7" s="2" t="s">
        <v>122</v>
      </c>
      <c r="P7" s="2" t="s">
        <v>428</v>
      </c>
    </row>
    <row r="8" spans="1:16" x14ac:dyDescent="0.25">
      <c r="A8" s="17" t="s">
        <v>915</v>
      </c>
      <c r="B8" s="2" t="s">
        <v>889</v>
      </c>
      <c r="C8" s="27" t="s">
        <v>20</v>
      </c>
      <c r="D8" s="2" t="str">
        <f>VLOOKUP($C8,Sheet1!$A$2:$D$10,2,0)</f>
        <v>141150-91211</v>
      </c>
      <c r="E8" s="8" t="s">
        <v>78</v>
      </c>
      <c r="F8" s="12">
        <v>46042</v>
      </c>
      <c r="G8" s="13">
        <v>0.35416666666666669</v>
      </c>
      <c r="H8" s="2" t="s">
        <v>71</v>
      </c>
      <c r="I8" s="2" t="s">
        <v>54</v>
      </c>
      <c r="J8" s="2">
        <v>48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" si="0">J8/K8</f>
        <v>24</v>
      </c>
      <c r="N8" s="2"/>
      <c r="O8" s="2" t="s">
        <v>122</v>
      </c>
      <c r="P8" s="2" t="s">
        <v>739</v>
      </c>
    </row>
    <row r="9" spans="1:16" x14ac:dyDescent="0.25">
      <c r="A9" s="17" t="s">
        <v>915</v>
      </c>
      <c r="B9" s="2" t="s">
        <v>894</v>
      </c>
      <c r="C9" s="27" t="s">
        <v>23</v>
      </c>
      <c r="D9" s="2" t="str">
        <f>VLOOKUP($C9,Sheet1!$A$2:$D$10,2,0)</f>
        <v>141186-74360</v>
      </c>
      <c r="E9" s="8" t="s">
        <v>85</v>
      </c>
      <c r="F9" s="12">
        <v>46042</v>
      </c>
      <c r="G9" s="13">
        <v>0.35416666666666669</v>
      </c>
      <c r="H9" s="2" t="s">
        <v>71</v>
      </c>
      <c r="I9" s="2" t="s">
        <v>54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 t="shared" ref="N9" si="1">J9/K9</f>
        <v>2</v>
      </c>
      <c r="O9" s="2" t="s">
        <v>122</v>
      </c>
      <c r="P9" s="2" t="s">
        <v>1877</v>
      </c>
    </row>
    <row r="10" spans="1:16" x14ac:dyDescent="0.25">
      <c r="A10" s="17" t="s">
        <v>916</v>
      </c>
      <c r="B10" s="2" t="s">
        <v>899</v>
      </c>
      <c r="C10" s="27" t="s">
        <v>26</v>
      </c>
      <c r="D10" s="2" t="str">
        <f>VLOOKUP($C10,Sheet1!$A$2:$D$10,2,0)</f>
        <v>116040-92240</v>
      </c>
      <c r="E10" s="8" t="s">
        <v>90</v>
      </c>
      <c r="F10" s="12">
        <v>46042</v>
      </c>
      <c r="G10" s="13">
        <v>0.35416666666666669</v>
      </c>
      <c r="H10" s="2" t="s">
        <v>91</v>
      </c>
      <c r="I10" s="2" t="s">
        <v>54</v>
      </c>
      <c r="J10" s="2">
        <v>96</v>
      </c>
      <c r="K10" s="14">
        <f>VLOOKUP($C10,Sheet1!$A$2:$D$10,4,0)</f>
        <v>6</v>
      </c>
      <c r="L10" s="14" t="str">
        <f>VLOOKUP($C10,Sheet1!$A$2:$E$10,5,0)</f>
        <v>Bin</v>
      </c>
      <c r="M10" s="14">
        <f t="shared" ref="M10:M14" si="2">J10/K10</f>
        <v>16</v>
      </c>
      <c r="N10" s="2"/>
      <c r="O10" s="2" t="s">
        <v>122</v>
      </c>
      <c r="P10" s="2" t="s">
        <v>1864</v>
      </c>
    </row>
    <row r="11" spans="1:16" x14ac:dyDescent="0.25">
      <c r="A11" s="17" t="s">
        <v>916</v>
      </c>
      <c r="B11" s="2" t="s">
        <v>900</v>
      </c>
      <c r="C11" s="27" t="s">
        <v>26</v>
      </c>
      <c r="D11" s="2" t="str">
        <f>VLOOKUP($C11,Sheet1!$A$2:$D$10,2,0)</f>
        <v>116040-92240</v>
      </c>
      <c r="E11" s="8" t="s">
        <v>90</v>
      </c>
      <c r="F11" s="12">
        <v>46042</v>
      </c>
      <c r="G11" s="13">
        <v>0.35416666666666669</v>
      </c>
      <c r="H11" s="2" t="s">
        <v>91</v>
      </c>
      <c r="I11" s="2" t="s">
        <v>54</v>
      </c>
      <c r="J11" s="2">
        <v>6</v>
      </c>
      <c r="K11" s="14">
        <f>VLOOKUP($C11,Sheet1!$A$2:$D$10,4,0)</f>
        <v>6</v>
      </c>
      <c r="L11" s="14" t="str">
        <f>VLOOKUP($C11,Sheet1!$A$2:$E$10,5,0)</f>
        <v>Bin</v>
      </c>
      <c r="M11" s="14">
        <f>J11/K11</f>
        <v>1</v>
      </c>
      <c r="N11" s="2"/>
      <c r="O11" s="2" t="s">
        <v>122</v>
      </c>
      <c r="P11" s="2" t="s">
        <v>1864</v>
      </c>
    </row>
    <row r="12" spans="1:16" x14ac:dyDescent="0.25">
      <c r="A12" s="17" t="s">
        <v>916</v>
      </c>
      <c r="B12" s="2" t="s">
        <v>904</v>
      </c>
      <c r="C12" s="27" t="s">
        <v>32</v>
      </c>
      <c r="D12" s="2" t="str">
        <f>VLOOKUP($C12,Sheet1!$A$2:$D$10,2,0)</f>
        <v>114010-50820</v>
      </c>
      <c r="E12" s="8" t="s">
        <v>98</v>
      </c>
      <c r="F12" s="12">
        <v>46042</v>
      </c>
      <c r="G12" s="13">
        <v>0.35416666666666669</v>
      </c>
      <c r="H12" s="2" t="s">
        <v>91</v>
      </c>
      <c r="I12" s="2" t="s">
        <v>54</v>
      </c>
      <c r="J12" s="2">
        <v>28</v>
      </c>
      <c r="K12" s="14">
        <f>VLOOKUP($C12,Sheet1!$A$2:$D$10,4,0)</f>
        <v>1</v>
      </c>
      <c r="L12" s="14" t="str">
        <f>VLOOKUP($C12,Sheet1!$A$2:$E$10,5,0)</f>
        <v>Bin</v>
      </c>
      <c r="M12" s="14">
        <f t="shared" si="2"/>
        <v>28</v>
      </c>
      <c r="N12" s="2"/>
      <c r="O12" s="2" t="s">
        <v>122</v>
      </c>
      <c r="P12" s="2" t="s">
        <v>428</v>
      </c>
    </row>
    <row r="13" spans="1:16" x14ac:dyDescent="0.25">
      <c r="A13" s="17" t="s">
        <v>916</v>
      </c>
      <c r="B13" s="2" t="s">
        <v>905</v>
      </c>
      <c r="C13" s="27" t="s">
        <v>32</v>
      </c>
      <c r="D13" s="2" t="str">
        <f>VLOOKUP($C13,Sheet1!$A$2:$D$10,2,0)</f>
        <v>114010-50820</v>
      </c>
      <c r="E13" s="8" t="s">
        <v>98</v>
      </c>
      <c r="F13" s="12">
        <v>46042</v>
      </c>
      <c r="G13" s="13">
        <v>0.35416666666666669</v>
      </c>
      <c r="H13" s="2" t="s">
        <v>91</v>
      </c>
      <c r="I13" s="2" t="s">
        <v>54</v>
      </c>
      <c r="J13" s="2">
        <v>6</v>
      </c>
      <c r="K13" s="14">
        <f>VLOOKUP($C13,Sheet1!$A$2:$D$10,4,0)</f>
        <v>1</v>
      </c>
      <c r="L13" s="14" t="str">
        <f>VLOOKUP($C13,Sheet1!$A$2:$E$10,5,0)</f>
        <v>Bin</v>
      </c>
      <c r="M13" s="14">
        <f>J13/K13</f>
        <v>6</v>
      </c>
      <c r="N13" s="2"/>
      <c r="O13" s="2" t="s">
        <v>122</v>
      </c>
      <c r="P13" s="2" t="s">
        <v>428</v>
      </c>
    </row>
    <row r="14" spans="1:16" x14ac:dyDescent="0.25">
      <c r="A14" s="17" t="s">
        <v>916</v>
      </c>
      <c r="B14" s="2" t="s">
        <v>909</v>
      </c>
      <c r="C14" s="27" t="s">
        <v>29</v>
      </c>
      <c r="D14" s="2" t="str">
        <f>VLOOKUP($C14,Sheet1!$A$2:$D$10,2,0)</f>
        <v>114010-50830</v>
      </c>
      <c r="E14" s="8" t="s">
        <v>98</v>
      </c>
      <c r="F14" s="12">
        <v>46042</v>
      </c>
      <c r="G14" s="13">
        <v>0.35416666666666669</v>
      </c>
      <c r="H14" s="2" t="s">
        <v>91</v>
      </c>
      <c r="I14" s="2" t="s">
        <v>54</v>
      </c>
      <c r="J14" s="2">
        <v>20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2"/>
        <v>20</v>
      </c>
      <c r="N14" s="2"/>
      <c r="O14" s="2" t="s">
        <v>122</v>
      </c>
      <c r="P14" s="2" t="s">
        <v>423</v>
      </c>
    </row>
    <row r="15" spans="1:16" x14ac:dyDescent="0.25">
      <c r="A15" s="17" t="s">
        <v>916</v>
      </c>
      <c r="B15" s="2" t="s">
        <v>910</v>
      </c>
      <c r="C15" s="27" t="s">
        <v>29</v>
      </c>
      <c r="D15" s="2" t="str">
        <f>VLOOKUP($C15,Sheet1!$A$2:$D$10,2,0)</f>
        <v>114010-50830</v>
      </c>
      <c r="E15" s="8" t="s">
        <v>98</v>
      </c>
      <c r="F15" s="12">
        <v>46042</v>
      </c>
      <c r="G15" s="13">
        <v>0.35416666666666669</v>
      </c>
      <c r="H15" s="2" t="s">
        <v>91</v>
      </c>
      <c r="I15" s="2" t="s">
        <v>54</v>
      </c>
      <c r="J15" s="2">
        <v>2</v>
      </c>
      <c r="K15" s="14">
        <f>VLOOKUP($C15,Sheet1!$A$2:$D$10,4,0)</f>
        <v>1</v>
      </c>
      <c r="L15" s="14" t="str">
        <f>VLOOKUP($C15,Sheet1!$A$2:$E$10,5,0)</f>
        <v>Bin</v>
      </c>
      <c r="M15" s="14">
        <f>J15/K15</f>
        <v>2</v>
      </c>
      <c r="N15" s="2"/>
      <c r="O15" s="2" t="s">
        <v>122</v>
      </c>
      <c r="P15" s="2" t="s">
        <v>423</v>
      </c>
    </row>
    <row r="16" spans="1:16" s="11" customForma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v>121</v>
      </c>
      <c r="N16" s="10">
        <v>8</v>
      </c>
      <c r="O16" s="10"/>
      <c r="P16" s="10"/>
    </row>
    <row r="17" spans="1:16" x14ac:dyDescent="0.25">
      <c r="A17" s="17" t="s">
        <v>917</v>
      </c>
      <c r="B17" s="2" t="s">
        <v>872</v>
      </c>
      <c r="C17" s="27" t="s">
        <v>5</v>
      </c>
      <c r="D17" s="2" t="str">
        <f>VLOOKUP($C17,Sheet1!$A$2:$D$10,2,0)</f>
        <v>141110-14600</v>
      </c>
      <c r="E17" s="8" t="s">
        <v>52</v>
      </c>
      <c r="F17" s="12">
        <v>46042</v>
      </c>
      <c r="G17" s="13">
        <v>0.35416666666666669</v>
      </c>
      <c r="H17" s="2" t="s">
        <v>53</v>
      </c>
      <c r="I17" s="2" t="s">
        <v>54</v>
      </c>
      <c r="J17" s="2">
        <v>54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2">
        <v>3</v>
      </c>
      <c r="O17" s="2" t="s">
        <v>359</v>
      </c>
      <c r="P17" s="2" t="s">
        <v>1873</v>
      </c>
    </row>
    <row r="18" spans="1:16" x14ac:dyDescent="0.25">
      <c r="A18" s="17" t="s">
        <v>917</v>
      </c>
      <c r="B18" s="2" t="s">
        <v>876</v>
      </c>
      <c r="C18" s="27" t="s">
        <v>9</v>
      </c>
      <c r="D18" s="2" t="str">
        <f>VLOOKUP($C18,Sheet1!$A$2:$D$10,2,0)</f>
        <v>141120-14600</v>
      </c>
      <c r="E18" s="8" t="s">
        <v>60</v>
      </c>
      <c r="F18" s="12">
        <v>46042</v>
      </c>
      <c r="G18" s="13">
        <v>0.35416666666666669</v>
      </c>
      <c r="H18" s="2" t="s">
        <v>53</v>
      </c>
      <c r="I18" s="2" t="s">
        <v>54</v>
      </c>
      <c r="J18" s="2">
        <v>54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3"/>
      <c r="O18" s="2" t="s">
        <v>359</v>
      </c>
      <c r="P18" s="2" t="s">
        <v>1873</v>
      </c>
    </row>
    <row r="19" spans="1:16" x14ac:dyDescent="0.25">
      <c r="A19" s="17" t="s">
        <v>917</v>
      </c>
      <c r="B19" s="2" t="s">
        <v>880</v>
      </c>
      <c r="C19" s="27" t="s">
        <v>12</v>
      </c>
      <c r="D19" s="2" t="str">
        <f>VLOOKUP($C19,Sheet1!$A$2:$D$10,2,0)</f>
        <v>141185-74670</v>
      </c>
      <c r="E19" s="8" t="s">
        <v>66</v>
      </c>
      <c r="F19" s="12">
        <v>46042</v>
      </c>
      <c r="G19" s="13">
        <v>0.35416666666666669</v>
      </c>
      <c r="H19" s="2" t="s">
        <v>53</v>
      </c>
      <c r="I19" s="2" t="s">
        <v>54</v>
      </c>
      <c r="J19" s="2">
        <v>80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2</v>
      </c>
      <c r="O19" s="2" t="s">
        <v>359</v>
      </c>
      <c r="P19" s="2">
        <v>910105841</v>
      </c>
    </row>
    <row r="20" spans="1:16" x14ac:dyDescent="0.25">
      <c r="A20" s="17" t="s">
        <v>917</v>
      </c>
      <c r="B20" s="2" t="s">
        <v>885</v>
      </c>
      <c r="C20" s="27" t="s">
        <v>16</v>
      </c>
      <c r="D20" s="2" t="str">
        <f>VLOOKUP($C20,Sheet1!$A$2:$D$10,2,0)</f>
        <v>141140-91211</v>
      </c>
      <c r="E20" s="8" t="s">
        <v>70</v>
      </c>
      <c r="F20" s="12">
        <v>46042</v>
      </c>
      <c r="G20" s="13">
        <v>0.35416666666666669</v>
      </c>
      <c r="H20" s="2" t="s">
        <v>71</v>
      </c>
      <c r="I20" s="2" t="s">
        <v>54</v>
      </c>
      <c r="J20" s="2">
        <v>8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4</v>
      </c>
      <c r="N20" s="2"/>
      <c r="O20" s="2" t="s">
        <v>359</v>
      </c>
      <c r="P20" s="2" t="s">
        <v>428</v>
      </c>
    </row>
    <row r="21" spans="1:16" x14ac:dyDescent="0.25">
      <c r="A21" s="17" t="s">
        <v>917</v>
      </c>
      <c r="B21" s="2" t="s">
        <v>884</v>
      </c>
      <c r="C21" s="27" t="s">
        <v>16</v>
      </c>
      <c r="D21" s="2" t="str">
        <f>VLOOKUP($C21,Sheet1!$A$2:$D$10,2,0)</f>
        <v>141140-91211</v>
      </c>
      <c r="E21" s="8" t="s">
        <v>70</v>
      </c>
      <c r="F21" s="12">
        <v>46042</v>
      </c>
      <c r="G21" s="13">
        <v>0.35416666666666669</v>
      </c>
      <c r="H21" s="2" t="s">
        <v>71</v>
      </c>
      <c r="I21" s="2" t="s">
        <v>54</v>
      </c>
      <c r="J21" s="2">
        <v>50</v>
      </c>
      <c r="K21" s="14">
        <f>VLOOKUP($C21,Sheet1!$A$2:$D$10,4,0)</f>
        <v>2</v>
      </c>
      <c r="L21" s="14" t="str">
        <f>VLOOKUP($C21,Sheet1!$A$2:$E$10,5,0)</f>
        <v>Bin</v>
      </c>
      <c r="M21" s="14">
        <f>J21/K21</f>
        <v>25</v>
      </c>
      <c r="N21" s="2"/>
      <c r="O21" s="2" t="s">
        <v>359</v>
      </c>
      <c r="P21" s="2" t="s">
        <v>428</v>
      </c>
    </row>
    <row r="22" spans="1:16" x14ac:dyDescent="0.25">
      <c r="A22" s="17" t="s">
        <v>917</v>
      </c>
      <c r="B22" s="2" t="s">
        <v>889</v>
      </c>
      <c r="C22" s="27" t="s">
        <v>20</v>
      </c>
      <c r="D22" s="2" t="str">
        <f>VLOOKUP($C22,Sheet1!$A$2:$D$10,2,0)</f>
        <v>141150-91211</v>
      </c>
      <c r="E22" s="8" t="s">
        <v>78</v>
      </c>
      <c r="F22" s="12">
        <v>46042</v>
      </c>
      <c r="G22" s="13">
        <v>0.35416666666666669</v>
      </c>
      <c r="H22" s="2" t="s">
        <v>71</v>
      </c>
      <c r="I22" s="2" t="s">
        <v>54</v>
      </c>
      <c r="J22" s="2">
        <v>50</v>
      </c>
      <c r="K22" s="14">
        <f>VLOOKUP($C22,Sheet1!$A$2:$D$10,4,0)</f>
        <v>2</v>
      </c>
      <c r="L22" s="14" t="str">
        <f>VLOOKUP($C22,Sheet1!$A$2:$E$10,5,0)</f>
        <v>Bin</v>
      </c>
      <c r="M22" s="14">
        <f t="shared" ref="M22" si="3">J22/K22</f>
        <v>25</v>
      </c>
      <c r="N22" s="2"/>
      <c r="O22" s="2" t="s">
        <v>359</v>
      </c>
      <c r="P22" s="2" t="s">
        <v>428</v>
      </c>
    </row>
    <row r="23" spans="1:16" x14ac:dyDescent="0.25">
      <c r="A23" s="17" t="s">
        <v>917</v>
      </c>
      <c r="B23" s="2" t="s">
        <v>890</v>
      </c>
      <c r="C23" s="27" t="s">
        <v>20</v>
      </c>
      <c r="D23" s="2" t="str">
        <f>VLOOKUP($C23,Sheet1!$A$2:$D$10,2,0)</f>
        <v>141150-91211</v>
      </c>
      <c r="E23" s="8" t="s">
        <v>78</v>
      </c>
      <c r="F23" s="12">
        <v>46042</v>
      </c>
      <c r="G23" s="13">
        <v>0.35416666666666669</v>
      </c>
      <c r="H23" s="2" t="s">
        <v>71</v>
      </c>
      <c r="I23" s="2" t="s">
        <v>54</v>
      </c>
      <c r="J23" s="2">
        <v>8</v>
      </c>
      <c r="K23" s="14">
        <f>VLOOKUP($C23,Sheet1!$A$2:$D$10,4,0)</f>
        <v>2</v>
      </c>
      <c r="L23" s="14" t="str">
        <f>VLOOKUP($C23,Sheet1!$A$2:$E$10,5,0)</f>
        <v>Bin</v>
      </c>
      <c r="M23" s="14">
        <f>J23/K23</f>
        <v>4</v>
      </c>
      <c r="N23" s="2"/>
      <c r="O23" s="2" t="s">
        <v>359</v>
      </c>
      <c r="P23" s="2" t="s">
        <v>428</v>
      </c>
    </row>
    <row r="24" spans="1:16" x14ac:dyDescent="0.25">
      <c r="A24" s="17" t="s">
        <v>917</v>
      </c>
      <c r="B24" s="2" t="s">
        <v>894</v>
      </c>
      <c r="C24" s="27" t="s">
        <v>23</v>
      </c>
      <c r="D24" s="2" t="str">
        <f>VLOOKUP($C24,Sheet1!$A$2:$D$10,2,0)</f>
        <v>141186-74360</v>
      </c>
      <c r="E24" s="8" t="s">
        <v>85</v>
      </c>
      <c r="F24" s="12">
        <v>46042</v>
      </c>
      <c r="G24" s="13">
        <v>0.35416666666666669</v>
      </c>
      <c r="H24" s="2" t="s">
        <v>71</v>
      </c>
      <c r="I24" s="2" t="s">
        <v>54</v>
      </c>
      <c r="J24" s="2">
        <v>80</v>
      </c>
      <c r="K24" s="14">
        <f>VLOOKUP($C24,Sheet1!$A$2:$D$10,4,0)</f>
        <v>40</v>
      </c>
      <c r="L24" s="14" t="str">
        <f>VLOOKUP($C24,Sheet1!$A$2:$E$10,5,0)</f>
        <v>Trolley</v>
      </c>
      <c r="M24" s="14"/>
      <c r="N24" s="2">
        <f t="shared" ref="N24" si="4">J24/K24</f>
        <v>2</v>
      </c>
      <c r="O24" s="2" t="s">
        <v>359</v>
      </c>
      <c r="P24" s="2">
        <v>910106060</v>
      </c>
    </row>
    <row r="25" spans="1:16" x14ac:dyDescent="0.25">
      <c r="A25" s="17" t="s">
        <v>917</v>
      </c>
      <c r="B25" s="2" t="s">
        <v>895</v>
      </c>
      <c r="C25" s="27" t="s">
        <v>23</v>
      </c>
      <c r="D25" s="2" t="str">
        <f>VLOOKUP($C25,Sheet1!$A$2:$D$10,2,0)</f>
        <v>141186-74360</v>
      </c>
      <c r="E25" s="8" t="s">
        <v>85</v>
      </c>
      <c r="F25" s="12">
        <v>46042</v>
      </c>
      <c r="G25" s="13">
        <v>0.35416666666666669</v>
      </c>
      <c r="H25" s="2" t="s">
        <v>71</v>
      </c>
      <c r="I25" s="2" t="s">
        <v>54</v>
      </c>
      <c r="J25" s="2">
        <v>40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>J25/K25</f>
        <v>1</v>
      </c>
      <c r="O25" s="2" t="s">
        <v>359</v>
      </c>
      <c r="P25" s="2">
        <v>910105866</v>
      </c>
    </row>
    <row r="26" spans="1:16" x14ac:dyDescent="0.25">
      <c r="A26" s="17" t="s">
        <v>918</v>
      </c>
      <c r="B26" s="2" t="s">
        <v>909</v>
      </c>
      <c r="C26" s="27" t="s">
        <v>29</v>
      </c>
      <c r="D26" s="2" t="str">
        <f>VLOOKUP($C26,Sheet1!$A$2:$D$10,2,0)</f>
        <v>114010-50830</v>
      </c>
      <c r="E26" s="8" t="s">
        <v>98</v>
      </c>
      <c r="F26" s="12">
        <v>46042</v>
      </c>
      <c r="G26" s="13">
        <v>0.35416666666666669</v>
      </c>
      <c r="H26" s="2" t="s">
        <v>91</v>
      </c>
      <c r="I26" s="2" t="s">
        <v>54</v>
      </c>
      <c r="J26" s="2">
        <v>50</v>
      </c>
      <c r="K26" s="14">
        <f>VLOOKUP($C26,Sheet1!$A$2:$D$10,4,0)</f>
        <v>1</v>
      </c>
      <c r="L26" s="14" t="str">
        <f>VLOOKUP($C26,Sheet1!$A$2:$E$10,5,0)</f>
        <v>Bin</v>
      </c>
      <c r="M26" s="14">
        <f t="shared" ref="M26" si="5">J26/K26</f>
        <v>50</v>
      </c>
      <c r="N26" s="2"/>
      <c r="O26" s="2" t="s">
        <v>359</v>
      </c>
      <c r="P26" s="2" t="s">
        <v>423</v>
      </c>
    </row>
    <row r="27" spans="1:16" s="11" customForma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>
        <v>108</v>
      </c>
      <c r="N27" s="10">
        <v>8</v>
      </c>
      <c r="O27" s="10"/>
      <c r="P27" s="10"/>
    </row>
    <row r="28" spans="1:16" x14ac:dyDescent="0.25">
      <c r="A28" s="17" t="s">
        <v>919</v>
      </c>
      <c r="B28" s="2" t="s">
        <v>873</v>
      </c>
      <c r="C28" s="27" t="s">
        <v>5</v>
      </c>
      <c r="D28" s="2" t="str">
        <f>VLOOKUP($C28,Sheet1!$A$2:$D$10,2,0)</f>
        <v>141110-14600</v>
      </c>
      <c r="E28" s="8" t="s">
        <v>52</v>
      </c>
      <c r="F28" s="12">
        <v>46042</v>
      </c>
      <c r="G28" s="13">
        <v>0.5625</v>
      </c>
      <c r="H28" s="2" t="s">
        <v>53</v>
      </c>
      <c r="I28" s="2" t="s">
        <v>54</v>
      </c>
      <c r="J28" s="2">
        <v>54</v>
      </c>
      <c r="K28" s="14">
        <f>VLOOKUP($C28,Sheet1!$A$2:$D$10,4,0)</f>
        <v>18</v>
      </c>
      <c r="L28" s="14" t="str">
        <f>VLOOKUP($C28,Sheet1!$A$2:$E$10,5,0)</f>
        <v>Trolley (H)</v>
      </c>
      <c r="M28" s="14"/>
      <c r="N28" s="52">
        <v>3</v>
      </c>
      <c r="O28" s="2" t="s">
        <v>121</v>
      </c>
      <c r="P28" s="2" t="s">
        <v>1873</v>
      </c>
    </row>
    <row r="29" spans="1:16" x14ac:dyDescent="0.25">
      <c r="A29" s="17" t="s">
        <v>919</v>
      </c>
      <c r="B29" s="2" t="s">
        <v>877</v>
      </c>
      <c r="C29" s="27" t="s">
        <v>9</v>
      </c>
      <c r="D29" s="2" t="str">
        <f>VLOOKUP($C29,Sheet1!$A$2:$D$10,2,0)</f>
        <v>141120-14600</v>
      </c>
      <c r="E29" s="8" t="s">
        <v>60</v>
      </c>
      <c r="F29" s="12">
        <v>46042</v>
      </c>
      <c r="G29" s="13">
        <v>0.5625</v>
      </c>
      <c r="H29" s="2" t="s">
        <v>53</v>
      </c>
      <c r="I29" s="2" t="s">
        <v>54</v>
      </c>
      <c r="J29" s="2">
        <v>54</v>
      </c>
      <c r="K29" s="14">
        <f>VLOOKUP($C29,Sheet1!$A$2:$D$10,4,0)</f>
        <v>18</v>
      </c>
      <c r="L29" s="14" t="str">
        <f>VLOOKUP($C29,Sheet1!$A$2:$E$10,5,0)</f>
        <v>Trolley (H)</v>
      </c>
      <c r="M29" s="14"/>
      <c r="N29" s="53"/>
      <c r="O29" s="2" t="s">
        <v>121</v>
      </c>
      <c r="P29" s="2" t="s">
        <v>1878</v>
      </c>
    </row>
    <row r="30" spans="1:16" x14ac:dyDescent="0.25">
      <c r="A30" s="17" t="s">
        <v>919</v>
      </c>
      <c r="B30" s="2" t="s">
        <v>881</v>
      </c>
      <c r="C30" s="27" t="s">
        <v>12</v>
      </c>
      <c r="D30" s="2" t="str">
        <f>VLOOKUP($C30,Sheet1!$A$2:$D$10,2,0)</f>
        <v>141185-74670</v>
      </c>
      <c r="E30" s="8" t="s">
        <v>66</v>
      </c>
      <c r="F30" s="12">
        <v>46042</v>
      </c>
      <c r="G30" s="13">
        <v>0.5625</v>
      </c>
      <c r="H30" s="2" t="s">
        <v>53</v>
      </c>
      <c r="I30" s="2" t="s">
        <v>54</v>
      </c>
      <c r="J30" s="2">
        <v>80</v>
      </c>
      <c r="K30" s="14">
        <f>VLOOKUP($C30,Sheet1!$A$2:$D$10,4,0)</f>
        <v>40</v>
      </c>
      <c r="L30" s="14" t="str">
        <f>VLOOKUP($C30,Sheet1!$A$2:$E$10,5,0)</f>
        <v>Trolley</v>
      </c>
      <c r="M30" s="14"/>
      <c r="N30" s="2">
        <f>J30/K30</f>
        <v>2</v>
      </c>
      <c r="O30" s="2" t="s">
        <v>121</v>
      </c>
      <c r="P30" s="2">
        <v>910105841</v>
      </c>
    </row>
    <row r="31" spans="1:16" x14ac:dyDescent="0.25">
      <c r="A31" s="17" t="s">
        <v>919</v>
      </c>
      <c r="B31" s="2" t="s">
        <v>886</v>
      </c>
      <c r="C31" s="27" t="s">
        <v>16</v>
      </c>
      <c r="D31" s="2" t="str">
        <f>VLOOKUP($C31,Sheet1!$A$2:$D$10,2,0)</f>
        <v>141140-91211</v>
      </c>
      <c r="E31" s="8" t="s">
        <v>70</v>
      </c>
      <c r="F31" s="12">
        <v>46042</v>
      </c>
      <c r="G31" s="13">
        <v>0.5625</v>
      </c>
      <c r="H31" s="2" t="s">
        <v>71</v>
      </c>
      <c r="I31" s="2" t="s">
        <v>54</v>
      </c>
      <c r="J31" s="2">
        <v>70</v>
      </c>
      <c r="K31" s="14">
        <f>VLOOKUP($C31,Sheet1!$A$2:$D$10,4,0)</f>
        <v>2</v>
      </c>
      <c r="L31" s="14" t="str">
        <f>VLOOKUP($C31,Sheet1!$A$2:$E$10,5,0)</f>
        <v>Bin</v>
      </c>
      <c r="M31" s="14">
        <f t="shared" ref="M31:M32" si="6">J31/K31</f>
        <v>35</v>
      </c>
      <c r="N31" s="2"/>
      <c r="O31" s="2" t="s">
        <v>121</v>
      </c>
      <c r="P31" s="2" t="s">
        <v>428</v>
      </c>
    </row>
    <row r="32" spans="1:16" x14ac:dyDescent="0.25">
      <c r="A32" s="17" t="s">
        <v>919</v>
      </c>
      <c r="B32" s="2" t="s">
        <v>891</v>
      </c>
      <c r="C32" s="27" t="s">
        <v>20</v>
      </c>
      <c r="D32" s="2" t="str">
        <f>VLOOKUP($C32,Sheet1!$A$2:$D$10,2,0)</f>
        <v>141150-91211</v>
      </c>
      <c r="E32" s="8" t="s">
        <v>78</v>
      </c>
      <c r="F32" s="12">
        <v>46042</v>
      </c>
      <c r="G32" s="13">
        <v>0.5625</v>
      </c>
      <c r="H32" s="2" t="s">
        <v>71</v>
      </c>
      <c r="I32" s="2" t="s">
        <v>54</v>
      </c>
      <c r="J32" s="2">
        <v>70</v>
      </c>
      <c r="K32" s="14">
        <f>VLOOKUP($C32,Sheet1!$A$2:$D$10,4,0)</f>
        <v>2</v>
      </c>
      <c r="L32" s="14" t="str">
        <f>VLOOKUP($C32,Sheet1!$A$2:$E$10,5,0)</f>
        <v>Bin</v>
      </c>
      <c r="M32" s="14">
        <f t="shared" si="6"/>
        <v>35</v>
      </c>
      <c r="N32" s="2"/>
      <c r="O32" s="2" t="s">
        <v>121</v>
      </c>
      <c r="P32" s="2" t="s">
        <v>428</v>
      </c>
    </row>
    <row r="33" spans="1:16" x14ac:dyDescent="0.25">
      <c r="A33" s="17" t="s">
        <v>919</v>
      </c>
      <c r="B33" s="2" t="s">
        <v>896</v>
      </c>
      <c r="C33" s="27" t="s">
        <v>23</v>
      </c>
      <c r="D33" s="2" t="str">
        <f>VLOOKUP($C33,Sheet1!$A$2:$D$10,2,0)</f>
        <v>141186-74360</v>
      </c>
      <c r="E33" s="8" t="s">
        <v>85</v>
      </c>
      <c r="F33" s="12">
        <v>46042</v>
      </c>
      <c r="G33" s="13">
        <v>0.5625</v>
      </c>
      <c r="H33" s="2" t="s">
        <v>71</v>
      </c>
      <c r="I33" s="2" t="s">
        <v>54</v>
      </c>
      <c r="J33" s="2">
        <v>80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2</v>
      </c>
      <c r="O33" s="2" t="s">
        <v>121</v>
      </c>
      <c r="P33" s="2">
        <v>910106060</v>
      </c>
    </row>
    <row r="34" spans="1:16" x14ac:dyDescent="0.25">
      <c r="A34" s="17" t="s">
        <v>920</v>
      </c>
      <c r="B34" s="2" t="s">
        <v>901</v>
      </c>
      <c r="C34" s="27" t="s">
        <v>26</v>
      </c>
      <c r="D34" s="2" t="str">
        <f>VLOOKUP($C34,Sheet1!$A$2:$D$10,2,0)</f>
        <v>116040-92240</v>
      </c>
      <c r="E34" s="8" t="s">
        <v>90</v>
      </c>
      <c r="F34" s="12">
        <v>46042</v>
      </c>
      <c r="G34" s="13">
        <v>0.5625</v>
      </c>
      <c r="H34" s="2" t="s">
        <v>91</v>
      </c>
      <c r="I34" s="2" t="s">
        <v>54</v>
      </c>
      <c r="J34" s="2">
        <v>72</v>
      </c>
      <c r="K34" s="14">
        <f>VLOOKUP($C34,Sheet1!$A$2:$D$10,4,0)</f>
        <v>6</v>
      </c>
      <c r="L34" s="14" t="str">
        <f>VLOOKUP($C34,Sheet1!$A$2:$E$10,5,0)</f>
        <v>Bin</v>
      </c>
      <c r="M34" s="14">
        <f t="shared" ref="M34:M36" si="7">J34/K34</f>
        <v>12</v>
      </c>
      <c r="N34" s="2"/>
      <c r="O34" s="2" t="s">
        <v>121</v>
      </c>
      <c r="P34" s="2" t="s">
        <v>1864</v>
      </c>
    </row>
    <row r="35" spans="1:16" x14ac:dyDescent="0.25">
      <c r="A35" s="17" t="s">
        <v>920</v>
      </c>
      <c r="B35" s="2" t="s">
        <v>906</v>
      </c>
      <c r="C35" s="27" t="s">
        <v>32</v>
      </c>
      <c r="D35" s="2" t="str">
        <f>VLOOKUP($C35,Sheet1!$A$2:$D$10,2,0)</f>
        <v>114010-50820</v>
      </c>
      <c r="E35" s="8" t="s">
        <v>98</v>
      </c>
      <c r="F35" s="12">
        <v>46042</v>
      </c>
      <c r="G35" s="13">
        <v>0.5625</v>
      </c>
      <c r="H35" s="2" t="s">
        <v>91</v>
      </c>
      <c r="I35" s="2" t="s">
        <v>54</v>
      </c>
      <c r="J35" s="2">
        <v>27</v>
      </c>
      <c r="K35" s="14">
        <f>VLOOKUP($C35,Sheet1!$A$2:$D$10,4,0)</f>
        <v>1</v>
      </c>
      <c r="L35" s="14" t="str">
        <f>VLOOKUP($C35,Sheet1!$A$2:$E$10,5,0)</f>
        <v>Bin</v>
      </c>
      <c r="M35" s="14">
        <f t="shared" si="7"/>
        <v>27</v>
      </c>
      <c r="N35" s="2"/>
      <c r="O35" s="2" t="s">
        <v>121</v>
      </c>
      <c r="P35" s="2" t="s">
        <v>428</v>
      </c>
    </row>
    <row r="36" spans="1:16" x14ac:dyDescent="0.25">
      <c r="A36" s="17" t="s">
        <v>920</v>
      </c>
      <c r="B36" s="2" t="s">
        <v>911</v>
      </c>
      <c r="C36" s="27" t="s">
        <v>29</v>
      </c>
      <c r="D36" s="2" t="str">
        <f>VLOOKUP($C36,Sheet1!$A$2:$D$10,2,0)</f>
        <v>114010-50830</v>
      </c>
      <c r="E36" s="8" t="s">
        <v>98</v>
      </c>
      <c r="F36" s="12">
        <v>46042</v>
      </c>
      <c r="G36" s="13">
        <v>0.5625</v>
      </c>
      <c r="H36" s="2" t="s">
        <v>91</v>
      </c>
      <c r="I36" s="2" t="s">
        <v>54</v>
      </c>
      <c r="J36" s="2">
        <v>30</v>
      </c>
      <c r="K36" s="14">
        <f>VLOOKUP($C36,Sheet1!$A$2:$D$10,4,0)</f>
        <v>1</v>
      </c>
      <c r="L36" s="14" t="str">
        <f>VLOOKUP($C36,Sheet1!$A$2:$E$10,5,0)</f>
        <v>Bin</v>
      </c>
      <c r="M36" s="14">
        <f t="shared" si="7"/>
        <v>30</v>
      </c>
      <c r="N36" s="2"/>
      <c r="O36" s="2" t="s">
        <v>121</v>
      </c>
      <c r="P36" s="2" t="s">
        <v>423</v>
      </c>
    </row>
    <row r="37" spans="1:16" s="11" customForma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>
        <v>139</v>
      </c>
      <c r="N37" s="10">
        <v>7</v>
      </c>
      <c r="O37" s="10"/>
      <c r="P37" s="10"/>
    </row>
    <row r="38" spans="1:16" x14ac:dyDescent="0.25">
      <c r="A38" s="17" t="s">
        <v>921</v>
      </c>
      <c r="B38" s="2" t="s">
        <v>873</v>
      </c>
      <c r="C38" s="27" t="s">
        <v>5</v>
      </c>
      <c r="D38" s="2" t="str">
        <f>VLOOKUP($C38,Sheet1!$A$2:$D$10,2,0)</f>
        <v>141110-14600</v>
      </c>
      <c r="E38" s="8" t="s">
        <v>52</v>
      </c>
      <c r="F38" s="12">
        <v>46042</v>
      </c>
      <c r="G38" s="13">
        <v>0.5625</v>
      </c>
      <c r="H38" s="2" t="s">
        <v>53</v>
      </c>
      <c r="I38" s="2" t="s">
        <v>54</v>
      </c>
      <c r="J38" s="2">
        <v>18</v>
      </c>
      <c r="K38" s="14">
        <f>VLOOKUP($C38,Sheet1!$A$2:$D$10,4,0)</f>
        <v>18</v>
      </c>
      <c r="L38" s="14" t="str">
        <f>VLOOKUP($C38,Sheet1!$A$2:$E$10,5,0)</f>
        <v>Trolley (H)</v>
      </c>
      <c r="M38" s="14"/>
      <c r="N38" s="52">
        <v>1</v>
      </c>
      <c r="O38" s="2" t="s">
        <v>119</v>
      </c>
      <c r="P38" s="2" t="s">
        <v>1879</v>
      </c>
    </row>
    <row r="39" spans="1:16" x14ac:dyDescent="0.25">
      <c r="A39" s="17" t="s">
        <v>921</v>
      </c>
      <c r="B39" s="2" t="s">
        <v>877</v>
      </c>
      <c r="C39" s="27" t="s">
        <v>9</v>
      </c>
      <c r="D39" s="2" t="str">
        <f>VLOOKUP($C39,Sheet1!$A$2:$D$10,2,0)</f>
        <v>141120-14600</v>
      </c>
      <c r="E39" s="8" t="s">
        <v>60</v>
      </c>
      <c r="F39" s="12">
        <v>46042</v>
      </c>
      <c r="G39" s="13">
        <v>0.5625</v>
      </c>
      <c r="H39" s="2" t="s">
        <v>53</v>
      </c>
      <c r="I39" s="2" t="s">
        <v>54</v>
      </c>
      <c r="J39" s="2">
        <v>18</v>
      </c>
      <c r="K39" s="14">
        <f>VLOOKUP($C39,Sheet1!$A$2:$D$10,4,0)</f>
        <v>18</v>
      </c>
      <c r="L39" s="14" t="str">
        <f>VLOOKUP($C39,Sheet1!$A$2:$E$10,5,0)</f>
        <v>Trolley (H)</v>
      </c>
      <c r="M39" s="14"/>
      <c r="N39" s="53"/>
      <c r="O39" s="2" t="s">
        <v>119</v>
      </c>
      <c r="P39" s="2" t="s">
        <v>1879</v>
      </c>
    </row>
    <row r="40" spans="1:16" x14ac:dyDescent="0.25">
      <c r="A40" s="17" t="s">
        <v>921</v>
      </c>
      <c r="B40" s="2" t="s">
        <v>881</v>
      </c>
      <c r="C40" s="27" t="s">
        <v>12</v>
      </c>
      <c r="D40" s="2" t="str">
        <f>VLOOKUP($C40,Sheet1!$A$2:$D$10,2,0)</f>
        <v>141185-74670</v>
      </c>
      <c r="E40" s="8" t="s">
        <v>66</v>
      </c>
      <c r="F40" s="12">
        <v>46042</v>
      </c>
      <c r="G40" s="13">
        <v>0.5625</v>
      </c>
      <c r="H40" s="2" t="s">
        <v>53</v>
      </c>
      <c r="I40" s="2" t="s">
        <v>54</v>
      </c>
      <c r="J40" s="2">
        <v>80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>J40/K40</f>
        <v>2</v>
      </c>
      <c r="O40" s="2" t="s">
        <v>119</v>
      </c>
      <c r="P40" s="2">
        <v>910105841</v>
      </c>
    </row>
    <row r="41" spans="1:16" x14ac:dyDescent="0.25">
      <c r="A41" s="17" t="s">
        <v>921</v>
      </c>
      <c r="B41" s="2" t="s">
        <v>896</v>
      </c>
      <c r="C41" s="27" t="s">
        <v>23</v>
      </c>
      <c r="D41" s="2" t="str">
        <f>VLOOKUP($C41,Sheet1!$A$2:$D$10,2,0)</f>
        <v>141186-74360</v>
      </c>
      <c r="E41" s="8" t="s">
        <v>85</v>
      </c>
      <c r="F41" s="12">
        <v>46042</v>
      </c>
      <c r="G41" s="13">
        <v>0.5625</v>
      </c>
      <c r="H41" s="2" t="s">
        <v>71</v>
      </c>
      <c r="I41" s="2" t="s">
        <v>54</v>
      </c>
      <c r="J41" s="2">
        <v>80</v>
      </c>
      <c r="K41" s="14">
        <f>VLOOKUP($C41,Sheet1!$A$2:$D$10,4,0)</f>
        <v>40</v>
      </c>
      <c r="L41" s="14" t="str">
        <f>VLOOKUP($C41,Sheet1!$A$2:$E$10,5,0)</f>
        <v>Trolley</v>
      </c>
      <c r="M41" s="14"/>
      <c r="N41" s="2">
        <f>J41/K41</f>
        <v>2</v>
      </c>
      <c r="O41" s="2" t="s">
        <v>119</v>
      </c>
      <c r="P41" s="2">
        <v>910106060</v>
      </c>
    </row>
    <row r="42" spans="1:16" ht="15.75" thickBot="1" x14ac:dyDescent="0.3">
      <c r="A42" s="17" t="s">
        <v>922</v>
      </c>
      <c r="B42" s="2" t="s">
        <v>911</v>
      </c>
      <c r="C42" s="27" t="s">
        <v>29</v>
      </c>
      <c r="D42" s="2" t="str">
        <f>VLOOKUP($C42,Sheet1!$A$2:$D$10,2,0)</f>
        <v>114010-50830</v>
      </c>
      <c r="E42" s="8" t="s">
        <v>98</v>
      </c>
      <c r="F42" s="12">
        <v>46042</v>
      </c>
      <c r="G42" s="15">
        <v>0.5625</v>
      </c>
      <c r="H42" s="2" t="s">
        <v>91</v>
      </c>
      <c r="I42" s="2" t="s">
        <v>54</v>
      </c>
      <c r="J42" s="2">
        <v>23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ref="M42" si="8">J42/K42</f>
        <v>23</v>
      </c>
      <c r="N42" s="2"/>
      <c r="O42" s="2" t="s">
        <v>119</v>
      </c>
      <c r="P42" s="2" t="s">
        <v>423</v>
      </c>
    </row>
    <row r="43" spans="1:16" ht="15.75" thickTop="1" x14ac:dyDescent="0.25">
      <c r="A43" s="17" t="s">
        <v>923</v>
      </c>
      <c r="B43" s="2" t="s">
        <v>887</v>
      </c>
      <c r="C43" s="27" t="s">
        <v>16</v>
      </c>
      <c r="D43" s="2" t="str">
        <f>VLOOKUP($C43,Sheet1!$A$2:$D$10,2,0)</f>
        <v>141140-91211</v>
      </c>
      <c r="E43" s="8" t="s">
        <v>70</v>
      </c>
      <c r="F43" s="12">
        <v>46042</v>
      </c>
      <c r="G43" s="38">
        <v>0.77083333333333337</v>
      </c>
      <c r="H43" s="2" t="s">
        <v>71</v>
      </c>
      <c r="I43" s="2" t="s">
        <v>54</v>
      </c>
      <c r="J43" s="2">
        <v>70</v>
      </c>
      <c r="K43" s="14">
        <f>VLOOKUP($C43,Sheet1!$A$2:$D$10,4,0)</f>
        <v>2</v>
      </c>
      <c r="L43" s="14" t="str">
        <f>VLOOKUP($C43,Sheet1!$A$2:$E$10,5,0)</f>
        <v>Bin</v>
      </c>
      <c r="M43" s="14">
        <f t="shared" ref="M43:M44" si="9">J43/K43</f>
        <v>35</v>
      </c>
      <c r="N43" s="2"/>
      <c r="O43" s="2" t="s">
        <v>119</v>
      </c>
      <c r="P43" s="2" t="s">
        <v>428</v>
      </c>
    </row>
    <row r="44" spans="1:16" x14ac:dyDescent="0.25">
      <c r="A44" s="17" t="s">
        <v>923</v>
      </c>
      <c r="B44" s="2" t="s">
        <v>892</v>
      </c>
      <c r="C44" s="27" t="s">
        <v>20</v>
      </c>
      <c r="D44" s="2" t="str">
        <f>VLOOKUP($C44,Sheet1!$A$2:$D$10,2,0)</f>
        <v>141150-91211</v>
      </c>
      <c r="E44" s="8" t="s">
        <v>78</v>
      </c>
      <c r="F44" s="12">
        <v>46042</v>
      </c>
      <c r="G44" s="23">
        <v>0.77083333333333337</v>
      </c>
      <c r="H44" s="2" t="s">
        <v>71</v>
      </c>
      <c r="I44" s="2" t="s">
        <v>54</v>
      </c>
      <c r="J44" s="2">
        <v>70</v>
      </c>
      <c r="K44" s="14">
        <f>VLOOKUP($C44,Sheet1!$A$2:$D$10,4,0)</f>
        <v>2</v>
      </c>
      <c r="L44" s="14" t="str">
        <f>VLOOKUP($C44,Sheet1!$A$2:$E$10,5,0)</f>
        <v>Bin</v>
      </c>
      <c r="M44" s="14">
        <f t="shared" si="9"/>
        <v>35</v>
      </c>
      <c r="N44" s="2"/>
      <c r="O44" s="2" t="s">
        <v>119</v>
      </c>
      <c r="P44" s="2" t="s">
        <v>428</v>
      </c>
    </row>
    <row r="45" spans="1:16" x14ac:dyDescent="0.25">
      <c r="A45" s="17" t="s">
        <v>924</v>
      </c>
      <c r="B45" s="2" t="s">
        <v>902</v>
      </c>
      <c r="C45" s="27" t="s">
        <v>26</v>
      </c>
      <c r="D45" s="2" t="str">
        <f>VLOOKUP($C45,Sheet1!$A$2:$D$10,2,0)</f>
        <v>116040-92240</v>
      </c>
      <c r="E45" s="8" t="s">
        <v>90</v>
      </c>
      <c r="F45" s="12">
        <v>46042</v>
      </c>
      <c r="G45" s="23">
        <v>0.77083333333333337</v>
      </c>
      <c r="H45" s="2" t="s">
        <v>91</v>
      </c>
      <c r="I45" s="2" t="s">
        <v>54</v>
      </c>
      <c r="J45" s="2">
        <v>66</v>
      </c>
      <c r="K45" s="14">
        <f>VLOOKUP($C45,Sheet1!$A$2:$D$10,4,0)</f>
        <v>6</v>
      </c>
      <c r="L45" s="14" t="str">
        <f>VLOOKUP($C45,Sheet1!$A$2:$E$10,5,0)</f>
        <v>Bin</v>
      </c>
      <c r="M45" s="14">
        <f t="shared" ref="M45:M47" si="10">J45/K45</f>
        <v>11</v>
      </c>
      <c r="N45" s="2"/>
      <c r="O45" s="2" t="s">
        <v>119</v>
      </c>
      <c r="P45" s="2" t="s">
        <v>1880</v>
      </c>
    </row>
    <row r="46" spans="1:16" x14ac:dyDescent="0.25">
      <c r="A46" s="17" t="s">
        <v>924</v>
      </c>
      <c r="B46" s="2" t="s">
        <v>907</v>
      </c>
      <c r="C46" s="27" t="s">
        <v>32</v>
      </c>
      <c r="D46" s="2" t="str">
        <f>VLOOKUP($C46,Sheet1!$A$2:$D$10,2,0)</f>
        <v>114010-50820</v>
      </c>
      <c r="E46" s="8" t="s">
        <v>98</v>
      </c>
      <c r="F46" s="12">
        <v>46042</v>
      </c>
      <c r="G46" s="23">
        <v>0.77083333333333337</v>
      </c>
      <c r="H46" s="2" t="s">
        <v>91</v>
      </c>
      <c r="I46" s="2" t="s">
        <v>54</v>
      </c>
      <c r="J46" s="2">
        <v>23</v>
      </c>
      <c r="K46" s="14">
        <f>VLOOKUP($C46,Sheet1!$A$2:$D$10,4,0)</f>
        <v>1</v>
      </c>
      <c r="L46" s="14" t="str">
        <f>VLOOKUP($C46,Sheet1!$A$2:$E$10,5,0)</f>
        <v>Bin</v>
      </c>
      <c r="M46" s="14">
        <f t="shared" si="10"/>
        <v>23</v>
      </c>
      <c r="N46" s="2"/>
      <c r="O46" s="2" t="s">
        <v>119</v>
      </c>
      <c r="P46" s="2" t="s">
        <v>428</v>
      </c>
    </row>
    <row r="47" spans="1:16" x14ac:dyDescent="0.25">
      <c r="A47" s="17" t="s">
        <v>924</v>
      </c>
      <c r="B47" s="2" t="s">
        <v>912</v>
      </c>
      <c r="C47" s="27" t="s">
        <v>29</v>
      </c>
      <c r="D47" s="2" t="str">
        <f>VLOOKUP($C47,Sheet1!$A$2:$D$10,2,0)</f>
        <v>114010-50830</v>
      </c>
      <c r="E47" s="8" t="s">
        <v>98</v>
      </c>
      <c r="F47" s="12">
        <v>46042</v>
      </c>
      <c r="G47" s="23">
        <v>0.77083333333333337</v>
      </c>
      <c r="H47" s="2" t="s">
        <v>91</v>
      </c>
      <c r="I47" s="2" t="s">
        <v>54</v>
      </c>
      <c r="J47" s="2">
        <v>47</v>
      </c>
      <c r="K47" s="14">
        <f>VLOOKUP($C47,Sheet1!$A$2:$D$10,4,0)</f>
        <v>1</v>
      </c>
      <c r="L47" s="14" t="str">
        <f>VLOOKUP($C47,Sheet1!$A$2:$E$10,5,0)</f>
        <v>Bin</v>
      </c>
      <c r="M47" s="14">
        <f t="shared" si="10"/>
        <v>47</v>
      </c>
      <c r="N47" s="2"/>
      <c r="O47" s="2" t="s">
        <v>119</v>
      </c>
      <c r="P47" s="2" t="s">
        <v>423</v>
      </c>
    </row>
    <row r="48" spans="1:16" s="11" customForma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>
        <v>174</v>
      </c>
      <c r="N48" s="41">
        <v>5</v>
      </c>
      <c r="O48" s="10"/>
      <c r="P48" s="10"/>
    </row>
    <row r="49" spans="1:16" x14ac:dyDescent="0.25">
      <c r="A49" s="17" t="s">
        <v>925</v>
      </c>
      <c r="B49" s="2" t="s">
        <v>874</v>
      </c>
      <c r="C49" s="27" t="s">
        <v>5</v>
      </c>
      <c r="D49" s="2" t="str">
        <f>VLOOKUP($C49,Sheet1!$A$2:$D$10,2,0)</f>
        <v>141110-14600</v>
      </c>
      <c r="E49" s="8" t="s">
        <v>52</v>
      </c>
      <c r="F49" s="12">
        <v>46042</v>
      </c>
      <c r="G49" s="13">
        <v>0.77083333333333337</v>
      </c>
      <c r="H49" s="2" t="s">
        <v>53</v>
      </c>
      <c r="I49" s="2" t="s">
        <v>54</v>
      </c>
      <c r="J49" s="2">
        <v>54</v>
      </c>
      <c r="K49" s="14">
        <f>VLOOKUP($C49,Sheet1!$A$2:$D$10,4,0)</f>
        <v>18</v>
      </c>
      <c r="L49" s="14" t="str">
        <f>VLOOKUP($C49,Sheet1!$A$2:$E$10,5,0)</f>
        <v>Trolley (H)</v>
      </c>
      <c r="M49" s="14"/>
      <c r="N49" s="52">
        <v>3</v>
      </c>
      <c r="O49" s="2" t="s">
        <v>122</v>
      </c>
      <c r="P49" s="2" t="s">
        <v>1881</v>
      </c>
    </row>
    <row r="50" spans="1:16" x14ac:dyDescent="0.25">
      <c r="A50" s="17" t="s">
        <v>925</v>
      </c>
      <c r="B50" s="2" t="s">
        <v>878</v>
      </c>
      <c r="C50" s="27" t="s">
        <v>9</v>
      </c>
      <c r="D50" s="2" t="str">
        <f>VLOOKUP($C50,Sheet1!$A$2:$D$10,2,0)</f>
        <v>141120-14600</v>
      </c>
      <c r="E50" s="8" t="s">
        <v>60</v>
      </c>
      <c r="F50" s="12">
        <v>46042</v>
      </c>
      <c r="G50" s="13">
        <v>0.77083333333333337</v>
      </c>
      <c r="H50" s="2" t="s">
        <v>53</v>
      </c>
      <c r="I50" s="2" t="s">
        <v>54</v>
      </c>
      <c r="J50" s="2">
        <v>54</v>
      </c>
      <c r="K50" s="14">
        <f>VLOOKUP($C50,Sheet1!$A$2:$D$10,4,0)</f>
        <v>18</v>
      </c>
      <c r="L50" s="14" t="str">
        <f>VLOOKUP($C50,Sheet1!$A$2:$E$10,5,0)</f>
        <v>Trolley (H)</v>
      </c>
      <c r="M50" s="14"/>
      <c r="N50" s="53"/>
      <c r="O50" s="2" t="s">
        <v>122</v>
      </c>
      <c r="P50" s="2" t="s">
        <v>1879</v>
      </c>
    </row>
    <row r="51" spans="1:16" x14ac:dyDescent="0.25">
      <c r="A51" s="17" t="s">
        <v>925</v>
      </c>
      <c r="B51" s="2" t="s">
        <v>882</v>
      </c>
      <c r="C51" s="27" t="s">
        <v>12</v>
      </c>
      <c r="D51" s="2" t="str">
        <f>VLOOKUP($C51,Sheet1!$A$2:$D$10,2,0)</f>
        <v>141185-74670</v>
      </c>
      <c r="E51" s="8" t="s">
        <v>66</v>
      </c>
      <c r="F51" s="12">
        <v>46042</v>
      </c>
      <c r="G51" s="13">
        <v>0.77083333333333337</v>
      </c>
      <c r="H51" s="2" t="s">
        <v>53</v>
      </c>
      <c r="I51" s="2" t="s">
        <v>54</v>
      </c>
      <c r="J51" s="2">
        <v>120</v>
      </c>
      <c r="K51" s="14">
        <f>VLOOKUP($C51,Sheet1!$A$2:$D$10,4,0)</f>
        <v>40</v>
      </c>
      <c r="L51" s="14" t="str">
        <f>VLOOKUP($C51,Sheet1!$A$2:$E$10,5,0)</f>
        <v>Trolley</v>
      </c>
      <c r="M51" s="14"/>
      <c r="N51" s="2">
        <f>J51/K51</f>
        <v>3</v>
      </c>
      <c r="O51" s="2" t="s">
        <v>122</v>
      </c>
      <c r="P51" s="2">
        <v>910106266</v>
      </c>
    </row>
    <row r="52" spans="1:16" ht="15.75" thickBot="1" x14ac:dyDescent="0.3">
      <c r="A52" s="17" t="s">
        <v>925</v>
      </c>
      <c r="B52" s="2" t="s">
        <v>897</v>
      </c>
      <c r="C52" s="27" t="s">
        <v>23</v>
      </c>
      <c r="D52" s="2" t="str">
        <f>VLOOKUP($C52,Sheet1!$A$2:$D$10,2,0)</f>
        <v>141186-74360</v>
      </c>
      <c r="E52" s="8" t="s">
        <v>85</v>
      </c>
      <c r="F52" s="12">
        <v>46042</v>
      </c>
      <c r="G52" s="42">
        <v>0.77083333333333337</v>
      </c>
      <c r="H52" s="2" t="s">
        <v>71</v>
      </c>
      <c r="I52" s="2" t="s">
        <v>54</v>
      </c>
      <c r="J52" s="2">
        <v>120</v>
      </c>
      <c r="K52" s="14">
        <f>VLOOKUP($C52,Sheet1!$A$2:$D$10,4,0)</f>
        <v>40</v>
      </c>
      <c r="L52" s="14" t="str">
        <f>VLOOKUP($C52,Sheet1!$A$2:$E$10,5,0)</f>
        <v>Trolley</v>
      </c>
      <c r="M52" s="14"/>
      <c r="N52" s="2">
        <f>J52/K52</f>
        <v>3</v>
      </c>
      <c r="O52" s="2" t="s">
        <v>122</v>
      </c>
      <c r="P52" s="2">
        <v>910106060</v>
      </c>
    </row>
    <row r="53" spans="1:16" ht="15.75" thickTop="1" x14ac:dyDescent="0.25">
      <c r="A53" s="17" t="s">
        <v>926</v>
      </c>
      <c r="B53" s="2" t="s">
        <v>875</v>
      </c>
      <c r="C53" s="27" t="s">
        <v>5</v>
      </c>
      <c r="D53" s="2" t="str">
        <f>VLOOKUP($C53,Sheet1!$A$2:$D$10,2,0)</f>
        <v>141110-14600</v>
      </c>
      <c r="E53" s="8" t="s">
        <v>52</v>
      </c>
      <c r="F53" s="12">
        <v>46042</v>
      </c>
      <c r="G53" s="38">
        <v>0.97916666666666663</v>
      </c>
      <c r="H53" s="2" t="s">
        <v>53</v>
      </c>
      <c r="I53" s="2" t="s">
        <v>54</v>
      </c>
      <c r="J53" s="2">
        <v>18</v>
      </c>
      <c r="K53" s="14">
        <f>VLOOKUP($C53,Sheet1!$A$2:$D$10,4,0)</f>
        <v>18</v>
      </c>
      <c r="L53" s="14" t="str">
        <f>VLOOKUP($C53,Sheet1!$A$2:$E$10,5,0)</f>
        <v>Trolley (H)</v>
      </c>
      <c r="M53" s="14"/>
      <c r="N53" s="52">
        <v>1</v>
      </c>
      <c r="O53" s="2" t="s">
        <v>122</v>
      </c>
      <c r="P53" s="2" t="s">
        <v>1879</v>
      </c>
    </row>
    <row r="54" spans="1:16" x14ac:dyDescent="0.25">
      <c r="A54" s="17" t="s">
        <v>926</v>
      </c>
      <c r="B54" s="2" t="s">
        <v>879</v>
      </c>
      <c r="C54" s="27" t="s">
        <v>9</v>
      </c>
      <c r="D54" s="2" t="str">
        <f>VLOOKUP($C54,Sheet1!$A$2:$D$10,2,0)</f>
        <v>141120-14600</v>
      </c>
      <c r="E54" s="8" t="s">
        <v>60</v>
      </c>
      <c r="F54" s="12">
        <v>46042</v>
      </c>
      <c r="G54" s="23">
        <v>0.97916666666666663</v>
      </c>
      <c r="H54" s="2" t="s">
        <v>53</v>
      </c>
      <c r="I54" s="2" t="s">
        <v>54</v>
      </c>
      <c r="J54" s="2">
        <v>18</v>
      </c>
      <c r="K54" s="14">
        <f>VLOOKUP($C54,Sheet1!$A$2:$D$10,4,0)</f>
        <v>18</v>
      </c>
      <c r="L54" s="14" t="str">
        <f>VLOOKUP($C54,Sheet1!$A$2:$E$10,5,0)</f>
        <v>Trolley (H)</v>
      </c>
      <c r="M54" s="14"/>
      <c r="N54" s="53"/>
      <c r="O54" s="2" t="s">
        <v>122</v>
      </c>
      <c r="P54" s="2" t="s">
        <v>1879</v>
      </c>
    </row>
    <row r="55" spans="1:16" s="11" customForma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>
        <v>10</v>
      </c>
      <c r="O55" s="10"/>
      <c r="P55" s="10"/>
    </row>
    <row r="56" spans="1:16" x14ac:dyDescent="0.25">
      <c r="A56" s="17" t="s">
        <v>927</v>
      </c>
      <c r="B56" s="2" t="s">
        <v>875</v>
      </c>
      <c r="C56" s="27" t="s">
        <v>5</v>
      </c>
      <c r="D56" s="2" t="str">
        <f>VLOOKUP($C56,Sheet1!$A$2:$D$10,2,0)</f>
        <v>141110-14600</v>
      </c>
      <c r="E56" s="8" t="s">
        <v>52</v>
      </c>
      <c r="F56" s="12">
        <v>46042</v>
      </c>
      <c r="G56" s="13">
        <v>0.97916666666666663</v>
      </c>
      <c r="H56" s="2" t="s">
        <v>53</v>
      </c>
      <c r="I56" s="2" t="s">
        <v>54</v>
      </c>
      <c r="J56" s="2">
        <v>54</v>
      </c>
      <c r="K56" s="14">
        <f>VLOOKUP($C56,Sheet1!$A$2:$D$10,4,0)</f>
        <v>18</v>
      </c>
      <c r="L56" s="14" t="str">
        <f>VLOOKUP($C56,Sheet1!$A$2:$E$10,5,0)</f>
        <v>Trolley (H)</v>
      </c>
      <c r="M56" s="14"/>
      <c r="N56" s="52">
        <v>3</v>
      </c>
      <c r="O56" s="2" t="s">
        <v>359</v>
      </c>
      <c r="P56" s="2" t="s">
        <v>1879</v>
      </c>
    </row>
    <row r="57" spans="1:16" x14ac:dyDescent="0.25">
      <c r="A57" s="17" t="s">
        <v>927</v>
      </c>
      <c r="B57" s="2" t="s">
        <v>879</v>
      </c>
      <c r="C57" s="27" t="s">
        <v>9</v>
      </c>
      <c r="D57" s="2" t="str">
        <f>VLOOKUP($C57,Sheet1!$A$2:$D$10,2,0)</f>
        <v>141120-14600</v>
      </c>
      <c r="E57" s="8" t="s">
        <v>60</v>
      </c>
      <c r="F57" s="12">
        <v>46042</v>
      </c>
      <c r="G57" s="13">
        <v>0.97916666666666663</v>
      </c>
      <c r="H57" s="2" t="s">
        <v>53</v>
      </c>
      <c r="I57" s="2" t="s">
        <v>54</v>
      </c>
      <c r="J57" s="2">
        <v>54</v>
      </c>
      <c r="K57" s="14">
        <f>VLOOKUP($C57,Sheet1!$A$2:$D$10,4,0)</f>
        <v>18</v>
      </c>
      <c r="L57" s="14" t="str">
        <f>VLOOKUP($C57,Sheet1!$A$2:$E$10,5,0)</f>
        <v>Trolley (H)</v>
      </c>
      <c r="M57" s="14"/>
      <c r="N57" s="53"/>
      <c r="O57" s="2" t="s">
        <v>359</v>
      </c>
      <c r="P57" s="2" t="s">
        <v>1879</v>
      </c>
    </row>
    <row r="58" spans="1:16" x14ac:dyDescent="0.25">
      <c r="A58" s="17" t="s">
        <v>927</v>
      </c>
      <c r="B58" s="2" t="s">
        <v>883</v>
      </c>
      <c r="C58" s="27" t="s">
        <v>12</v>
      </c>
      <c r="D58" s="2" t="str">
        <f>VLOOKUP($C58,Sheet1!$A$2:$D$10,2,0)</f>
        <v>141185-74670</v>
      </c>
      <c r="E58" s="8" t="s">
        <v>66</v>
      </c>
      <c r="F58" s="12">
        <v>46042</v>
      </c>
      <c r="G58" s="13">
        <v>0.97916666666666663</v>
      </c>
      <c r="H58" s="2" t="s">
        <v>53</v>
      </c>
      <c r="I58" s="2" t="s">
        <v>54</v>
      </c>
      <c r="J58" s="2">
        <v>120</v>
      </c>
      <c r="K58" s="14">
        <f>VLOOKUP($C58,Sheet1!$A$2:$D$10,4,0)</f>
        <v>40</v>
      </c>
      <c r="L58" s="14" t="str">
        <f>VLOOKUP($C58,Sheet1!$A$2:$E$10,5,0)</f>
        <v>Trolley</v>
      </c>
      <c r="M58" s="14"/>
      <c r="N58" s="2">
        <f>J58/K58</f>
        <v>3</v>
      </c>
      <c r="O58" s="2" t="s">
        <v>359</v>
      </c>
      <c r="P58" s="2">
        <v>910106266</v>
      </c>
    </row>
    <row r="59" spans="1:16" x14ac:dyDescent="0.25">
      <c r="A59" s="17" t="s">
        <v>927</v>
      </c>
      <c r="B59" s="2" t="s">
        <v>888</v>
      </c>
      <c r="C59" s="27" t="s">
        <v>16</v>
      </c>
      <c r="D59" s="2" t="str">
        <f>VLOOKUP($C59,Sheet1!$A$2:$D$10,2,0)</f>
        <v>141140-91211</v>
      </c>
      <c r="E59" s="8" t="s">
        <v>70</v>
      </c>
      <c r="F59" s="12">
        <v>46042</v>
      </c>
      <c r="G59" s="13">
        <v>0.97916666666666663</v>
      </c>
      <c r="H59" s="2" t="s">
        <v>71</v>
      </c>
      <c r="I59" s="2" t="s">
        <v>54</v>
      </c>
      <c r="J59" s="2">
        <v>54</v>
      </c>
      <c r="K59" s="14">
        <f>VLOOKUP($C59,Sheet1!$A$2:$D$10,4,0)</f>
        <v>2</v>
      </c>
      <c r="L59" s="14" t="str">
        <f>VLOOKUP($C59,Sheet1!$A$2:$E$10,5,0)</f>
        <v>Bin</v>
      </c>
      <c r="M59" s="14">
        <f t="shared" ref="M59:M60" si="11">J59/K59</f>
        <v>27</v>
      </c>
      <c r="N59" s="2"/>
      <c r="O59" s="2" t="s">
        <v>359</v>
      </c>
      <c r="P59" s="2" t="s">
        <v>428</v>
      </c>
    </row>
    <row r="60" spans="1:16" x14ac:dyDescent="0.25">
      <c r="A60" s="17" t="s">
        <v>927</v>
      </c>
      <c r="B60" s="2" t="s">
        <v>893</v>
      </c>
      <c r="C60" s="27" t="s">
        <v>20</v>
      </c>
      <c r="D60" s="2" t="str">
        <f>VLOOKUP($C60,Sheet1!$A$2:$D$10,2,0)</f>
        <v>141150-91211</v>
      </c>
      <c r="E60" s="8" t="s">
        <v>78</v>
      </c>
      <c r="F60" s="12">
        <v>46042</v>
      </c>
      <c r="G60" s="13">
        <v>0.97916666666666663</v>
      </c>
      <c r="H60" s="2" t="s">
        <v>71</v>
      </c>
      <c r="I60" s="2" t="s">
        <v>54</v>
      </c>
      <c r="J60" s="2">
        <v>54</v>
      </c>
      <c r="K60" s="14">
        <f>VLOOKUP($C60,Sheet1!$A$2:$D$10,4,0)</f>
        <v>2</v>
      </c>
      <c r="L60" s="14" t="str">
        <f>VLOOKUP($C60,Sheet1!$A$2:$E$10,5,0)</f>
        <v>Bin</v>
      </c>
      <c r="M60" s="14">
        <f t="shared" si="11"/>
        <v>27</v>
      </c>
      <c r="N60" s="2"/>
      <c r="O60" s="2" t="s">
        <v>359</v>
      </c>
      <c r="P60" s="2" t="s">
        <v>428</v>
      </c>
    </row>
    <row r="61" spans="1:16" x14ac:dyDescent="0.25">
      <c r="A61" s="17" t="s">
        <v>927</v>
      </c>
      <c r="B61" s="2" t="s">
        <v>898</v>
      </c>
      <c r="C61" s="27" t="s">
        <v>23</v>
      </c>
      <c r="D61" s="2" t="str">
        <f>VLOOKUP($C61,Sheet1!$A$2:$D$10,2,0)</f>
        <v>141186-74360</v>
      </c>
      <c r="E61" s="8" t="s">
        <v>85</v>
      </c>
      <c r="F61" s="12">
        <v>46042</v>
      </c>
      <c r="G61" s="13">
        <v>0.97916666666666663</v>
      </c>
      <c r="H61" s="2" t="s">
        <v>71</v>
      </c>
      <c r="I61" s="2" t="s">
        <v>54</v>
      </c>
      <c r="J61" s="2">
        <v>120</v>
      </c>
      <c r="K61" s="14">
        <f>VLOOKUP($C61,Sheet1!$A$2:$D$10,4,0)</f>
        <v>40</v>
      </c>
      <c r="L61" s="14" t="str">
        <f>VLOOKUP($C61,Sheet1!$A$2:$E$10,5,0)</f>
        <v>Trolley</v>
      </c>
      <c r="M61" s="14"/>
      <c r="N61" s="2">
        <f>J61/K61</f>
        <v>3</v>
      </c>
      <c r="O61" s="2" t="s">
        <v>359</v>
      </c>
      <c r="P61" s="2">
        <v>910106060</v>
      </c>
    </row>
    <row r="62" spans="1:16" x14ac:dyDescent="0.25">
      <c r="A62" s="17" t="s">
        <v>928</v>
      </c>
      <c r="B62" s="2" t="s">
        <v>903</v>
      </c>
      <c r="C62" s="27" t="s">
        <v>26</v>
      </c>
      <c r="D62" s="2" t="str">
        <f>VLOOKUP($C62,Sheet1!$A$2:$D$10,2,0)</f>
        <v>116040-92240</v>
      </c>
      <c r="E62" s="8" t="s">
        <v>90</v>
      </c>
      <c r="F62" s="12">
        <v>46042</v>
      </c>
      <c r="G62" s="13">
        <v>0.97916666666666663</v>
      </c>
      <c r="H62" s="2" t="s">
        <v>91</v>
      </c>
      <c r="I62" s="2" t="s">
        <v>54</v>
      </c>
      <c r="J62" s="2">
        <v>60</v>
      </c>
      <c r="K62" s="14">
        <f>VLOOKUP($C62,Sheet1!$A$2:$D$10,4,0)</f>
        <v>6</v>
      </c>
      <c r="L62" s="14" t="str">
        <f>VLOOKUP($C62,Sheet1!$A$2:$E$10,5,0)</f>
        <v>Bin</v>
      </c>
      <c r="M62" s="14">
        <f t="shared" ref="M62:M64" si="12">J62/K62</f>
        <v>10</v>
      </c>
      <c r="N62" s="2"/>
      <c r="O62" s="2" t="s">
        <v>359</v>
      </c>
      <c r="P62" s="2" t="s">
        <v>1864</v>
      </c>
    </row>
    <row r="63" spans="1:16" x14ac:dyDescent="0.25">
      <c r="A63" s="17" t="s">
        <v>928</v>
      </c>
      <c r="B63" s="2" t="s">
        <v>908</v>
      </c>
      <c r="C63" s="27" t="s">
        <v>32</v>
      </c>
      <c r="D63" s="2" t="str">
        <f>VLOOKUP($C63,Sheet1!$A$2:$D$10,2,0)</f>
        <v>114010-50820</v>
      </c>
      <c r="E63" s="8" t="s">
        <v>98</v>
      </c>
      <c r="F63" s="12">
        <v>46042</v>
      </c>
      <c r="G63" s="13">
        <v>0.97916666666666663</v>
      </c>
      <c r="H63" s="2" t="s">
        <v>91</v>
      </c>
      <c r="I63" s="2" t="s">
        <v>54</v>
      </c>
      <c r="J63" s="2">
        <v>17</v>
      </c>
      <c r="K63" s="14">
        <f>VLOOKUP($C63,Sheet1!$A$2:$D$10,4,0)</f>
        <v>1</v>
      </c>
      <c r="L63" s="14" t="str">
        <f>VLOOKUP($C63,Sheet1!$A$2:$E$10,5,0)</f>
        <v>Bin</v>
      </c>
      <c r="M63" s="14">
        <f t="shared" si="12"/>
        <v>17</v>
      </c>
      <c r="N63" s="2"/>
      <c r="O63" s="2" t="s">
        <v>359</v>
      </c>
      <c r="P63" s="2" t="s">
        <v>428</v>
      </c>
    </row>
    <row r="64" spans="1:16" x14ac:dyDescent="0.25">
      <c r="A64" s="17" t="s">
        <v>928</v>
      </c>
      <c r="B64" s="2" t="s">
        <v>913</v>
      </c>
      <c r="C64" s="27" t="s">
        <v>29</v>
      </c>
      <c r="D64" s="2" t="str">
        <f>VLOOKUP($C64,Sheet1!$A$2:$D$10,2,0)</f>
        <v>114010-50830</v>
      </c>
      <c r="E64" s="8" t="s">
        <v>98</v>
      </c>
      <c r="F64" s="12">
        <v>46042</v>
      </c>
      <c r="G64" s="13">
        <v>0.97916666666666663</v>
      </c>
      <c r="H64" s="2" t="s">
        <v>91</v>
      </c>
      <c r="I64" s="2" t="s">
        <v>54</v>
      </c>
      <c r="J64" s="2">
        <v>28</v>
      </c>
      <c r="K64" s="14">
        <f>VLOOKUP($C64,Sheet1!$A$2:$D$10,4,0)</f>
        <v>1</v>
      </c>
      <c r="L64" s="14" t="str">
        <f>VLOOKUP($C64,Sheet1!$A$2:$E$10,5,0)</f>
        <v>Bin</v>
      </c>
      <c r="M64" s="14">
        <f t="shared" si="12"/>
        <v>28</v>
      </c>
      <c r="N64" s="2"/>
      <c r="O64" s="2" t="s">
        <v>359</v>
      </c>
      <c r="P64" s="2" t="s">
        <v>1882</v>
      </c>
    </row>
    <row r="65" spans="1:16" s="11" customForma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>
        <v>109</v>
      </c>
      <c r="N65" s="10">
        <v>9</v>
      </c>
      <c r="O65" s="10"/>
      <c r="P65" s="10"/>
    </row>
    <row r="66" spans="1:16" x14ac:dyDescent="0.25">
      <c r="B66" s="63" t="s">
        <v>914</v>
      </c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5"/>
    </row>
    <row r="67" spans="1:16" ht="15.75" thickBot="1" x14ac:dyDescent="0.3"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8"/>
    </row>
  </sheetData>
  <autoFilter ref="A3:P66" xr:uid="{99715EBD-89D1-4E90-991A-B9F13F4A5B22}">
    <sortState xmlns:xlrd2="http://schemas.microsoft.com/office/spreadsheetml/2017/richdata2" ref="A4:P64">
      <sortCondition ref="G3"/>
    </sortState>
  </autoFilter>
  <mergeCells count="12">
    <mergeCell ref="A1:F1"/>
    <mergeCell ref="J1:N1"/>
    <mergeCell ref="L2:N2"/>
    <mergeCell ref="N4:N5"/>
    <mergeCell ref="N28:N29"/>
    <mergeCell ref="N17:N18"/>
    <mergeCell ref="N38:N39"/>
    <mergeCell ref="N53:N54"/>
    <mergeCell ref="B66:M66"/>
    <mergeCell ref="B67:M67"/>
    <mergeCell ref="N49:N50"/>
    <mergeCell ref="N56:N57"/>
  </mergeCells>
  <conditionalFormatting sqref="B2">
    <cfRule type="duplicateValues" dxfId="65" priority="6"/>
    <cfRule type="duplicateValues" dxfId="64" priority="7"/>
  </conditionalFormatting>
  <conditionalFormatting sqref="B38:B39">
    <cfRule type="duplicateValues" dxfId="63" priority="4"/>
  </conditionalFormatting>
  <conditionalFormatting sqref="B40">
    <cfRule type="duplicateValues" dxfId="62" priority="3"/>
  </conditionalFormatting>
  <conditionalFormatting sqref="B41">
    <cfRule type="duplicateValues" dxfId="61" priority="2"/>
  </conditionalFormatting>
  <conditionalFormatting sqref="B42">
    <cfRule type="duplicateValues" dxfId="60" priority="1"/>
  </conditionalFormatting>
  <conditionalFormatting sqref="B56:B64 B28:B36 B43:B47 B17:B26 B4:B15 B49:B54">
    <cfRule type="duplicateValues" dxfId="59" priority="5"/>
  </conditionalFormatting>
  <conditionalFormatting sqref="C2:D2">
    <cfRule type="duplicateValues" dxfId="58" priority="8"/>
    <cfRule type="duplicateValues" dxfId="57" priority="9"/>
  </conditionalFormatting>
  <hyperlinks>
    <hyperlink ref="B66" r:id="rId1" display="http://192.168.1.249/downloads/temp/X539_eNagare_2026119.log" xr:uid="{77EE38AD-4D47-443D-A9BA-58608697F206}"/>
  </hyperlinks>
  <pageMargins left="0.17" right="0.17" top="0.17" bottom="0.17" header="0.17" footer="0.17"/>
  <pageSetup paperSize="9" scale="57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CF2E-42C9-44F8-B9BD-240FB6CD8785}">
  <sheetPr>
    <tabColor rgb="FF00B050"/>
  </sheetPr>
  <dimension ref="A1:Q11"/>
  <sheetViews>
    <sheetView workbookViewId="0">
      <selection activeCell="E21" sqref="E21"/>
    </sheetView>
  </sheetViews>
  <sheetFormatPr defaultColWidth="34.7109375" defaultRowHeight="15" x14ac:dyDescent="0.25"/>
  <cols>
    <col min="1" max="1" width="12.28515625" bestFit="1" customWidth="1"/>
    <col min="2" max="2" width="17.85546875" bestFit="1" customWidth="1"/>
    <col min="3" max="3" width="20.28515625" bestFit="1" customWidth="1"/>
    <col min="4" max="4" width="14.7109375" bestFit="1" customWidth="1"/>
    <col min="5" max="5" width="17" bestFit="1" customWidth="1"/>
    <col min="6" max="6" width="21.140625" bestFit="1" customWidth="1"/>
    <col min="7" max="7" width="22" bestFit="1" customWidth="1"/>
    <col min="8" max="8" width="20.5703125" customWidth="1"/>
    <col min="9" max="9" width="20.28515625" bestFit="1" customWidth="1"/>
    <col min="10" max="10" width="10.140625" bestFit="1" customWidth="1"/>
    <col min="11" max="11" width="11" bestFit="1" customWidth="1"/>
    <col min="12" max="12" width="20.140625" bestFit="1" customWidth="1"/>
    <col min="13" max="13" width="20.5703125" bestFit="1" customWidth="1"/>
    <col min="14" max="14" width="9.7109375" bestFit="1" customWidth="1"/>
    <col min="15" max="15" width="9.5703125" bestFit="1" customWidth="1"/>
    <col min="16" max="16" width="10.140625" bestFit="1" customWidth="1"/>
    <col min="17" max="17" width="26.140625" bestFit="1" customWidth="1"/>
  </cols>
  <sheetData>
    <row r="1" spans="1:17" ht="15.75" thickBot="1" x14ac:dyDescent="0.3">
      <c r="A1" s="18" t="s">
        <v>165</v>
      </c>
      <c r="B1" s="18" t="s">
        <v>166</v>
      </c>
      <c r="C1" s="10" t="s">
        <v>38</v>
      </c>
      <c r="D1" s="18" t="s">
        <v>168</v>
      </c>
      <c r="E1" s="18" t="s">
        <v>173</v>
      </c>
      <c r="F1" s="18" t="s">
        <v>169</v>
      </c>
      <c r="G1" s="18" t="s">
        <v>170</v>
      </c>
      <c r="H1" s="10" t="s">
        <v>46</v>
      </c>
      <c r="I1" s="10" t="s">
        <v>37</v>
      </c>
      <c r="J1" s="18" t="s">
        <v>172</v>
      </c>
      <c r="K1" s="18" t="s">
        <v>174</v>
      </c>
      <c r="L1" s="18" t="s">
        <v>175</v>
      </c>
      <c r="M1" s="18" t="s">
        <v>176</v>
      </c>
      <c r="N1" s="18" t="s">
        <v>177</v>
      </c>
      <c r="O1" s="18" t="s">
        <v>178</v>
      </c>
      <c r="P1" s="18" t="s">
        <v>179</v>
      </c>
      <c r="Q1" s="18" t="s">
        <v>180</v>
      </c>
    </row>
    <row r="2" spans="1:17" ht="15.75" thickBot="1" x14ac:dyDescent="0.3">
      <c r="A2" s="19" t="s">
        <v>181</v>
      </c>
      <c r="B2" s="44">
        <v>46042</v>
      </c>
      <c r="C2" s="45" t="s">
        <v>954</v>
      </c>
      <c r="D2" s="19" t="s">
        <v>124</v>
      </c>
      <c r="E2" s="19" t="s">
        <v>936</v>
      </c>
      <c r="F2" s="19" t="s">
        <v>935</v>
      </c>
      <c r="G2" s="19">
        <v>60</v>
      </c>
      <c r="H2" s="19">
        <v>10</v>
      </c>
      <c r="I2" s="19" t="s">
        <v>955</v>
      </c>
      <c r="J2" s="19" t="s">
        <v>182</v>
      </c>
      <c r="K2" s="19" t="s">
        <v>183</v>
      </c>
      <c r="L2" s="19" t="s">
        <v>184</v>
      </c>
      <c r="M2" s="19" t="s">
        <v>185</v>
      </c>
      <c r="N2" s="19">
        <v>3917.5</v>
      </c>
      <c r="O2" s="19"/>
      <c r="P2" s="19"/>
      <c r="Q2" s="21" t="s">
        <v>186</v>
      </c>
    </row>
    <row r="3" spans="1:17" ht="15.75" thickBot="1" x14ac:dyDescent="0.3">
      <c r="A3" s="19" t="s">
        <v>181</v>
      </c>
      <c r="B3" s="44">
        <v>46042</v>
      </c>
      <c r="C3" s="45" t="s">
        <v>954</v>
      </c>
      <c r="D3" s="19" t="s">
        <v>124</v>
      </c>
      <c r="E3" s="19" t="s">
        <v>930</v>
      </c>
      <c r="F3" s="19" t="s">
        <v>929</v>
      </c>
      <c r="G3" s="19">
        <v>60</v>
      </c>
      <c r="H3" s="19">
        <v>1</v>
      </c>
      <c r="I3" s="19" t="s">
        <v>955</v>
      </c>
      <c r="J3" s="19" t="s">
        <v>182</v>
      </c>
      <c r="K3" s="19" t="s">
        <v>183</v>
      </c>
      <c r="L3" s="19" t="s">
        <v>184</v>
      </c>
      <c r="M3" s="19" t="s">
        <v>185</v>
      </c>
      <c r="N3" s="19">
        <v>14058.5</v>
      </c>
      <c r="O3" s="19"/>
      <c r="P3" s="19"/>
      <c r="Q3" s="21" t="s">
        <v>186</v>
      </c>
    </row>
    <row r="4" spans="1:17" ht="15.75" thickBot="1" x14ac:dyDescent="0.3">
      <c r="A4" s="19" t="s">
        <v>181</v>
      </c>
      <c r="B4" s="44">
        <v>46042</v>
      </c>
      <c r="C4" s="45" t="s">
        <v>954</v>
      </c>
      <c r="D4" s="19" t="s">
        <v>124</v>
      </c>
      <c r="E4" s="19" t="s">
        <v>932</v>
      </c>
      <c r="F4" s="19" t="s">
        <v>931</v>
      </c>
      <c r="G4" s="19">
        <v>60</v>
      </c>
      <c r="H4" s="19">
        <v>1</v>
      </c>
      <c r="I4" s="19" t="s">
        <v>955</v>
      </c>
      <c r="J4" s="19" t="s">
        <v>182</v>
      </c>
      <c r="K4" s="19" t="s">
        <v>183</v>
      </c>
      <c r="L4" s="19" t="s">
        <v>184</v>
      </c>
      <c r="M4" s="19" t="s">
        <v>185</v>
      </c>
      <c r="N4" s="19">
        <v>14058.5</v>
      </c>
      <c r="O4" s="19"/>
      <c r="P4" s="19"/>
      <c r="Q4" s="21" t="s">
        <v>186</v>
      </c>
    </row>
    <row r="5" spans="1:17" ht="15.75" thickBot="1" x14ac:dyDescent="0.3">
      <c r="A5" s="19" t="s">
        <v>181</v>
      </c>
      <c r="B5" s="44">
        <v>46042</v>
      </c>
      <c r="C5" s="45" t="s">
        <v>954</v>
      </c>
      <c r="D5" s="19" t="s">
        <v>124</v>
      </c>
      <c r="E5" s="19" t="s">
        <v>934</v>
      </c>
      <c r="F5" s="19" t="s">
        <v>933</v>
      </c>
      <c r="G5" s="19">
        <v>60</v>
      </c>
      <c r="H5" s="19">
        <v>6</v>
      </c>
      <c r="I5" s="19" t="s">
        <v>955</v>
      </c>
      <c r="J5" s="19" t="s">
        <v>182</v>
      </c>
      <c r="K5" s="19" t="s">
        <v>183</v>
      </c>
      <c r="L5" s="19" t="s">
        <v>184</v>
      </c>
      <c r="M5" s="19" t="s">
        <v>185</v>
      </c>
      <c r="N5" s="19">
        <v>7467</v>
      </c>
      <c r="O5" s="19"/>
      <c r="P5" s="19"/>
      <c r="Q5" s="21" t="s">
        <v>186</v>
      </c>
    </row>
    <row r="7" spans="1:17" x14ac:dyDescent="0.25">
      <c r="A7" t="s">
        <v>937</v>
      </c>
    </row>
    <row r="11" spans="1:17" ht="15.75" customHeight="1" x14ac:dyDescent="0.25"/>
  </sheetData>
  <hyperlinks>
    <hyperlink ref="A7" r:id="rId1" display="http://192.168.1.249/downloads/temp/X5392026119Spares.log" xr:uid="{4AFC5AA7-DF35-49EA-A85B-FCAAE5DFA3D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45C3-FBBD-4DEC-90B0-05A7E800BD26}">
  <sheetPr>
    <tabColor rgb="FF00B050"/>
    <pageSetUpPr fitToPage="1"/>
  </sheetPr>
  <dimension ref="A1:P75"/>
  <sheetViews>
    <sheetView topLeftCell="A37" workbookViewId="0">
      <selection activeCell="P64" sqref="P64:P66"/>
    </sheetView>
  </sheetViews>
  <sheetFormatPr defaultColWidth="25.7109375" defaultRowHeight="15" x14ac:dyDescent="0.25"/>
  <cols>
    <col min="1" max="1" width="15.140625" bestFit="1" customWidth="1"/>
    <col min="2" max="2" width="17" bestFit="1" customWidth="1"/>
    <col min="3" max="3" width="13.7109375" bestFit="1" customWidth="1"/>
    <col min="4" max="4" width="14.140625" customWidth="1"/>
    <col min="5" max="5" width="32.5703125" bestFit="1" customWidth="1"/>
    <col min="6" max="6" width="9.28515625" bestFit="1" customWidth="1"/>
    <col min="7" max="7" width="8.140625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7109375" customWidth="1"/>
    <col min="16" max="16" width="46.710937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46043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1001</v>
      </c>
      <c r="B4" s="2" t="s">
        <v>956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46043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121</v>
      </c>
      <c r="P4" s="2" t="s">
        <v>1879</v>
      </c>
    </row>
    <row r="5" spans="1:16" x14ac:dyDescent="0.25">
      <c r="A5" s="17" t="s">
        <v>1001</v>
      </c>
      <c r="B5" s="2" t="s">
        <v>961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46043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121</v>
      </c>
      <c r="P5" s="2" t="s">
        <v>1879</v>
      </c>
    </row>
    <row r="6" spans="1:16" x14ac:dyDescent="0.25">
      <c r="A6" s="17" t="s">
        <v>1001</v>
      </c>
      <c r="B6" s="2" t="s">
        <v>966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46043</v>
      </c>
      <c r="G6" s="13">
        <v>0.35416666666666669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121</v>
      </c>
      <c r="P6" s="2">
        <v>910106266</v>
      </c>
    </row>
    <row r="7" spans="1:16" x14ac:dyDescent="0.25">
      <c r="A7" s="17" t="s">
        <v>1001</v>
      </c>
      <c r="B7" s="2" t="s">
        <v>967</v>
      </c>
      <c r="C7" s="27" t="s">
        <v>12</v>
      </c>
      <c r="D7" s="2" t="str">
        <f>VLOOKUP($C7,Sheet1!$A$2:$D$10,2,0)</f>
        <v>141185-74670</v>
      </c>
      <c r="E7" s="8" t="s">
        <v>66</v>
      </c>
      <c r="F7" s="12">
        <v>46043</v>
      </c>
      <c r="G7" s="13">
        <v>0.35416666666666669</v>
      </c>
      <c r="H7" s="2" t="s">
        <v>53</v>
      </c>
      <c r="I7" s="2" t="s">
        <v>54</v>
      </c>
      <c r="J7" s="2">
        <v>40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1</v>
      </c>
      <c r="O7" s="2" t="s">
        <v>121</v>
      </c>
      <c r="P7" s="2">
        <v>910106266</v>
      </c>
    </row>
    <row r="8" spans="1:16" x14ac:dyDescent="0.25">
      <c r="A8" s="17" t="s">
        <v>1001</v>
      </c>
      <c r="B8" s="2" t="s">
        <v>971</v>
      </c>
      <c r="C8" s="27" t="s">
        <v>16</v>
      </c>
      <c r="D8" s="2" t="str">
        <f>VLOOKUP($C8,Sheet1!$A$2:$D$10,2,0)</f>
        <v>141140-91211</v>
      </c>
      <c r="E8" s="8" t="s">
        <v>70</v>
      </c>
      <c r="F8" s="12">
        <v>46043</v>
      </c>
      <c r="G8" s="13">
        <v>0.35416666666666669</v>
      </c>
      <c r="H8" s="2" t="s">
        <v>71</v>
      </c>
      <c r="I8" s="2" t="s">
        <v>54</v>
      </c>
      <c r="J8" s="2">
        <v>50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25</v>
      </c>
      <c r="N8" s="2"/>
      <c r="O8" s="2" t="s">
        <v>121</v>
      </c>
      <c r="P8" s="2" t="s">
        <v>428</v>
      </c>
    </row>
    <row r="9" spans="1:16" x14ac:dyDescent="0.25">
      <c r="A9" s="17" t="s">
        <v>1001</v>
      </c>
      <c r="B9" s="2" t="s">
        <v>976</v>
      </c>
      <c r="C9" s="27" t="s">
        <v>20</v>
      </c>
      <c r="D9" s="2" t="str">
        <f>VLOOKUP($C9,Sheet1!$A$2:$D$10,2,0)</f>
        <v>141150-91211</v>
      </c>
      <c r="E9" s="8" t="s">
        <v>78</v>
      </c>
      <c r="F9" s="12">
        <v>46043</v>
      </c>
      <c r="G9" s="13">
        <v>0.35416666666666669</v>
      </c>
      <c r="H9" s="2" t="s">
        <v>71</v>
      </c>
      <c r="I9" s="2" t="s">
        <v>54</v>
      </c>
      <c r="J9" s="2">
        <v>50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" si="0">J9/K9</f>
        <v>25</v>
      </c>
      <c r="N9" s="2"/>
      <c r="O9" s="2" t="s">
        <v>121</v>
      </c>
      <c r="P9" s="2" t="s">
        <v>428</v>
      </c>
    </row>
    <row r="10" spans="1:16" x14ac:dyDescent="0.25">
      <c r="A10" s="17" t="s">
        <v>1001</v>
      </c>
      <c r="B10" s="2" t="s">
        <v>981</v>
      </c>
      <c r="C10" s="27" t="s">
        <v>23</v>
      </c>
      <c r="D10" s="2" t="str">
        <f>VLOOKUP($C10,Sheet1!$A$2:$D$10,2,0)</f>
        <v>141186-74360</v>
      </c>
      <c r="E10" s="8" t="s">
        <v>85</v>
      </c>
      <c r="F10" s="12">
        <v>46043</v>
      </c>
      <c r="G10" s="13">
        <v>0.35416666666666669</v>
      </c>
      <c r="H10" s="2" t="s">
        <v>71</v>
      </c>
      <c r="I10" s="2" t="s">
        <v>54</v>
      </c>
      <c r="J10" s="2">
        <v>80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 t="shared" ref="N10:N11" si="1">J10/K10</f>
        <v>2</v>
      </c>
      <c r="O10" s="2" t="s">
        <v>121</v>
      </c>
      <c r="P10" s="2">
        <v>910106267</v>
      </c>
    </row>
    <row r="11" spans="1:16" x14ac:dyDescent="0.25">
      <c r="A11" s="17" t="s">
        <v>1001</v>
      </c>
      <c r="B11" s="2" t="s">
        <v>982</v>
      </c>
      <c r="C11" s="27" t="s">
        <v>23</v>
      </c>
      <c r="D11" s="2" t="str">
        <f>VLOOKUP($C11,Sheet1!$A$2:$D$10,2,0)</f>
        <v>141186-74360</v>
      </c>
      <c r="E11" s="8" t="s">
        <v>85</v>
      </c>
      <c r="F11" s="12">
        <v>46043</v>
      </c>
      <c r="G11" s="13">
        <v>0.35416666666666669</v>
      </c>
      <c r="H11" s="2" t="s">
        <v>71</v>
      </c>
      <c r="I11" s="2" t="s">
        <v>54</v>
      </c>
      <c r="J11" s="2">
        <v>40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 t="shared" si="1"/>
        <v>1</v>
      </c>
      <c r="O11" s="2" t="s">
        <v>121</v>
      </c>
      <c r="P11" s="2">
        <v>910106060</v>
      </c>
    </row>
    <row r="12" spans="1:16" x14ac:dyDescent="0.25">
      <c r="A12" s="17" t="s">
        <v>1002</v>
      </c>
      <c r="B12" s="2" t="s">
        <v>986</v>
      </c>
      <c r="C12" s="27" t="s">
        <v>26</v>
      </c>
      <c r="D12" s="2" t="str">
        <f>VLOOKUP($C12,Sheet1!$A$2:$D$10,2,0)</f>
        <v>116040-92240</v>
      </c>
      <c r="E12" s="8" t="s">
        <v>90</v>
      </c>
      <c r="F12" s="12">
        <v>46043</v>
      </c>
      <c r="G12" s="13">
        <v>0.35416666666666669</v>
      </c>
      <c r="H12" s="2" t="s">
        <v>91</v>
      </c>
      <c r="I12" s="2" t="s">
        <v>54</v>
      </c>
      <c r="J12" s="2">
        <v>96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ref="M12:M14" si="2">J12/K12</f>
        <v>16</v>
      </c>
      <c r="N12" s="2"/>
      <c r="O12" s="2" t="s">
        <v>121</v>
      </c>
      <c r="P12" s="2" t="s">
        <v>1884</v>
      </c>
    </row>
    <row r="13" spans="1:16" x14ac:dyDescent="0.25">
      <c r="A13" s="17" t="s">
        <v>1002</v>
      </c>
      <c r="B13" s="2" t="s">
        <v>991</v>
      </c>
      <c r="C13" s="27" t="s">
        <v>32</v>
      </c>
      <c r="D13" s="2" t="str">
        <f>VLOOKUP($C13,Sheet1!$A$2:$D$10,2,0)</f>
        <v>114010-50820</v>
      </c>
      <c r="E13" s="8" t="s">
        <v>98</v>
      </c>
      <c r="F13" s="12">
        <v>46043</v>
      </c>
      <c r="G13" s="13">
        <v>0.35416666666666669</v>
      </c>
      <c r="H13" s="2" t="s">
        <v>91</v>
      </c>
      <c r="I13" s="2" t="s">
        <v>54</v>
      </c>
      <c r="J13" s="2">
        <v>32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2"/>
        <v>32</v>
      </c>
      <c r="N13" s="2"/>
      <c r="O13" s="2" t="s">
        <v>121</v>
      </c>
      <c r="P13" s="2" t="s">
        <v>428</v>
      </c>
    </row>
    <row r="14" spans="1:16" x14ac:dyDescent="0.25">
      <c r="A14" s="17" t="s">
        <v>1002</v>
      </c>
      <c r="B14" s="2" t="s">
        <v>996</v>
      </c>
      <c r="C14" s="27" t="s">
        <v>29</v>
      </c>
      <c r="D14" s="2" t="str">
        <f>VLOOKUP($C14,Sheet1!$A$2:$D$10,2,0)</f>
        <v>114010-50830</v>
      </c>
      <c r="E14" s="8" t="s">
        <v>98</v>
      </c>
      <c r="F14" s="12">
        <v>46043</v>
      </c>
      <c r="G14" s="13">
        <v>0.35416666666666669</v>
      </c>
      <c r="H14" s="2" t="s">
        <v>91</v>
      </c>
      <c r="I14" s="2" t="s">
        <v>54</v>
      </c>
      <c r="J14" s="2">
        <v>30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2"/>
        <v>30</v>
      </c>
      <c r="N14" s="2"/>
      <c r="O14" s="2" t="s">
        <v>121</v>
      </c>
      <c r="P14" s="2" t="s">
        <v>1883</v>
      </c>
    </row>
    <row r="15" spans="1:16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128</v>
      </c>
      <c r="N15" s="10">
        <v>9</v>
      </c>
      <c r="O15" s="10"/>
      <c r="P15" s="10"/>
    </row>
    <row r="16" spans="1:16" x14ac:dyDescent="0.25">
      <c r="A16" s="17" t="s">
        <v>1003</v>
      </c>
      <c r="B16" s="2" t="s">
        <v>956</v>
      </c>
      <c r="C16" s="27" t="s">
        <v>5</v>
      </c>
      <c r="D16" s="2" t="str">
        <f>VLOOKUP($C16,Sheet1!$A$2:$D$10,2,0)</f>
        <v>141110-14600</v>
      </c>
      <c r="E16" s="8" t="s">
        <v>52</v>
      </c>
      <c r="F16" s="12">
        <v>46043</v>
      </c>
      <c r="G16" s="13">
        <v>0.35416666666666669</v>
      </c>
      <c r="H16" s="2" t="s">
        <v>53</v>
      </c>
      <c r="I16" s="2" t="s">
        <v>54</v>
      </c>
      <c r="J16" s="2">
        <v>36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2">
        <v>2</v>
      </c>
      <c r="O16" s="2" t="s">
        <v>119</v>
      </c>
      <c r="P16" s="2" t="s">
        <v>1879</v>
      </c>
    </row>
    <row r="17" spans="1:16" x14ac:dyDescent="0.25">
      <c r="A17" s="17" t="s">
        <v>1003</v>
      </c>
      <c r="B17" s="2" t="s">
        <v>961</v>
      </c>
      <c r="C17" s="27" t="s">
        <v>9</v>
      </c>
      <c r="D17" s="2" t="str">
        <f>VLOOKUP($C17,Sheet1!$A$2:$D$10,2,0)</f>
        <v>141120-14600</v>
      </c>
      <c r="E17" s="8" t="s">
        <v>60</v>
      </c>
      <c r="F17" s="12">
        <v>46043</v>
      </c>
      <c r="G17" s="13">
        <v>0.35416666666666669</v>
      </c>
      <c r="H17" s="2" t="s">
        <v>53</v>
      </c>
      <c r="I17" s="2" t="s">
        <v>54</v>
      </c>
      <c r="J17" s="2">
        <v>36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3"/>
      <c r="O17" s="2" t="s">
        <v>119</v>
      </c>
      <c r="P17" s="2" t="s">
        <v>1879</v>
      </c>
    </row>
    <row r="18" spans="1:16" x14ac:dyDescent="0.25">
      <c r="A18" s="17" t="s">
        <v>1003</v>
      </c>
      <c r="B18" s="2" t="s">
        <v>957</v>
      </c>
      <c r="C18" s="27" t="s">
        <v>5</v>
      </c>
      <c r="D18" s="2" t="str">
        <f>VLOOKUP($C18,Sheet1!$A$2:$D$10,2,0)</f>
        <v>141110-14600</v>
      </c>
      <c r="E18" s="8" t="s">
        <v>52</v>
      </c>
      <c r="F18" s="12">
        <v>46043</v>
      </c>
      <c r="G18" s="13">
        <v>0.35416666666666669</v>
      </c>
      <c r="H18" s="2" t="s">
        <v>53</v>
      </c>
      <c r="I18" s="2" t="s">
        <v>54</v>
      </c>
      <c r="J18" s="2">
        <v>18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2">
        <v>1</v>
      </c>
      <c r="O18" s="2" t="s">
        <v>119</v>
      </c>
      <c r="P18" s="2" t="s">
        <v>1879</v>
      </c>
    </row>
    <row r="19" spans="1:16" x14ac:dyDescent="0.25">
      <c r="A19" s="17" t="s">
        <v>1003</v>
      </c>
      <c r="B19" s="2" t="s">
        <v>962</v>
      </c>
      <c r="C19" s="27" t="s">
        <v>9</v>
      </c>
      <c r="D19" s="2" t="str">
        <f>VLOOKUP($C19,Sheet1!$A$2:$D$10,2,0)</f>
        <v>141120-14600</v>
      </c>
      <c r="E19" s="8" t="s">
        <v>60</v>
      </c>
      <c r="F19" s="12">
        <v>46043</v>
      </c>
      <c r="G19" s="13">
        <v>0.35416666666666669</v>
      </c>
      <c r="H19" s="2" t="s">
        <v>53</v>
      </c>
      <c r="I19" s="2" t="s">
        <v>54</v>
      </c>
      <c r="J19" s="2">
        <v>18</v>
      </c>
      <c r="K19" s="14">
        <f>VLOOKUP($C19,Sheet1!$A$2:$D$10,4,0)</f>
        <v>18</v>
      </c>
      <c r="L19" s="14" t="str">
        <f>VLOOKUP($C19,Sheet1!$A$2:$E$10,5,0)</f>
        <v>Trolley (H)</v>
      </c>
      <c r="M19" s="14"/>
      <c r="N19" s="53"/>
      <c r="O19" s="2" t="s">
        <v>119</v>
      </c>
      <c r="P19" s="2" t="s">
        <v>1879</v>
      </c>
    </row>
    <row r="20" spans="1:16" x14ac:dyDescent="0.25">
      <c r="A20" s="17" t="s">
        <v>1003</v>
      </c>
      <c r="B20" s="2" t="s">
        <v>966</v>
      </c>
      <c r="C20" s="27" t="s">
        <v>12</v>
      </c>
      <c r="D20" s="2" t="str">
        <f>VLOOKUP($C20,Sheet1!$A$2:$D$10,2,0)</f>
        <v>141185-74670</v>
      </c>
      <c r="E20" s="8" t="s">
        <v>66</v>
      </c>
      <c r="F20" s="12">
        <v>46043</v>
      </c>
      <c r="G20" s="13">
        <v>0.35416666666666669</v>
      </c>
      <c r="H20" s="2" t="s">
        <v>53</v>
      </c>
      <c r="I20" s="2" t="s">
        <v>54</v>
      </c>
      <c r="J20" s="2">
        <v>120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3</v>
      </c>
      <c r="O20" s="2" t="s">
        <v>119</v>
      </c>
      <c r="P20" s="2">
        <v>910106266</v>
      </c>
    </row>
    <row r="21" spans="1:16" x14ac:dyDescent="0.25">
      <c r="A21" s="17" t="s">
        <v>1003</v>
      </c>
      <c r="B21" s="2" t="s">
        <v>972</v>
      </c>
      <c r="C21" s="27" t="s">
        <v>16</v>
      </c>
      <c r="D21" s="2" t="str">
        <f>VLOOKUP($C21,Sheet1!$A$2:$D$10,2,0)</f>
        <v>141140-91211</v>
      </c>
      <c r="E21" s="8" t="s">
        <v>70</v>
      </c>
      <c r="F21" s="12">
        <v>46043</v>
      </c>
      <c r="G21" s="13">
        <v>0.35416666666666669</v>
      </c>
      <c r="H21" s="2" t="s">
        <v>71</v>
      </c>
      <c r="I21" s="2" t="s">
        <v>54</v>
      </c>
      <c r="J21" s="2">
        <v>24</v>
      </c>
      <c r="K21" s="14">
        <f>VLOOKUP($C21,Sheet1!$A$2:$D$10,4,0)</f>
        <v>2</v>
      </c>
      <c r="L21" s="14" t="str">
        <f>VLOOKUP($C21,Sheet1!$A$2:$E$10,5,0)</f>
        <v>Bin</v>
      </c>
      <c r="M21" s="14">
        <f>J21/K21</f>
        <v>12</v>
      </c>
      <c r="N21" s="2"/>
      <c r="O21" s="2" t="s">
        <v>119</v>
      </c>
      <c r="P21" s="2" t="s">
        <v>428</v>
      </c>
    </row>
    <row r="22" spans="1:16" x14ac:dyDescent="0.25">
      <c r="A22" s="17" t="s">
        <v>1003</v>
      </c>
      <c r="B22" s="2" t="s">
        <v>971</v>
      </c>
      <c r="C22" s="27" t="s">
        <v>16</v>
      </c>
      <c r="D22" s="2" t="str">
        <f>VLOOKUP($C22,Sheet1!$A$2:$D$10,2,0)</f>
        <v>141140-91211</v>
      </c>
      <c r="E22" s="8" t="s">
        <v>70</v>
      </c>
      <c r="F22" s="12">
        <v>46043</v>
      </c>
      <c r="G22" s="13">
        <v>0.35416666666666669</v>
      </c>
      <c r="H22" s="2" t="s">
        <v>71</v>
      </c>
      <c r="I22" s="2" t="s">
        <v>54</v>
      </c>
      <c r="J22" s="2">
        <v>48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24</v>
      </c>
      <c r="N22" s="2"/>
      <c r="O22" s="2" t="s">
        <v>119</v>
      </c>
      <c r="P22" s="2" t="s">
        <v>428</v>
      </c>
    </row>
    <row r="23" spans="1:16" x14ac:dyDescent="0.25">
      <c r="A23" s="17" t="s">
        <v>1003</v>
      </c>
      <c r="B23" s="2" t="s">
        <v>976</v>
      </c>
      <c r="C23" s="27" t="s">
        <v>20</v>
      </c>
      <c r="D23" s="2" t="str">
        <f>VLOOKUP($C23,Sheet1!$A$2:$D$10,2,0)</f>
        <v>141150-91211</v>
      </c>
      <c r="E23" s="8" t="s">
        <v>78</v>
      </c>
      <c r="F23" s="12">
        <v>46043</v>
      </c>
      <c r="G23" s="13">
        <v>0.35416666666666669</v>
      </c>
      <c r="H23" s="2" t="s">
        <v>71</v>
      </c>
      <c r="I23" s="2" t="s">
        <v>54</v>
      </c>
      <c r="J23" s="2">
        <v>48</v>
      </c>
      <c r="K23" s="14">
        <f>VLOOKUP($C23,Sheet1!$A$2:$D$10,4,0)</f>
        <v>2</v>
      </c>
      <c r="L23" s="14" t="str">
        <f>VLOOKUP($C23,Sheet1!$A$2:$E$10,5,0)</f>
        <v>Bin</v>
      </c>
      <c r="M23" s="14">
        <f t="shared" ref="M23" si="3">J23/K23</f>
        <v>24</v>
      </c>
      <c r="N23" s="2"/>
      <c r="O23" s="2" t="s">
        <v>119</v>
      </c>
      <c r="P23" s="2" t="s">
        <v>428</v>
      </c>
    </row>
    <row r="24" spans="1:16" x14ac:dyDescent="0.25">
      <c r="A24" s="17" t="s">
        <v>1003</v>
      </c>
      <c r="B24" s="2" t="s">
        <v>977</v>
      </c>
      <c r="C24" s="27" t="s">
        <v>20</v>
      </c>
      <c r="D24" s="2" t="str">
        <f>VLOOKUP($C24,Sheet1!$A$2:$D$10,2,0)</f>
        <v>141150-91211</v>
      </c>
      <c r="E24" s="8" t="s">
        <v>78</v>
      </c>
      <c r="F24" s="12">
        <v>46043</v>
      </c>
      <c r="G24" s="13">
        <v>0.35416666666666669</v>
      </c>
      <c r="H24" s="2" t="s">
        <v>71</v>
      </c>
      <c r="I24" s="2" t="s">
        <v>54</v>
      </c>
      <c r="J24" s="2">
        <v>24</v>
      </c>
      <c r="K24" s="14">
        <f>VLOOKUP($C24,Sheet1!$A$2:$D$10,4,0)</f>
        <v>2</v>
      </c>
      <c r="L24" s="14" t="str">
        <f>VLOOKUP($C24,Sheet1!$A$2:$E$10,5,0)</f>
        <v>Bin</v>
      </c>
      <c r="M24" s="14">
        <f>J24/K24</f>
        <v>12</v>
      </c>
      <c r="N24" s="2"/>
      <c r="O24" s="2" t="s">
        <v>119</v>
      </c>
      <c r="P24" s="2" t="s">
        <v>428</v>
      </c>
    </row>
    <row r="25" spans="1:16" x14ac:dyDescent="0.25">
      <c r="A25" s="17" t="s">
        <v>1003</v>
      </c>
      <c r="B25" s="2" t="s">
        <v>981</v>
      </c>
      <c r="C25" s="27" t="s">
        <v>23</v>
      </c>
      <c r="D25" s="2" t="str">
        <f>VLOOKUP($C25,Sheet1!$A$2:$D$10,2,0)</f>
        <v>141186-74360</v>
      </c>
      <c r="E25" s="8" t="s">
        <v>85</v>
      </c>
      <c r="F25" s="12">
        <v>46043</v>
      </c>
      <c r="G25" s="13">
        <v>0.35416666666666669</v>
      </c>
      <c r="H25" s="2" t="s">
        <v>71</v>
      </c>
      <c r="I25" s="2" t="s">
        <v>54</v>
      </c>
      <c r="J25" s="2">
        <v>80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 t="shared" ref="N25" si="4">J25/K25</f>
        <v>2</v>
      </c>
      <c r="O25" s="2" t="s">
        <v>119</v>
      </c>
      <c r="P25" s="2" t="s">
        <v>1885</v>
      </c>
    </row>
    <row r="26" spans="1:16" x14ac:dyDescent="0.25">
      <c r="A26" s="17" t="s">
        <v>1004</v>
      </c>
      <c r="B26" s="2" t="s">
        <v>987</v>
      </c>
      <c r="C26" s="27" t="s">
        <v>26</v>
      </c>
      <c r="D26" s="2" t="str">
        <f>VLOOKUP($C26,Sheet1!$A$2:$D$10,2,0)</f>
        <v>116040-92240</v>
      </c>
      <c r="E26" s="8" t="s">
        <v>90</v>
      </c>
      <c r="F26" s="12">
        <v>46043</v>
      </c>
      <c r="G26" s="13">
        <v>0.35416666666666669</v>
      </c>
      <c r="H26" s="2" t="s">
        <v>91</v>
      </c>
      <c r="I26" s="2" t="s">
        <v>54</v>
      </c>
      <c r="J26" s="2">
        <v>24</v>
      </c>
      <c r="K26" s="14">
        <f>VLOOKUP($C26,Sheet1!$A$2:$D$10,4,0)</f>
        <v>6</v>
      </c>
      <c r="L26" s="14" t="str">
        <f>VLOOKUP($C26,Sheet1!$A$2:$E$10,5,0)</f>
        <v>Bin</v>
      </c>
      <c r="M26" s="14">
        <f>J26/K26</f>
        <v>4</v>
      </c>
      <c r="N26" s="2"/>
      <c r="O26" s="2" t="s">
        <v>119</v>
      </c>
      <c r="P26" s="2" t="s">
        <v>733</v>
      </c>
    </row>
    <row r="27" spans="1:16" x14ac:dyDescent="0.25">
      <c r="A27" s="17" t="s">
        <v>1004</v>
      </c>
      <c r="B27" s="2" t="s">
        <v>992</v>
      </c>
      <c r="C27" s="27" t="s">
        <v>32</v>
      </c>
      <c r="D27" s="2" t="str">
        <f>VLOOKUP($C27,Sheet1!$A$2:$D$10,2,0)</f>
        <v>114010-50820</v>
      </c>
      <c r="E27" s="8" t="s">
        <v>98</v>
      </c>
      <c r="F27" s="12">
        <v>46043</v>
      </c>
      <c r="G27" s="13">
        <v>0.35416666666666669</v>
      </c>
      <c r="H27" s="2" t="s">
        <v>91</v>
      </c>
      <c r="I27" s="2" t="s">
        <v>54</v>
      </c>
      <c r="J27" s="2">
        <v>12</v>
      </c>
      <c r="K27" s="14">
        <f>VLOOKUP($C27,Sheet1!$A$2:$D$10,4,0)</f>
        <v>1</v>
      </c>
      <c r="L27" s="14" t="str">
        <f>VLOOKUP($C27,Sheet1!$A$2:$E$10,5,0)</f>
        <v>Bin</v>
      </c>
      <c r="M27" s="14">
        <f>J27/K27</f>
        <v>12</v>
      </c>
      <c r="N27" s="2"/>
      <c r="O27" s="2" t="s">
        <v>119</v>
      </c>
      <c r="P27" s="2" t="s">
        <v>428</v>
      </c>
    </row>
    <row r="28" spans="1:16" x14ac:dyDescent="0.25">
      <c r="A28" s="17" t="s">
        <v>1004</v>
      </c>
      <c r="B28" s="2" t="s">
        <v>997</v>
      </c>
      <c r="C28" s="27" t="s">
        <v>29</v>
      </c>
      <c r="D28" s="2" t="str">
        <f>VLOOKUP($C28,Sheet1!$A$2:$D$10,2,0)</f>
        <v>114010-50830</v>
      </c>
      <c r="E28" s="8" t="s">
        <v>98</v>
      </c>
      <c r="F28" s="12">
        <v>46043</v>
      </c>
      <c r="G28" s="13">
        <v>0.35416666666666669</v>
      </c>
      <c r="H28" s="2" t="s">
        <v>91</v>
      </c>
      <c r="I28" s="2" t="s">
        <v>54</v>
      </c>
      <c r="J28" s="2">
        <v>12</v>
      </c>
      <c r="K28" s="14">
        <f>VLOOKUP($C28,Sheet1!$A$2:$D$10,4,0)</f>
        <v>1</v>
      </c>
      <c r="L28" s="14" t="str">
        <f>VLOOKUP($C28,Sheet1!$A$2:$E$10,5,0)</f>
        <v>Bin</v>
      </c>
      <c r="M28" s="14">
        <f>J28/K28</f>
        <v>12</v>
      </c>
      <c r="N28" s="2"/>
      <c r="O28" s="2" t="s">
        <v>119</v>
      </c>
      <c r="P28" s="2" t="s">
        <v>1883</v>
      </c>
    </row>
    <row r="29" spans="1:16" x14ac:dyDescent="0.25">
      <c r="A29" s="17" t="s">
        <v>1004</v>
      </c>
      <c r="B29" s="2" t="s">
        <v>996</v>
      </c>
      <c r="C29" s="27" t="s">
        <v>29</v>
      </c>
      <c r="D29" s="2" t="str">
        <f>VLOOKUP($C29,Sheet1!$A$2:$D$10,2,0)</f>
        <v>114010-50830</v>
      </c>
      <c r="E29" s="8" t="s">
        <v>98</v>
      </c>
      <c r="F29" s="12">
        <v>46043</v>
      </c>
      <c r="G29" s="13">
        <v>0.35416666666666669</v>
      </c>
      <c r="H29" s="2" t="s">
        <v>91</v>
      </c>
      <c r="I29" s="2" t="s">
        <v>54</v>
      </c>
      <c r="J29" s="2">
        <v>44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ref="M29" si="5">J29/K29</f>
        <v>44</v>
      </c>
      <c r="N29" s="2"/>
      <c r="O29" s="2" t="s">
        <v>119</v>
      </c>
      <c r="P29" s="2" t="s">
        <v>1883</v>
      </c>
    </row>
    <row r="30" spans="1:16" s="1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144</v>
      </c>
      <c r="N30" s="10">
        <v>8</v>
      </c>
      <c r="O30" s="10"/>
      <c r="P30" s="10"/>
    </row>
    <row r="31" spans="1:16" x14ac:dyDescent="0.25">
      <c r="A31" s="17" t="s">
        <v>1005</v>
      </c>
      <c r="B31" s="2" t="s">
        <v>958</v>
      </c>
      <c r="C31" s="27" t="s">
        <v>5</v>
      </c>
      <c r="D31" s="2" t="str">
        <f>VLOOKUP($C31,Sheet1!$A$2:$D$10,2,0)</f>
        <v>141110-14600</v>
      </c>
      <c r="E31" s="8" t="s">
        <v>52</v>
      </c>
      <c r="F31" s="12">
        <v>46043</v>
      </c>
      <c r="G31" s="13">
        <v>0.5625</v>
      </c>
      <c r="H31" s="2" t="s">
        <v>53</v>
      </c>
      <c r="I31" s="2" t="s">
        <v>54</v>
      </c>
      <c r="J31" s="2">
        <v>54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2">
        <v>3</v>
      </c>
      <c r="O31" s="2" t="s">
        <v>122</v>
      </c>
      <c r="P31" s="2" t="s">
        <v>1879</v>
      </c>
    </row>
    <row r="32" spans="1:16" x14ac:dyDescent="0.25">
      <c r="A32" s="17" t="s">
        <v>1005</v>
      </c>
      <c r="B32" s="2" t="s">
        <v>963</v>
      </c>
      <c r="C32" s="27" t="s">
        <v>9</v>
      </c>
      <c r="D32" s="2" t="str">
        <f>VLOOKUP($C32,Sheet1!$A$2:$D$10,2,0)</f>
        <v>141120-14600</v>
      </c>
      <c r="E32" s="8" t="s">
        <v>60</v>
      </c>
      <c r="F32" s="12">
        <v>46043</v>
      </c>
      <c r="G32" s="13">
        <v>0.5625</v>
      </c>
      <c r="H32" s="2" t="s">
        <v>53</v>
      </c>
      <c r="I32" s="2" t="s">
        <v>54</v>
      </c>
      <c r="J32" s="2">
        <v>54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3"/>
      <c r="O32" s="2" t="s">
        <v>122</v>
      </c>
      <c r="P32" s="2" t="s">
        <v>1879</v>
      </c>
    </row>
    <row r="33" spans="1:16" x14ac:dyDescent="0.25">
      <c r="A33" s="17" t="s">
        <v>1005</v>
      </c>
      <c r="B33" s="2" t="s">
        <v>968</v>
      </c>
      <c r="C33" s="27" t="s">
        <v>12</v>
      </c>
      <c r="D33" s="2" t="str">
        <f>VLOOKUP($C33,Sheet1!$A$2:$D$10,2,0)</f>
        <v>141185-74670</v>
      </c>
      <c r="E33" s="8" t="s">
        <v>66</v>
      </c>
      <c r="F33" s="12">
        <v>46043</v>
      </c>
      <c r="G33" s="13">
        <v>0.5625</v>
      </c>
      <c r="H33" s="2" t="s">
        <v>53</v>
      </c>
      <c r="I33" s="2" t="s">
        <v>54</v>
      </c>
      <c r="J33" s="2">
        <v>80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2</v>
      </c>
      <c r="O33" s="2" t="s">
        <v>122</v>
      </c>
      <c r="P33" s="2">
        <v>910106266</v>
      </c>
    </row>
    <row r="34" spans="1:16" x14ac:dyDescent="0.25">
      <c r="A34" s="17" t="s">
        <v>1005</v>
      </c>
      <c r="B34" s="2" t="s">
        <v>973</v>
      </c>
      <c r="C34" s="27" t="s">
        <v>16</v>
      </c>
      <c r="D34" s="2" t="str">
        <f>VLOOKUP($C34,Sheet1!$A$2:$D$10,2,0)</f>
        <v>141140-91211</v>
      </c>
      <c r="E34" s="8" t="s">
        <v>70</v>
      </c>
      <c r="F34" s="12">
        <v>46043</v>
      </c>
      <c r="G34" s="13">
        <v>0.5625</v>
      </c>
      <c r="H34" s="2" t="s">
        <v>71</v>
      </c>
      <c r="I34" s="2" t="s">
        <v>54</v>
      </c>
      <c r="J34" s="2">
        <v>70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ref="M34:M35" si="6">J34/K34</f>
        <v>35</v>
      </c>
      <c r="N34" s="2"/>
      <c r="O34" s="2" t="s">
        <v>122</v>
      </c>
      <c r="P34" s="2" t="s">
        <v>1886</v>
      </c>
    </row>
    <row r="35" spans="1:16" x14ac:dyDescent="0.25">
      <c r="A35" s="17" t="s">
        <v>1005</v>
      </c>
      <c r="B35" s="2" t="s">
        <v>978</v>
      </c>
      <c r="C35" s="27" t="s">
        <v>20</v>
      </c>
      <c r="D35" s="2" t="str">
        <f>VLOOKUP($C35,Sheet1!$A$2:$D$10,2,0)</f>
        <v>141150-91211</v>
      </c>
      <c r="E35" s="8" t="s">
        <v>78</v>
      </c>
      <c r="F35" s="12">
        <v>46043</v>
      </c>
      <c r="G35" s="13">
        <v>0.5625</v>
      </c>
      <c r="H35" s="2" t="s">
        <v>71</v>
      </c>
      <c r="I35" s="2" t="s">
        <v>54</v>
      </c>
      <c r="J35" s="2">
        <v>70</v>
      </c>
      <c r="K35" s="14">
        <f>VLOOKUP($C35,Sheet1!$A$2:$D$10,4,0)</f>
        <v>2</v>
      </c>
      <c r="L35" s="14" t="str">
        <f>VLOOKUP($C35,Sheet1!$A$2:$E$10,5,0)</f>
        <v>Bin</v>
      </c>
      <c r="M35" s="14">
        <f t="shared" si="6"/>
        <v>35</v>
      </c>
      <c r="N35" s="2"/>
      <c r="O35" s="2" t="s">
        <v>122</v>
      </c>
      <c r="P35" s="2" t="s">
        <v>428</v>
      </c>
    </row>
    <row r="36" spans="1:16" x14ac:dyDescent="0.25">
      <c r="A36" s="17" t="s">
        <v>1005</v>
      </c>
      <c r="B36" s="2" t="s">
        <v>983</v>
      </c>
      <c r="C36" s="27" t="s">
        <v>23</v>
      </c>
      <c r="D36" s="2" t="str">
        <f>VLOOKUP($C36,Sheet1!$A$2:$D$10,2,0)</f>
        <v>141186-74360</v>
      </c>
      <c r="E36" s="8" t="s">
        <v>85</v>
      </c>
      <c r="F36" s="12">
        <v>46043</v>
      </c>
      <c r="G36" s="13">
        <v>0.5625</v>
      </c>
      <c r="H36" s="2" t="s">
        <v>71</v>
      </c>
      <c r="I36" s="2" t="s">
        <v>54</v>
      </c>
      <c r="J36" s="2">
        <v>80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2</v>
      </c>
      <c r="O36" s="2" t="s">
        <v>122</v>
      </c>
      <c r="P36" s="2">
        <v>910106267</v>
      </c>
    </row>
    <row r="37" spans="1:16" x14ac:dyDescent="0.25">
      <c r="A37" s="17" t="s">
        <v>1006</v>
      </c>
      <c r="B37" s="2" t="s">
        <v>988</v>
      </c>
      <c r="C37" s="27" t="s">
        <v>26</v>
      </c>
      <c r="D37" s="2" t="str">
        <f>VLOOKUP($C37,Sheet1!$A$2:$D$10,2,0)</f>
        <v>116040-92240</v>
      </c>
      <c r="E37" s="8" t="s">
        <v>90</v>
      </c>
      <c r="F37" s="12">
        <v>46043</v>
      </c>
      <c r="G37" s="13">
        <v>0.5625</v>
      </c>
      <c r="H37" s="2" t="s">
        <v>91</v>
      </c>
      <c r="I37" s="2" t="s">
        <v>54</v>
      </c>
      <c r="J37" s="2">
        <v>72</v>
      </c>
      <c r="K37" s="14">
        <f>VLOOKUP($C37,Sheet1!$A$2:$D$10,4,0)</f>
        <v>6</v>
      </c>
      <c r="L37" s="14" t="str">
        <f>VLOOKUP($C37,Sheet1!$A$2:$E$10,5,0)</f>
        <v>Bin</v>
      </c>
      <c r="M37" s="14">
        <f t="shared" ref="M37:M39" si="7">J37/K37</f>
        <v>12</v>
      </c>
      <c r="N37" s="2"/>
      <c r="O37" s="2" t="s">
        <v>122</v>
      </c>
      <c r="P37" s="2" t="s">
        <v>733</v>
      </c>
    </row>
    <row r="38" spans="1:16" x14ac:dyDescent="0.25">
      <c r="A38" s="17" t="s">
        <v>1006</v>
      </c>
      <c r="B38" s="2" t="s">
        <v>993</v>
      </c>
      <c r="C38" s="27" t="s">
        <v>32</v>
      </c>
      <c r="D38" s="2" t="str">
        <f>VLOOKUP($C38,Sheet1!$A$2:$D$10,2,0)</f>
        <v>114010-50820</v>
      </c>
      <c r="E38" s="8" t="s">
        <v>98</v>
      </c>
      <c r="F38" s="12">
        <v>46043</v>
      </c>
      <c r="G38" s="13">
        <v>0.5625</v>
      </c>
      <c r="H38" s="2" t="s">
        <v>91</v>
      </c>
      <c r="I38" s="2" t="s">
        <v>54</v>
      </c>
      <c r="J38" s="2">
        <v>20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7"/>
        <v>20</v>
      </c>
      <c r="N38" s="2"/>
      <c r="O38" s="2" t="s">
        <v>122</v>
      </c>
      <c r="P38" s="2" t="s">
        <v>428</v>
      </c>
    </row>
    <row r="39" spans="1:16" x14ac:dyDescent="0.25">
      <c r="A39" s="17" t="s">
        <v>1006</v>
      </c>
      <c r="B39" s="2" t="s">
        <v>998</v>
      </c>
      <c r="C39" s="27" t="s">
        <v>29</v>
      </c>
      <c r="D39" s="2" t="str">
        <f>VLOOKUP($C39,Sheet1!$A$2:$D$10,2,0)</f>
        <v>114010-50830</v>
      </c>
      <c r="E39" s="8" t="s">
        <v>98</v>
      </c>
      <c r="F39" s="12">
        <v>46043</v>
      </c>
      <c r="G39" s="13">
        <v>0.5625</v>
      </c>
      <c r="H39" s="2" t="s">
        <v>91</v>
      </c>
      <c r="I39" s="2" t="s">
        <v>54</v>
      </c>
      <c r="J39" s="2">
        <v>52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7"/>
        <v>52</v>
      </c>
      <c r="N39" s="2"/>
      <c r="O39" s="2" t="s">
        <v>122</v>
      </c>
      <c r="P39" s="2" t="s">
        <v>1883</v>
      </c>
    </row>
    <row r="40" spans="1:16" s="11" customForma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>
        <v>154</v>
      </c>
      <c r="N40" s="10">
        <v>7</v>
      </c>
      <c r="O40" s="10"/>
      <c r="P40" s="10"/>
    </row>
    <row r="41" spans="1:16" x14ac:dyDescent="0.25">
      <c r="A41" s="17" t="s">
        <v>1007</v>
      </c>
      <c r="B41" s="2" t="s">
        <v>958</v>
      </c>
      <c r="C41" s="27" t="s">
        <v>5</v>
      </c>
      <c r="D41" s="2" t="str">
        <f>VLOOKUP($C41,Sheet1!$A$2:$D$10,2,0)</f>
        <v>141110-14600</v>
      </c>
      <c r="E41" s="8" t="s">
        <v>52</v>
      </c>
      <c r="F41" s="12">
        <v>46043</v>
      </c>
      <c r="G41" s="13">
        <v>0.5625</v>
      </c>
      <c r="H41" s="2" t="s">
        <v>53</v>
      </c>
      <c r="I41" s="2" t="s">
        <v>54</v>
      </c>
      <c r="J41" s="2">
        <v>18</v>
      </c>
      <c r="K41" s="14">
        <f>VLOOKUP($C41,Sheet1!$A$2:$D$10,4,0)</f>
        <v>18</v>
      </c>
      <c r="L41" s="14" t="str">
        <f>VLOOKUP($C41,Sheet1!$A$2:$E$10,5,0)</f>
        <v>Trolley (H)</v>
      </c>
      <c r="M41" s="14"/>
      <c r="N41" s="52">
        <v>1</v>
      </c>
      <c r="O41" s="2" t="s">
        <v>359</v>
      </c>
      <c r="P41" s="2" t="s">
        <v>1879</v>
      </c>
    </row>
    <row r="42" spans="1:16" x14ac:dyDescent="0.25">
      <c r="A42" s="17" t="s">
        <v>1007</v>
      </c>
      <c r="B42" s="2" t="s">
        <v>963</v>
      </c>
      <c r="C42" s="27" t="s">
        <v>9</v>
      </c>
      <c r="D42" s="2" t="str">
        <f>VLOOKUP($C42,Sheet1!$A$2:$D$10,2,0)</f>
        <v>141120-14600</v>
      </c>
      <c r="E42" s="8" t="s">
        <v>60</v>
      </c>
      <c r="F42" s="12">
        <v>46043</v>
      </c>
      <c r="G42" s="13">
        <v>0.5625</v>
      </c>
      <c r="H42" s="2" t="s">
        <v>53</v>
      </c>
      <c r="I42" s="2" t="s">
        <v>54</v>
      </c>
      <c r="J42" s="2">
        <v>18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3"/>
      <c r="O42" s="2" t="s">
        <v>359</v>
      </c>
      <c r="P42" s="2" t="s">
        <v>1879</v>
      </c>
    </row>
    <row r="43" spans="1:16" x14ac:dyDescent="0.25">
      <c r="A43" s="17" t="s">
        <v>1007</v>
      </c>
      <c r="B43" s="2" t="s">
        <v>968</v>
      </c>
      <c r="C43" s="27" t="s">
        <v>12</v>
      </c>
      <c r="D43" s="2" t="str">
        <f>VLOOKUP($C43,Sheet1!$A$2:$D$10,2,0)</f>
        <v>141185-74670</v>
      </c>
      <c r="E43" s="8" t="s">
        <v>66</v>
      </c>
      <c r="F43" s="12">
        <v>46043</v>
      </c>
      <c r="G43" s="13">
        <v>0.5625</v>
      </c>
      <c r="H43" s="2" t="s">
        <v>53</v>
      </c>
      <c r="I43" s="2" t="s">
        <v>54</v>
      </c>
      <c r="J43" s="2">
        <v>80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2</v>
      </c>
      <c r="O43" s="2" t="s">
        <v>359</v>
      </c>
      <c r="P43" s="2">
        <v>910106266</v>
      </c>
    </row>
    <row r="44" spans="1:16" ht="15.75" thickBot="1" x14ac:dyDescent="0.3">
      <c r="A44" s="17" t="s">
        <v>1007</v>
      </c>
      <c r="B44" s="2" t="s">
        <v>983</v>
      </c>
      <c r="C44" s="27" t="s">
        <v>23</v>
      </c>
      <c r="D44" s="2" t="str">
        <f>VLOOKUP($C44,Sheet1!$A$2:$D$10,2,0)</f>
        <v>141186-74360</v>
      </c>
      <c r="E44" s="8" t="s">
        <v>85</v>
      </c>
      <c r="F44" s="12">
        <v>46043</v>
      </c>
      <c r="G44" s="15">
        <v>0.5625</v>
      </c>
      <c r="H44" s="2" t="s">
        <v>71</v>
      </c>
      <c r="I44" s="2" t="s">
        <v>54</v>
      </c>
      <c r="J44" s="2">
        <v>80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2</v>
      </c>
      <c r="O44" s="2" t="s">
        <v>359</v>
      </c>
      <c r="P44" s="2">
        <v>910106267</v>
      </c>
    </row>
    <row r="45" spans="1:16" ht="15.75" thickTop="1" x14ac:dyDescent="0.25">
      <c r="A45" s="17" t="s">
        <v>1008</v>
      </c>
      <c r="B45" s="2" t="s">
        <v>959</v>
      </c>
      <c r="C45" s="27" t="s">
        <v>5</v>
      </c>
      <c r="D45" s="2" t="str">
        <f>VLOOKUP($C45,Sheet1!$A$2:$D$10,2,0)</f>
        <v>141110-14600</v>
      </c>
      <c r="E45" s="8" t="s">
        <v>52</v>
      </c>
      <c r="F45" s="12">
        <v>46043</v>
      </c>
      <c r="G45" s="38">
        <v>0.77083333333333337</v>
      </c>
      <c r="H45" s="2" t="s">
        <v>53</v>
      </c>
      <c r="I45" s="2" t="s">
        <v>54</v>
      </c>
      <c r="J45" s="2">
        <v>18</v>
      </c>
      <c r="K45" s="14">
        <f>VLOOKUP($C45,Sheet1!$A$2:$D$10,4,0)</f>
        <v>18</v>
      </c>
      <c r="L45" s="14" t="str">
        <f>VLOOKUP($C45,Sheet1!$A$2:$E$10,5,0)</f>
        <v>Trolley (H)</v>
      </c>
      <c r="M45" s="14"/>
      <c r="N45" s="52">
        <v>1</v>
      </c>
      <c r="O45" s="2" t="s">
        <v>359</v>
      </c>
      <c r="P45" s="2" t="s">
        <v>1879</v>
      </c>
    </row>
    <row r="46" spans="1:16" x14ac:dyDescent="0.25">
      <c r="A46" s="17" t="s">
        <v>1008</v>
      </c>
      <c r="B46" s="2" t="s">
        <v>964</v>
      </c>
      <c r="C46" s="27" t="s">
        <v>9</v>
      </c>
      <c r="D46" s="2" t="str">
        <f>VLOOKUP($C46,Sheet1!$A$2:$D$10,2,0)</f>
        <v>141120-14600</v>
      </c>
      <c r="E46" s="8" t="s">
        <v>60</v>
      </c>
      <c r="F46" s="12">
        <v>46043</v>
      </c>
      <c r="G46" s="23">
        <v>0.77083333333333337</v>
      </c>
      <c r="H46" s="2" t="s">
        <v>53</v>
      </c>
      <c r="I46" s="2" t="s">
        <v>54</v>
      </c>
      <c r="J46" s="2">
        <v>18</v>
      </c>
      <c r="K46" s="14">
        <f>VLOOKUP($C46,Sheet1!$A$2:$D$10,4,0)</f>
        <v>18</v>
      </c>
      <c r="L46" s="14" t="str">
        <f>VLOOKUP($C46,Sheet1!$A$2:$E$10,5,0)</f>
        <v>Trolley (H)</v>
      </c>
      <c r="M46" s="14"/>
      <c r="N46" s="53"/>
      <c r="O46" s="2" t="s">
        <v>359</v>
      </c>
      <c r="P46" s="2" t="s">
        <v>1879</v>
      </c>
    </row>
    <row r="47" spans="1:16" x14ac:dyDescent="0.25">
      <c r="A47" s="17" t="s">
        <v>1009</v>
      </c>
      <c r="B47" s="2" t="s">
        <v>989</v>
      </c>
      <c r="C47" s="27" t="s">
        <v>26</v>
      </c>
      <c r="D47" s="2" t="str">
        <f>VLOOKUP($C47,Sheet1!$A$2:$D$10,2,0)</f>
        <v>116040-92240</v>
      </c>
      <c r="E47" s="8" t="s">
        <v>90</v>
      </c>
      <c r="F47" s="12">
        <v>46043</v>
      </c>
      <c r="G47" s="23">
        <v>0.77083333333333337</v>
      </c>
      <c r="H47" s="2" t="s">
        <v>91</v>
      </c>
      <c r="I47" s="2" t="s">
        <v>54</v>
      </c>
      <c r="J47" s="2">
        <v>66</v>
      </c>
      <c r="K47" s="14">
        <f>VLOOKUP($C47,Sheet1!$A$2:$D$10,4,0)</f>
        <v>6</v>
      </c>
      <c r="L47" s="14" t="str">
        <f>VLOOKUP($C47,Sheet1!$A$2:$E$10,5,0)</f>
        <v>Bin</v>
      </c>
      <c r="M47" s="14">
        <f t="shared" ref="M47:M49" si="8">J47/K47</f>
        <v>11</v>
      </c>
      <c r="N47" s="2"/>
      <c r="O47" s="2" t="s">
        <v>359</v>
      </c>
      <c r="P47" s="2" t="s">
        <v>733</v>
      </c>
    </row>
    <row r="48" spans="1:16" x14ac:dyDescent="0.25">
      <c r="A48" s="17" t="s">
        <v>1009</v>
      </c>
      <c r="B48" s="2" t="s">
        <v>994</v>
      </c>
      <c r="C48" s="27" t="s">
        <v>32</v>
      </c>
      <c r="D48" s="2" t="str">
        <f>VLOOKUP($C48,Sheet1!$A$2:$D$10,2,0)</f>
        <v>114010-50820</v>
      </c>
      <c r="E48" s="8" t="s">
        <v>98</v>
      </c>
      <c r="F48" s="12">
        <v>46043</v>
      </c>
      <c r="G48" s="23">
        <v>0.77083333333333337</v>
      </c>
      <c r="H48" s="2" t="s">
        <v>91</v>
      </c>
      <c r="I48" s="2" t="s">
        <v>54</v>
      </c>
      <c r="J48" s="2">
        <v>18</v>
      </c>
      <c r="K48" s="14">
        <f>VLOOKUP($C48,Sheet1!$A$2:$D$10,4,0)</f>
        <v>1</v>
      </c>
      <c r="L48" s="14" t="str">
        <f>VLOOKUP($C48,Sheet1!$A$2:$E$10,5,0)</f>
        <v>Bin</v>
      </c>
      <c r="M48" s="14">
        <f t="shared" si="8"/>
        <v>18</v>
      </c>
      <c r="N48" s="2"/>
      <c r="O48" s="2" t="s">
        <v>359</v>
      </c>
      <c r="P48" s="2" t="s">
        <v>1887</v>
      </c>
    </row>
    <row r="49" spans="1:16" x14ac:dyDescent="0.25">
      <c r="A49" s="17" t="s">
        <v>1009</v>
      </c>
      <c r="B49" s="2" t="s">
        <v>999</v>
      </c>
      <c r="C49" s="27" t="s">
        <v>29</v>
      </c>
      <c r="D49" s="2" t="str">
        <f>VLOOKUP($C49,Sheet1!$A$2:$D$10,2,0)</f>
        <v>114010-50830</v>
      </c>
      <c r="E49" s="8" t="s">
        <v>98</v>
      </c>
      <c r="F49" s="12">
        <v>46043</v>
      </c>
      <c r="G49" s="23">
        <v>0.77083333333333337</v>
      </c>
      <c r="H49" s="2" t="s">
        <v>91</v>
      </c>
      <c r="I49" s="2" t="s">
        <v>54</v>
      </c>
      <c r="J49" s="2">
        <v>46</v>
      </c>
      <c r="K49" s="14">
        <f>VLOOKUP($C49,Sheet1!$A$2:$D$10,4,0)</f>
        <v>1</v>
      </c>
      <c r="L49" s="14" t="str">
        <f>VLOOKUP($C49,Sheet1!$A$2:$E$10,5,0)</f>
        <v>Bin</v>
      </c>
      <c r="M49" s="14">
        <f t="shared" si="8"/>
        <v>46</v>
      </c>
      <c r="N49" s="2"/>
      <c r="O49" s="2" t="s">
        <v>359</v>
      </c>
      <c r="P49" s="2" t="s">
        <v>1883</v>
      </c>
    </row>
    <row r="50" spans="1:16" s="11" customForma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>
        <v>75</v>
      </c>
      <c r="N50" s="10">
        <v>6</v>
      </c>
      <c r="O50" s="10"/>
      <c r="P50" s="10"/>
    </row>
    <row r="51" spans="1:16" x14ac:dyDescent="0.25">
      <c r="A51" s="17" t="s">
        <v>1010</v>
      </c>
      <c r="B51" s="2" t="s">
        <v>959</v>
      </c>
      <c r="C51" s="27" t="s">
        <v>5</v>
      </c>
      <c r="D51" s="2" t="str">
        <f>VLOOKUP($C51,Sheet1!$A$2:$D$10,2,0)</f>
        <v>141110-14600</v>
      </c>
      <c r="E51" s="8" t="s">
        <v>52</v>
      </c>
      <c r="F51" s="12">
        <v>46043</v>
      </c>
      <c r="G51" s="13">
        <v>0.77083333333333337</v>
      </c>
      <c r="H51" s="2" t="s">
        <v>53</v>
      </c>
      <c r="I51" s="2" t="s">
        <v>54</v>
      </c>
      <c r="J51" s="2">
        <v>54</v>
      </c>
      <c r="K51" s="14">
        <f>VLOOKUP($C51,Sheet1!$A$2:$D$10,4,0)</f>
        <v>18</v>
      </c>
      <c r="L51" s="14" t="str">
        <f>VLOOKUP($C51,Sheet1!$A$2:$E$10,5,0)</f>
        <v>Trolley (H)</v>
      </c>
      <c r="M51" s="14"/>
      <c r="N51" s="52">
        <v>3</v>
      </c>
      <c r="O51" s="2" t="s">
        <v>121</v>
      </c>
      <c r="P51" s="2" t="s">
        <v>1888</v>
      </c>
    </row>
    <row r="52" spans="1:16" x14ac:dyDescent="0.25">
      <c r="A52" s="17" t="s">
        <v>1010</v>
      </c>
      <c r="B52" s="2" t="s">
        <v>964</v>
      </c>
      <c r="C52" s="27" t="s">
        <v>9</v>
      </c>
      <c r="D52" s="2" t="str">
        <f>VLOOKUP($C52,Sheet1!$A$2:$D$10,2,0)</f>
        <v>141120-14600</v>
      </c>
      <c r="E52" s="8" t="s">
        <v>60</v>
      </c>
      <c r="F52" s="12">
        <v>46043</v>
      </c>
      <c r="G52" s="13">
        <v>0.77083333333333337</v>
      </c>
      <c r="H52" s="2" t="s">
        <v>53</v>
      </c>
      <c r="I52" s="2" t="s">
        <v>54</v>
      </c>
      <c r="J52" s="2">
        <v>54</v>
      </c>
      <c r="K52" s="14">
        <f>VLOOKUP($C52,Sheet1!$A$2:$D$10,4,0)</f>
        <v>18</v>
      </c>
      <c r="L52" s="14" t="str">
        <f>VLOOKUP($C52,Sheet1!$A$2:$E$10,5,0)</f>
        <v>Trolley (H)</v>
      </c>
      <c r="M52" s="14"/>
      <c r="N52" s="53"/>
      <c r="O52" s="2" t="s">
        <v>121</v>
      </c>
      <c r="P52" s="2" t="s">
        <v>1889</v>
      </c>
    </row>
    <row r="53" spans="1:16" x14ac:dyDescent="0.25">
      <c r="A53" s="17" t="s">
        <v>1010</v>
      </c>
      <c r="B53" s="2" t="s">
        <v>969</v>
      </c>
      <c r="C53" s="27" t="s">
        <v>12</v>
      </c>
      <c r="D53" s="2" t="str">
        <f>VLOOKUP($C53,Sheet1!$A$2:$D$10,2,0)</f>
        <v>141185-74670</v>
      </c>
      <c r="E53" s="8" t="s">
        <v>66</v>
      </c>
      <c r="F53" s="12">
        <v>46043</v>
      </c>
      <c r="G53" s="13">
        <v>0.77083333333333337</v>
      </c>
      <c r="H53" s="2" t="s">
        <v>53</v>
      </c>
      <c r="I53" s="2" t="s">
        <v>54</v>
      </c>
      <c r="J53" s="2">
        <v>120</v>
      </c>
      <c r="K53" s="14">
        <f>VLOOKUP($C53,Sheet1!$A$2:$D$10,4,0)</f>
        <v>40</v>
      </c>
      <c r="L53" s="14" t="str">
        <f>VLOOKUP($C53,Sheet1!$A$2:$E$10,5,0)</f>
        <v>Trolley</v>
      </c>
      <c r="M53" s="14"/>
      <c r="N53" s="2">
        <f>J53/K53</f>
        <v>3</v>
      </c>
      <c r="O53" s="2" t="s">
        <v>121</v>
      </c>
      <c r="P53" s="2">
        <v>910106266</v>
      </c>
    </row>
    <row r="54" spans="1:16" x14ac:dyDescent="0.25">
      <c r="A54" s="17" t="s">
        <v>1010</v>
      </c>
      <c r="B54" s="2" t="s">
        <v>974</v>
      </c>
      <c r="C54" s="27" t="s">
        <v>16</v>
      </c>
      <c r="D54" s="2" t="str">
        <f>VLOOKUP($C54,Sheet1!$A$2:$D$10,2,0)</f>
        <v>141140-91211</v>
      </c>
      <c r="E54" s="8" t="s">
        <v>70</v>
      </c>
      <c r="F54" s="12">
        <v>46043</v>
      </c>
      <c r="G54" s="13">
        <v>0.77083333333333337</v>
      </c>
      <c r="H54" s="2" t="s">
        <v>71</v>
      </c>
      <c r="I54" s="2" t="s">
        <v>54</v>
      </c>
      <c r="J54" s="2">
        <v>66</v>
      </c>
      <c r="K54" s="14">
        <f>VLOOKUP($C54,Sheet1!$A$2:$D$10,4,0)</f>
        <v>2</v>
      </c>
      <c r="L54" s="14" t="str">
        <f>VLOOKUP($C54,Sheet1!$A$2:$E$10,5,0)</f>
        <v>Bin</v>
      </c>
      <c r="M54" s="14">
        <f t="shared" ref="M54:M55" si="9">J54/K54</f>
        <v>33</v>
      </c>
      <c r="N54" s="2"/>
      <c r="O54" s="2" t="s">
        <v>121</v>
      </c>
      <c r="P54" s="2" t="s">
        <v>1890</v>
      </c>
    </row>
    <row r="55" spans="1:16" x14ac:dyDescent="0.25">
      <c r="A55" s="17" t="s">
        <v>1010</v>
      </c>
      <c r="B55" s="2" t="s">
        <v>979</v>
      </c>
      <c r="C55" s="27" t="s">
        <v>20</v>
      </c>
      <c r="D55" s="2" t="str">
        <f>VLOOKUP($C55,Sheet1!$A$2:$D$10,2,0)</f>
        <v>141150-91211</v>
      </c>
      <c r="E55" s="8" t="s">
        <v>78</v>
      </c>
      <c r="F55" s="12">
        <v>46043</v>
      </c>
      <c r="G55" s="13">
        <v>0.77083333333333337</v>
      </c>
      <c r="H55" s="2" t="s">
        <v>71</v>
      </c>
      <c r="I55" s="2" t="s">
        <v>54</v>
      </c>
      <c r="J55" s="2">
        <v>66</v>
      </c>
      <c r="K55" s="14">
        <f>VLOOKUP($C55,Sheet1!$A$2:$D$10,4,0)</f>
        <v>2</v>
      </c>
      <c r="L55" s="14" t="str">
        <f>VLOOKUP($C55,Sheet1!$A$2:$E$10,5,0)</f>
        <v>Bin</v>
      </c>
      <c r="M55" s="14">
        <f t="shared" si="9"/>
        <v>33</v>
      </c>
      <c r="N55" s="2"/>
      <c r="O55" s="2" t="s">
        <v>121</v>
      </c>
      <c r="P55" s="2" t="s">
        <v>428</v>
      </c>
    </row>
    <row r="56" spans="1:16" x14ac:dyDescent="0.25">
      <c r="A56" s="17" t="s">
        <v>1010</v>
      </c>
      <c r="B56" s="2" t="s">
        <v>984</v>
      </c>
      <c r="C56" s="27" t="s">
        <v>23</v>
      </c>
      <c r="D56" s="2" t="str">
        <f>VLOOKUP($C56,Sheet1!$A$2:$D$10,2,0)</f>
        <v>141186-74360</v>
      </c>
      <c r="E56" s="8" t="s">
        <v>85</v>
      </c>
      <c r="F56" s="12">
        <v>46043</v>
      </c>
      <c r="G56" s="13">
        <v>0.77083333333333337</v>
      </c>
      <c r="H56" s="2" t="s">
        <v>71</v>
      </c>
      <c r="I56" s="2" t="s">
        <v>54</v>
      </c>
      <c r="J56" s="2">
        <v>120</v>
      </c>
      <c r="K56" s="14">
        <f>VLOOKUP($C56,Sheet1!$A$2:$D$10,4,0)</f>
        <v>40</v>
      </c>
      <c r="L56" s="14" t="str">
        <f>VLOOKUP($C56,Sheet1!$A$2:$E$10,5,0)</f>
        <v>Trolley</v>
      </c>
      <c r="M56" s="14"/>
      <c r="N56" s="2">
        <f>J56/K56</f>
        <v>3</v>
      </c>
      <c r="O56" s="2" t="s">
        <v>121</v>
      </c>
      <c r="P56" s="2">
        <v>910106267</v>
      </c>
    </row>
    <row r="57" spans="1:16" s="11" customForma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>
        <v>66</v>
      </c>
      <c r="N57" s="10">
        <v>9</v>
      </c>
      <c r="O57" s="10"/>
      <c r="P57" s="10"/>
    </row>
    <row r="58" spans="1:16" x14ac:dyDescent="0.25">
      <c r="A58" s="17" t="s">
        <v>1011</v>
      </c>
      <c r="B58" s="2" t="s">
        <v>960</v>
      </c>
      <c r="C58" s="27" t="s">
        <v>5</v>
      </c>
      <c r="D58" s="2" t="str">
        <f>VLOOKUP($C58,Sheet1!$A$2:$D$10,2,0)</f>
        <v>141110-14600</v>
      </c>
      <c r="E58" s="8" t="s">
        <v>52</v>
      </c>
      <c r="F58" s="12">
        <v>46043</v>
      </c>
      <c r="G58" s="13">
        <v>0.97916666666666663</v>
      </c>
      <c r="H58" s="2" t="s">
        <v>53</v>
      </c>
      <c r="I58" s="2" t="s">
        <v>54</v>
      </c>
      <c r="J58" s="2">
        <v>54</v>
      </c>
      <c r="K58" s="14">
        <f>VLOOKUP($C58,Sheet1!$A$2:$D$10,4,0)</f>
        <v>18</v>
      </c>
      <c r="L58" s="14" t="str">
        <f>VLOOKUP($C58,Sheet1!$A$2:$E$10,5,0)</f>
        <v>Trolley (H)</v>
      </c>
      <c r="M58" s="14"/>
      <c r="N58" s="52">
        <v>3</v>
      </c>
      <c r="O58" s="2" t="s">
        <v>119</v>
      </c>
      <c r="P58" s="2" t="s">
        <v>1891</v>
      </c>
    </row>
    <row r="59" spans="1:16" x14ac:dyDescent="0.25">
      <c r="A59" s="17" t="s">
        <v>1011</v>
      </c>
      <c r="B59" s="2" t="s">
        <v>965</v>
      </c>
      <c r="C59" s="27" t="s">
        <v>9</v>
      </c>
      <c r="D59" s="2" t="str">
        <f>VLOOKUP($C59,Sheet1!$A$2:$D$10,2,0)</f>
        <v>141120-14600</v>
      </c>
      <c r="E59" s="8" t="s">
        <v>60</v>
      </c>
      <c r="F59" s="12">
        <v>46043</v>
      </c>
      <c r="G59" s="13">
        <v>0.97916666666666663</v>
      </c>
      <c r="H59" s="2" t="s">
        <v>53</v>
      </c>
      <c r="I59" s="2" t="s">
        <v>54</v>
      </c>
      <c r="J59" s="2">
        <v>54</v>
      </c>
      <c r="K59" s="14">
        <f>VLOOKUP($C59,Sheet1!$A$2:$D$10,4,0)</f>
        <v>18</v>
      </c>
      <c r="L59" s="14" t="str">
        <f>VLOOKUP($C59,Sheet1!$A$2:$E$10,5,0)</f>
        <v>Trolley (H)</v>
      </c>
      <c r="M59" s="14"/>
      <c r="N59" s="53"/>
      <c r="O59" s="2" t="s">
        <v>119</v>
      </c>
      <c r="P59" s="2" t="s">
        <v>1892</v>
      </c>
    </row>
    <row r="60" spans="1:16" x14ac:dyDescent="0.25">
      <c r="A60" s="17" t="s">
        <v>1011</v>
      </c>
      <c r="B60" s="2" t="s">
        <v>970</v>
      </c>
      <c r="C60" s="27" t="s">
        <v>12</v>
      </c>
      <c r="D60" s="2" t="str">
        <f>VLOOKUP($C60,Sheet1!$A$2:$D$10,2,0)</f>
        <v>141185-74670</v>
      </c>
      <c r="E60" s="8" t="s">
        <v>66</v>
      </c>
      <c r="F60" s="12">
        <v>46043</v>
      </c>
      <c r="G60" s="13">
        <v>0.97916666666666663</v>
      </c>
      <c r="H60" s="2" t="s">
        <v>53</v>
      </c>
      <c r="I60" s="2" t="s">
        <v>54</v>
      </c>
      <c r="J60" s="2">
        <v>120</v>
      </c>
      <c r="K60" s="14">
        <f>VLOOKUP($C60,Sheet1!$A$2:$D$10,4,0)</f>
        <v>40</v>
      </c>
      <c r="L60" s="14" t="str">
        <f>VLOOKUP($C60,Sheet1!$A$2:$E$10,5,0)</f>
        <v>Trolley</v>
      </c>
      <c r="M60" s="14"/>
      <c r="N60" s="2">
        <f>J60/K60</f>
        <v>3</v>
      </c>
      <c r="O60" s="2" t="s">
        <v>119</v>
      </c>
      <c r="P60" s="2">
        <v>910106266</v>
      </c>
    </row>
    <row r="61" spans="1:16" x14ac:dyDescent="0.25">
      <c r="A61" s="17" t="s">
        <v>1011</v>
      </c>
      <c r="B61" s="2" t="s">
        <v>975</v>
      </c>
      <c r="C61" s="27" t="s">
        <v>16</v>
      </c>
      <c r="D61" s="2" t="str">
        <f>VLOOKUP($C61,Sheet1!$A$2:$D$10,2,0)</f>
        <v>141140-91211</v>
      </c>
      <c r="E61" s="8" t="s">
        <v>70</v>
      </c>
      <c r="F61" s="12">
        <v>46043</v>
      </c>
      <c r="G61" s="13">
        <v>0.97916666666666663</v>
      </c>
      <c r="H61" s="2" t="s">
        <v>71</v>
      </c>
      <c r="I61" s="2" t="s">
        <v>54</v>
      </c>
      <c r="J61" s="2">
        <v>56</v>
      </c>
      <c r="K61" s="14">
        <f>VLOOKUP($C61,Sheet1!$A$2:$D$10,4,0)</f>
        <v>2</v>
      </c>
      <c r="L61" s="14" t="str">
        <f>VLOOKUP($C61,Sheet1!$A$2:$E$10,5,0)</f>
        <v>Bin</v>
      </c>
      <c r="M61" s="14">
        <f t="shared" ref="M61:M62" si="10">J61/K61</f>
        <v>28</v>
      </c>
      <c r="N61" s="2"/>
      <c r="O61" s="2" t="s">
        <v>119</v>
      </c>
      <c r="P61" s="2" t="s">
        <v>420</v>
      </c>
    </row>
    <row r="62" spans="1:16" x14ac:dyDescent="0.25">
      <c r="A62" s="17" t="s">
        <v>1011</v>
      </c>
      <c r="B62" s="2" t="s">
        <v>980</v>
      </c>
      <c r="C62" s="27" t="s">
        <v>20</v>
      </c>
      <c r="D62" s="2" t="str">
        <f>VLOOKUP($C62,Sheet1!$A$2:$D$10,2,0)</f>
        <v>141150-91211</v>
      </c>
      <c r="E62" s="8" t="s">
        <v>78</v>
      </c>
      <c r="F62" s="12">
        <v>46043</v>
      </c>
      <c r="G62" s="13">
        <v>0.97916666666666663</v>
      </c>
      <c r="H62" s="2" t="s">
        <v>71</v>
      </c>
      <c r="I62" s="2" t="s">
        <v>54</v>
      </c>
      <c r="J62" s="2">
        <v>56</v>
      </c>
      <c r="K62" s="14">
        <f>VLOOKUP($C62,Sheet1!$A$2:$D$10,4,0)</f>
        <v>2</v>
      </c>
      <c r="L62" s="14" t="str">
        <f>VLOOKUP($C62,Sheet1!$A$2:$E$10,5,0)</f>
        <v>Bin</v>
      </c>
      <c r="M62" s="14">
        <f t="shared" si="10"/>
        <v>28</v>
      </c>
      <c r="N62" s="2"/>
      <c r="O62" s="2" t="s">
        <v>119</v>
      </c>
      <c r="P62" s="2" t="s">
        <v>428</v>
      </c>
    </row>
    <row r="63" spans="1:16" x14ac:dyDescent="0.25">
      <c r="A63" s="17" t="s">
        <v>1011</v>
      </c>
      <c r="B63" s="2" t="s">
        <v>985</v>
      </c>
      <c r="C63" s="27" t="s">
        <v>23</v>
      </c>
      <c r="D63" s="2" t="str">
        <f>VLOOKUP($C63,Sheet1!$A$2:$D$10,2,0)</f>
        <v>141186-74360</v>
      </c>
      <c r="E63" s="8" t="s">
        <v>85</v>
      </c>
      <c r="F63" s="12">
        <v>46043</v>
      </c>
      <c r="G63" s="13">
        <v>0.97916666666666663</v>
      </c>
      <c r="H63" s="2" t="s">
        <v>71</v>
      </c>
      <c r="I63" s="2" t="s">
        <v>54</v>
      </c>
      <c r="J63" s="2">
        <v>120</v>
      </c>
      <c r="K63" s="14">
        <f>VLOOKUP($C63,Sheet1!$A$2:$D$10,4,0)</f>
        <v>40</v>
      </c>
      <c r="L63" s="14" t="str">
        <f>VLOOKUP($C63,Sheet1!$A$2:$E$10,5,0)</f>
        <v>Trolley</v>
      </c>
      <c r="M63" s="14"/>
      <c r="N63" s="2">
        <f>J63/K63</f>
        <v>3</v>
      </c>
      <c r="O63" s="2" t="s">
        <v>119</v>
      </c>
      <c r="P63" s="2">
        <v>910106267</v>
      </c>
    </row>
    <row r="64" spans="1:16" x14ac:dyDescent="0.25">
      <c r="A64" s="17" t="s">
        <v>1012</v>
      </c>
      <c r="B64" s="2" t="s">
        <v>990</v>
      </c>
      <c r="C64" s="27" t="s">
        <v>26</v>
      </c>
      <c r="D64" s="2" t="str">
        <f>VLOOKUP($C64,Sheet1!$A$2:$D$10,2,0)</f>
        <v>116040-92240</v>
      </c>
      <c r="E64" s="8" t="s">
        <v>90</v>
      </c>
      <c r="F64" s="12">
        <v>46043</v>
      </c>
      <c r="G64" s="13">
        <v>0.97916666666666663</v>
      </c>
      <c r="H64" s="2" t="s">
        <v>91</v>
      </c>
      <c r="I64" s="2" t="s">
        <v>54</v>
      </c>
      <c r="J64" s="2">
        <v>54</v>
      </c>
      <c r="K64" s="14">
        <f>VLOOKUP($C64,Sheet1!$A$2:$D$10,4,0)</f>
        <v>6</v>
      </c>
      <c r="L64" s="14" t="str">
        <f>VLOOKUP($C64,Sheet1!$A$2:$E$10,5,0)</f>
        <v>Bin</v>
      </c>
      <c r="M64" s="14">
        <f t="shared" ref="M64:M66" si="11">J64/K64</f>
        <v>9</v>
      </c>
      <c r="N64" s="2"/>
      <c r="O64" s="2" t="s">
        <v>119</v>
      </c>
      <c r="P64" s="2" t="s">
        <v>1893</v>
      </c>
    </row>
    <row r="65" spans="1:16" x14ac:dyDescent="0.25">
      <c r="A65" s="17" t="s">
        <v>1012</v>
      </c>
      <c r="B65" s="2" t="s">
        <v>995</v>
      </c>
      <c r="C65" s="27" t="s">
        <v>32</v>
      </c>
      <c r="D65" s="2" t="str">
        <f>VLOOKUP($C65,Sheet1!$A$2:$D$10,2,0)</f>
        <v>114010-50820</v>
      </c>
      <c r="E65" s="8" t="s">
        <v>98</v>
      </c>
      <c r="F65" s="12">
        <v>46043</v>
      </c>
      <c r="G65" s="13">
        <v>0.97916666666666663</v>
      </c>
      <c r="H65" s="2" t="s">
        <v>91</v>
      </c>
      <c r="I65" s="2" t="s">
        <v>54</v>
      </c>
      <c r="J65" s="2">
        <v>15</v>
      </c>
      <c r="K65" s="14">
        <f>VLOOKUP($C65,Sheet1!$A$2:$D$10,4,0)</f>
        <v>1</v>
      </c>
      <c r="L65" s="14" t="str">
        <f>VLOOKUP($C65,Sheet1!$A$2:$E$10,5,0)</f>
        <v>Bin</v>
      </c>
      <c r="M65" s="14">
        <f t="shared" si="11"/>
        <v>15</v>
      </c>
      <c r="N65" s="2"/>
      <c r="O65" s="2" t="s">
        <v>119</v>
      </c>
      <c r="P65" s="2" t="s">
        <v>1894</v>
      </c>
    </row>
    <row r="66" spans="1:16" x14ac:dyDescent="0.25">
      <c r="A66" s="17" t="s">
        <v>1012</v>
      </c>
      <c r="B66" s="2" t="s">
        <v>1000</v>
      </c>
      <c r="C66" s="27" t="s">
        <v>29</v>
      </c>
      <c r="D66" s="2" t="str">
        <f>VLOOKUP($C66,Sheet1!$A$2:$D$10,2,0)</f>
        <v>114010-50830</v>
      </c>
      <c r="E66" s="8" t="s">
        <v>98</v>
      </c>
      <c r="F66" s="12">
        <v>46043</v>
      </c>
      <c r="G66" s="13">
        <v>0.97916666666666663</v>
      </c>
      <c r="H66" s="2" t="s">
        <v>91</v>
      </c>
      <c r="I66" s="2" t="s">
        <v>54</v>
      </c>
      <c r="J66" s="2">
        <v>32</v>
      </c>
      <c r="K66" s="14">
        <f>VLOOKUP($C66,Sheet1!$A$2:$D$10,4,0)</f>
        <v>1</v>
      </c>
      <c r="L66" s="14" t="str">
        <f>VLOOKUP($C66,Sheet1!$A$2:$E$10,5,0)</f>
        <v>Bin</v>
      </c>
      <c r="M66" s="14">
        <f t="shared" si="11"/>
        <v>32</v>
      </c>
      <c r="N66" s="2"/>
      <c r="O66" s="2" t="s">
        <v>119</v>
      </c>
      <c r="P66" s="2" t="s">
        <v>1883</v>
      </c>
    </row>
    <row r="67" spans="1:16" s="11" customForma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>
        <v>112</v>
      </c>
      <c r="N67" s="10">
        <v>9</v>
      </c>
      <c r="O67" s="10"/>
      <c r="P67" s="10"/>
    </row>
    <row r="68" spans="1:16" x14ac:dyDescent="0.25">
      <c r="A68" s="2"/>
      <c r="B68" s="2"/>
      <c r="C68" s="2"/>
      <c r="D68" s="2"/>
      <c r="E68" s="8"/>
      <c r="F68" s="12"/>
      <c r="G68" s="13"/>
      <c r="H68" s="2"/>
      <c r="I68" s="2"/>
      <c r="J68" s="2"/>
      <c r="K68" s="14"/>
      <c r="L68" s="14"/>
      <c r="M68" s="14"/>
      <c r="N68" s="2"/>
      <c r="O68" s="2"/>
      <c r="P68" s="2"/>
    </row>
    <row r="75" spans="1:16" ht="11.25" customHeight="1" x14ac:dyDescent="0.25"/>
  </sheetData>
  <autoFilter ref="A3:P67" xr:uid="{E34645C3-FBBD-4DEC-90B0-05A7E800BD26}"/>
  <mergeCells count="11">
    <mergeCell ref="N58:N59"/>
    <mergeCell ref="N16:N17"/>
    <mergeCell ref="N41:N42"/>
    <mergeCell ref="N45:N46"/>
    <mergeCell ref="A1:F1"/>
    <mergeCell ref="J1:N1"/>
    <mergeCell ref="L2:N2"/>
    <mergeCell ref="N4:N5"/>
    <mergeCell ref="N18:N19"/>
    <mergeCell ref="N31:N32"/>
    <mergeCell ref="N51:N52"/>
  </mergeCells>
  <conditionalFormatting sqref="B2">
    <cfRule type="duplicateValues" dxfId="56" priority="2"/>
    <cfRule type="duplicateValues" dxfId="55" priority="3"/>
  </conditionalFormatting>
  <conditionalFormatting sqref="B4:B14 B16:B29 B31:B39 B41:B49 B51:B56 B58:B66 B68">
    <cfRule type="duplicateValues" dxfId="54" priority="23"/>
  </conditionalFormatting>
  <conditionalFormatting sqref="C2:D2">
    <cfRule type="duplicateValues" dxfId="53" priority="4"/>
    <cfRule type="duplicateValues" dxfId="52" priority="5"/>
  </conditionalFormatting>
  <pageMargins left="0.17" right="0.17" top="0.21" bottom="0.19" header="0.3" footer="0.3"/>
  <pageSetup scale="5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6F88-555E-4856-8BA9-501DB0B16CA7}">
  <sheetPr>
    <tabColor rgb="FF00B050"/>
    <pageSetUpPr fitToPage="1"/>
  </sheetPr>
  <dimension ref="A1:P69"/>
  <sheetViews>
    <sheetView topLeftCell="A40" zoomScaleNormal="100" workbookViewId="0">
      <selection activeCell="P66" sqref="P66:P67"/>
    </sheetView>
  </sheetViews>
  <sheetFormatPr defaultColWidth="15.28515625" defaultRowHeight="15" x14ac:dyDescent="0.25"/>
  <cols>
    <col min="1" max="1" width="15.140625" bestFit="1" customWidth="1"/>
    <col min="2" max="2" width="17" bestFit="1" customWidth="1"/>
    <col min="3" max="3" width="14.140625" bestFit="1" customWidth="1"/>
    <col min="4" max="4" width="14.140625" customWidth="1"/>
    <col min="5" max="5" width="32.5703125" bestFit="1" customWidth="1"/>
    <col min="6" max="6" width="9.5703125" customWidth="1"/>
    <col min="7" max="7" width="10.85546875" customWidth="1"/>
    <col min="8" max="8" width="12.140625" customWidth="1"/>
    <col min="9" max="9" width="4.7109375" bestFit="1" customWidth="1"/>
    <col min="10" max="10" width="8" bestFit="1" customWidth="1"/>
    <col min="11" max="11" width="12.42578125" customWidth="1"/>
    <col min="12" max="12" width="11.5703125" customWidth="1"/>
    <col min="13" max="13" width="7.140625" bestFit="1" customWidth="1"/>
    <col min="14" max="14" width="7.85546875" bestFit="1" customWidth="1"/>
    <col min="15" max="15" width="10.7109375" customWidth="1"/>
    <col min="16" max="16" width="40.8554687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46043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1058</v>
      </c>
      <c r="B4" s="2" t="s">
        <v>1013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46044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122</v>
      </c>
      <c r="P4" s="2" t="s">
        <v>1895</v>
      </c>
    </row>
    <row r="5" spans="1:16" x14ac:dyDescent="0.25">
      <c r="A5" s="17" t="s">
        <v>1058</v>
      </c>
      <c r="B5" s="2" t="s">
        <v>1018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46044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122</v>
      </c>
      <c r="P5" s="2" t="s">
        <v>1895</v>
      </c>
    </row>
    <row r="6" spans="1:16" x14ac:dyDescent="0.25">
      <c r="A6" s="17" t="s">
        <v>1058</v>
      </c>
      <c r="B6" s="2" t="s">
        <v>1023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46044</v>
      </c>
      <c r="G6" s="13">
        <v>0.35416666666666669</v>
      </c>
      <c r="H6" s="2" t="s">
        <v>53</v>
      </c>
      <c r="I6" s="2" t="s">
        <v>54</v>
      </c>
      <c r="J6" s="2">
        <v>40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1</v>
      </c>
      <c r="O6" s="2" t="s">
        <v>122</v>
      </c>
      <c r="P6" s="2" t="s">
        <v>1896</v>
      </c>
    </row>
    <row r="7" spans="1:16" x14ac:dyDescent="0.25">
      <c r="A7" s="17" t="s">
        <v>1058</v>
      </c>
      <c r="B7" s="2" t="s">
        <v>1024</v>
      </c>
      <c r="C7" s="27" t="s">
        <v>12</v>
      </c>
      <c r="D7" s="2" t="str">
        <f>VLOOKUP($C7,Sheet1!$A$2:$D$10,2,0)</f>
        <v>141185-74670</v>
      </c>
      <c r="E7" s="8" t="s">
        <v>66</v>
      </c>
      <c r="F7" s="12">
        <v>46044</v>
      </c>
      <c r="G7" s="13">
        <v>0.35416666666666669</v>
      </c>
      <c r="H7" s="2" t="s">
        <v>53</v>
      </c>
      <c r="I7" s="2" t="s">
        <v>54</v>
      </c>
      <c r="J7" s="2">
        <v>80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2</v>
      </c>
      <c r="O7" s="2" t="s">
        <v>122</v>
      </c>
      <c r="P7" s="2">
        <v>910106826</v>
      </c>
    </row>
    <row r="8" spans="1:16" x14ac:dyDescent="0.25">
      <c r="A8" s="17" t="s">
        <v>1058</v>
      </c>
      <c r="B8" s="2" t="s">
        <v>1028</v>
      </c>
      <c r="C8" s="27" t="s">
        <v>16</v>
      </c>
      <c r="D8" s="2" t="str">
        <f>VLOOKUP($C8,Sheet1!$A$2:$D$10,2,0)</f>
        <v>141140-91211</v>
      </c>
      <c r="E8" s="8" t="s">
        <v>70</v>
      </c>
      <c r="F8" s="12">
        <v>46044</v>
      </c>
      <c r="G8" s="13">
        <v>0.35416666666666669</v>
      </c>
      <c r="H8" s="2" t="s">
        <v>71</v>
      </c>
      <c r="I8" s="2" t="s">
        <v>54</v>
      </c>
      <c r="J8" s="2">
        <v>50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25</v>
      </c>
      <c r="N8" s="2"/>
      <c r="O8" s="2" t="s">
        <v>122</v>
      </c>
      <c r="P8" s="2" t="s">
        <v>420</v>
      </c>
    </row>
    <row r="9" spans="1:16" x14ac:dyDescent="0.25">
      <c r="A9" s="17" t="s">
        <v>1058</v>
      </c>
      <c r="B9" s="2" t="s">
        <v>1033</v>
      </c>
      <c r="C9" s="27" t="s">
        <v>20</v>
      </c>
      <c r="D9" s="2" t="str">
        <f>VLOOKUP($C9,Sheet1!$A$2:$D$10,2,0)</f>
        <v>141150-91211</v>
      </c>
      <c r="E9" s="8" t="s">
        <v>78</v>
      </c>
      <c r="F9" s="12">
        <v>46044</v>
      </c>
      <c r="G9" s="13">
        <v>0.35416666666666669</v>
      </c>
      <c r="H9" s="2" t="s">
        <v>71</v>
      </c>
      <c r="I9" s="2" t="s">
        <v>54</v>
      </c>
      <c r="J9" s="2">
        <v>50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" si="0">J9/K9</f>
        <v>25</v>
      </c>
      <c r="N9" s="2"/>
      <c r="O9" s="2" t="s">
        <v>122</v>
      </c>
      <c r="P9" s="2" t="s">
        <v>428</v>
      </c>
    </row>
    <row r="10" spans="1:16" x14ac:dyDescent="0.25">
      <c r="A10" s="17" t="s">
        <v>1058</v>
      </c>
      <c r="B10" s="2" t="s">
        <v>1038</v>
      </c>
      <c r="C10" s="27" t="s">
        <v>23</v>
      </c>
      <c r="D10" s="2" t="str">
        <f>VLOOKUP($C10,Sheet1!$A$2:$D$10,2,0)</f>
        <v>141186-74360</v>
      </c>
      <c r="E10" s="8" t="s">
        <v>85</v>
      </c>
      <c r="F10" s="12">
        <v>46044</v>
      </c>
      <c r="G10" s="13">
        <v>0.35416666666666669</v>
      </c>
      <c r="H10" s="2" t="s">
        <v>71</v>
      </c>
      <c r="I10" s="2" t="s">
        <v>54</v>
      </c>
      <c r="J10" s="2">
        <v>80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 t="shared" ref="N10:N11" si="1">J10/K10</f>
        <v>2</v>
      </c>
      <c r="O10" s="2" t="s">
        <v>122</v>
      </c>
      <c r="P10" s="2">
        <v>910106267</v>
      </c>
    </row>
    <row r="11" spans="1:16" x14ac:dyDescent="0.25">
      <c r="A11" s="17" t="s">
        <v>1058</v>
      </c>
      <c r="B11" s="2" t="s">
        <v>1039</v>
      </c>
      <c r="C11" s="27" t="s">
        <v>23</v>
      </c>
      <c r="D11" s="2" t="str">
        <f>VLOOKUP($C11,Sheet1!$A$2:$D$10,2,0)</f>
        <v>141186-74360</v>
      </c>
      <c r="E11" s="8" t="s">
        <v>85</v>
      </c>
      <c r="F11" s="12">
        <v>46044</v>
      </c>
      <c r="G11" s="13">
        <v>0.35416666666666669</v>
      </c>
      <c r="H11" s="2" t="s">
        <v>71</v>
      </c>
      <c r="I11" s="2" t="s">
        <v>54</v>
      </c>
      <c r="J11" s="2">
        <v>40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 t="shared" si="1"/>
        <v>1</v>
      </c>
      <c r="O11" s="2" t="s">
        <v>122</v>
      </c>
      <c r="P11" s="2">
        <v>910106267</v>
      </c>
    </row>
    <row r="12" spans="1:16" x14ac:dyDescent="0.25">
      <c r="A12" s="17" t="s">
        <v>1059</v>
      </c>
      <c r="B12" s="2" t="s">
        <v>1043</v>
      </c>
      <c r="C12" s="27" t="s">
        <v>26</v>
      </c>
      <c r="D12" s="2" t="str">
        <f>VLOOKUP($C12,Sheet1!$A$2:$D$10,2,0)</f>
        <v>116040-92240</v>
      </c>
      <c r="E12" s="8" t="s">
        <v>90</v>
      </c>
      <c r="F12" s="12">
        <v>46044</v>
      </c>
      <c r="G12" s="13">
        <v>0.35416666666666669</v>
      </c>
      <c r="H12" s="2" t="s">
        <v>91</v>
      </c>
      <c r="I12" s="2" t="s">
        <v>54</v>
      </c>
      <c r="J12" s="2">
        <v>96</v>
      </c>
      <c r="K12" s="14">
        <f>VLOOKUP($C12,Sheet1!$A$2:$D$10,4,0)</f>
        <v>6</v>
      </c>
      <c r="L12" s="14" t="str">
        <f>VLOOKUP($C12,Sheet1!$A$2:$E$10,5,0)</f>
        <v>Bin</v>
      </c>
      <c r="M12" s="14">
        <f>J12/K12</f>
        <v>16</v>
      </c>
      <c r="N12" s="2"/>
      <c r="O12" s="2" t="s">
        <v>122</v>
      </c>
      <c r="P12" s="2" t="s">
        <v>1893</v>
      </c>
    </row>
    <row r="13" spans="1:16" x14ac:dyDescent="0.25">
      <c r="A13" s="17" t="s">
        <v>1059</v>
      </c>
      <c r="B13" s="2" t="s">
        <v>1049</v>
      </c>
      <c r="C13" s="27" t="s">
        <v>32</v>
      </c>
      <c r="D13" s="2" t="str">
        <f>VLOOKUP($C13,Sheet1!$A$2:$D$10,2,0)</f>
        <v>114010-50820</v>
      </c>
      <c r="E13" s="8" t="s">
        <v>98</v>
      </c>
      <c r="F13" s="12">
        <v>46044</v>
      </c>
      <c r="G13" s="13">
        <v>0.35416666666666669</v>
      </c>
      <c r="H13" s="2" t="s">
        <v>91</v>
      </c>
      <c r="I13" s="2" t="s">
        <v>54</v>
      </c>
      <c r="J13" s="2">
        <v>17</v>
      </c>
      <c r="K13" s="14">
        <f>VLOOKUP($C13,Sheet1!$A$2:$D$10,4,0)</f>
        <v>1</v>
      </c>
      <c r="L13" s="14" t="str">
        <f>VLOOKUP($C13,Sheet1!$A$2:$E$10,5,0)</f>
        <v>Bin</v>
      </c>
      <c r="M13" s="14">
        <f>J13/K13</f>
        <v>17</v>
      </c>
      <c r="N13" s="2"/>
      <c r="O13" s="2" t="s">
        <v>122</v>
      </c>
      <c r="P13" s="2" t="s">
        <v>1894</v>
      </c>
    </row>
    <row r="14" spans="1:16" x14ac:dyDescent="0.25">
      <c r="A14" s="17" t="s">
        <v>1059</v>
      </c>
      <c r="B14" s="2" t="s">
        <v>1053</v>
      </c>
      <c r="C14" s="27" t="s">
        <v>29</v>
      </c>
      <c r="D14" s="2" t="str">
        <f>VLOOKUP($C14,Sheet1!$A$2:$D$10,2,0)</f>
        <v>114010-50830</v>
      </c>
      <c r="E14" s="8" t="s">
        <v>98</v>
      </c>
      <c r="F14" s="12">
        <v>46044</v>
      </c>
      <c r="G14" s="13">
        <v>0.35416666666666669</v>
      </c>
      <c r="H14" s="2" t="s">
        <v>91</v>
      </c>
      <c r="I14" s="2" t="s">
        <v>54</v>
      </c>
      <c r="J14" s="2">
        <v>28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ref="M14" si="2">J14/K14</f>
        <v>28</v>
      </c>
      <c r="N14" s="2"/>
      <c r="O14" s="2" t="s">
        <v>122</v>
      </c>
      <c r="P14" s="2" t="s">
        <v>1883</v>
      </c>
    </row>
    <row r="15" spans="1:16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111</v>
      </c>
      <c r="N15" s="10">
        <v>9</v>
      </c>
      <c r="O15" s="10"/>
      <c r="P15" s="10"/>
    </row>
    <row r="16" spans="1:16" x14ac:dyDescent="0.25">
      <c r="A16" s="17" t="s">
        <v>1060</v>
      </c>
      <c r="B16" s="2" t="s">
        <v>1013</v>
      </c>
      <c r="C16" s="27" t="s">
        <v>5</v>
      </c>
      <c r="D16" s="2" t="str">
        <f>VLOOKUP($C16,Sheet1!$A$2:$D$10,2,0)</f>
        <v>141110-14600</v>
      </c>
      <c r="E16" s="8" t="s">
        <v>52</v>
      </c>
      <c r="F16" s="12">
        <v>46044</v>
      </c>
      <c r="G16" s="13">
        <v>0.35416666666666669</v>
      </c>
      <c r="H16" s="2" t="s">
        <v>53</v>
      </c>
      <c r="I16" s="2" t="s">
        <v>54</v>
      </c>
      <c r="J16" s="2">
        <v>54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2">
        <v>3</v>
      </c>
      <c r="O16" s="2" t="s">
        <v>359</v>
      </c>
      <c r="P16" s="2" t="s">
        <v>1895</v>
      </c>
    </row>
    <row r="17" spans="1:16" x14ac:dyDescent="0.25">
      <c r="A17" s="17" t="s">
        <v>1060</v>
      </c>
      <c r="B17" s="2" t="s">
        <v>1018</v>
      </c>
      <c r="C17" s="27" t="s">
        <v>9</v>
      </c>
      <c r="D17" s="2" t="str">
        <f>VLOOKUP($C17,Sheet1!$A$2:$D$10,2,0)</f>
        <v>141120-14600</v>
      </c>
      <c r="E17" s="8" t="s">
        <v>60</v>
      </c>
      <c r="F17" s="12">
        <v>46044</v>
      </c>
      <c r="G17" s="13">
        <v>0.35416666666666669</v>
      </c>
      <c r="H17" s="2" t="s">
        <v>53</v>
      </c>
      <c r="I17" s="2" t="s">
        <v>54</v>
      </c>
      <c r="J17" s="2">
        <v>54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3"/>
      <c r="O17" s="2" t="s">
        <v>359</v>
      </c>
      <c r="P17" s="2" t="s">
        <v>1895</v>
      </c>
    </row>
    <row r="18" spans="1:16" x14ac:dyDescent="0.25">
      <c r="A18" s="17" t="s">
        <v>1060</v>
      </c>
      <c r="B18" s="2" t="s">
        <v>1023</v>
      </c>
      <c r="C18" s="27" t="s">
        <v>12</v>
      </c>
      <c r="D18" s="2" t="str">
        <f>VLOOKUP($C18,Sheet1!$A$2:$D$10,2,0)</f>
        <v>141185-74670</v>
      </c>
      <c r="E18" s="8" t="s">
        <v>66</v>
      </c>
      <c r="F18" s="12">
        <v>46044</v>
      </c>
      <c r="G18" s="13">
        <v>0.35416666666666669</v>
      </c>
      <c r="H18" s="2" t="s">
        <v>53</v>
      </c>
      <c r="I18" s="2" t="s">
        <v>54</v>
      </c>
      <c r="J18" s="2">
        <v>80</v>
      </c>
      <c r="K18" s="14">
        <f>VLOOKUP($C18,Sheet1!$A$2:$D$10,4,0)</f>
        <v>40</v>
      </c>
      <c r="L18" s="14" t="str">
        <f>VLOOKUP($C18,Sheet1!$A$2:$E$10,5,0)</f>
        <v>Trolley</v>
      </c>
      <c r="M18" s="14"/>
      <c r="N18" s="2">
        <f>J18/K18</f>
        <v>2</v>
      </c>
      <c r="O18" s="2" t="s">
        <v>359</v>
      </c>
      <c r="P18" s="2">
        <v>910106826</v>
      </c>
    </row>
    <row r="19" spans="1:16" x14ac:dyDescent="0.25">
      <c r="A19" s="17" t="s">
        <v>1060</v>
      </c>
      <c r="B19" s="2" t="s">
        <v>1029</v>
      </c>
      <c r="C19" s="27" t="s">
        <v>16</v>
      </c>
      <c r="D19" s="2" t="str">
        <f>VLOOKUP($C19,Sheet1!$A$2:$D$10,2,0)</f>
        <v>141140-91211</v>
      </c>
      <c r="E19" s="8" t="s">
        <v>70</v>
      </c>
      <c r="F19" s="12">
        <v>46044</v>
      </c>
      <c r="G19" s="13">
        <v>0.35416666666666669</v>
      </c>
      <c r="H19" s="2" t="s">
        <v>71</v>
      </c>
      <c r="I19" s="2" t="s">
        <v>54</v>
      </c>
      <c r="J19" s="2">
        <v>26</v>
      </c>
      <c r="K19" s="14">
        <f>VLOOKUP($C19,Sheet1!$A$2:$D$10,4,0)</f>
        <v>2</v>
      </c>
      <c r="L19" s="14" t="str">
        <f>VLOOKUP($C19,Sheet1!$A$2:$E$10,5,0)</f>
        <v>Bin</v>
      </c>
      <c r="M19" s="14">
        <f>J19/K19</f>
        <v>13</v>
      </c>
      <c r="N19" s="2"/>
      <c r="O19" s="2" t="s">
        <v>359</v>
      </c>
      <c r="P19" s="2" t="s">
        <v>420</v>
      </c>
    </row>
    <row r="20" spans="1:16" x14ac:dyDescent="0.25">
      <c r="A20" s="17" t="s">
        <v>1060</v>
      </c>
      <c r="B20" s="2" t="s">
        <v>1028</v>
      </c>
      <c r="C20" s="27" t="s">
        <v>16</v>
      </c>
      <c r="D20" s="2" t="str">
        <f>VLOOKUP($C20,Sheet1!$A$2:$D$10,2,0)</f>
        <v>141140-91211</v>
      </c>
      <c r="E20" s="8" t="s">
        <v>70</v>
      </c>
      <c r="F20" s="12">
        <v>46044</v>
      </c>
      <c r="G20" s="13">
        <v>0.35416666666666669</v>
      </c>
      <c r="H20" s="2" t="s">
        <v>71</v>
      </c>
      <c r="I20" s="2" t="s">
        <v>54</v>
      </c>
      <c r="J20" s="2">
        <v>48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24</v>
      </c>
      <c r="N20" s="2"/>
      <c r="O20" s="2" t="s">
        <v>359</v>
      </c>
      <c r="P20" s="2" t="s">
        <v>420</v>
      </c>
    </row>
    <row r="21" spans="1:16" x14ac:dyDescent="0.25">
      <c r="A21" s="17" t="s">
        <v>1060</v>
      </c>
      <c r="B21" s="2" t="s">
        <v>1033</v>
      </c>
      <c r="C21" s="27" t="s">
        <v>20</v>
      </c>
      <c r="D21" s="2" t="str">
        <f>VLOOKUP($C21,Sheet1!$A$2:$D$10,2,0)</f>
        <v>141150-91211</v>
      </c>
      <c r="E21" s="8" t="s">
        <v>78</v>
      </c>
      <c r="F21" s="12">
        <v>46044</v>
      </c>
      <c r="G21" s="13">
        <v>0.35416666666666669</v>
      </c>
      <c r="H21" s="2" t="s">
        <v>71</v>
      </c>
      <c r="I21" s="2" t="s">
        <v>54</v>
      </c>
      <c r="J21" s="2">
        <v>48</v>
      </c>
      <c r="K21" s="14">
        <f>VLOOKUP($C21,Sheet1!$A$2:$D$10,4,0)</f>
        <v>2</v>
      </c>
      <c r="L21" s="14" t="str">
        <f>VLOOKUP($C21,Sheet1!$A$2:$E$10,5,0)</f>
        <v>Bin</v>
      </c>
      <c r="M21" s="14">
        <f t="shared" ref="M21" si="3">J21/K21</f>
        <v>24</v>
      </c>
      <c r="N21" s="2"/>
      <c r="O21" s="2" t="s">
        <v>359</v>
      </c>
      <c r="P21" s="2" t="s">
        <v>739</v>
      </c>
    </row>
    <row r="22" spans="1:16" x14ac:dyDescent="0.25">
      <c r="A22" s="17" t="s">
        <v>1060</v>
      </c>
      <c r="B22" s="2" t="s">
        <v>1034</v>
      </c>
      <c r="C22" s="27" t="s">
        <v>20</v>
      </c>
      <c r="D22" s="2" t="str">
        <f>VLOOKUP($C22,Sheet1!$A$2:$D$10,2,0)</f>
        <v>141150-91211</v>
      </c>
      <c r="E22" s="8" t="s">
        <v>78</v>
      </c>
      <c r="F22" s="12">
        <v>46044</v>
      </c>
      <c r="G22" s="13">
        <v>0.35416666666666669</v>
      </c>
      <c r="H22" s="2" t="s">
        <v>71</v>
      </c>
      <c r="I22" s="2" t="s">
        <v>54</v>
      </c>
      <c r="J22" s="2">
        <v>26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13</v>
      </c>
      <c r="N22" s="2"/>
      <c r="O22" s="2" t="s">
        <v>359</v>
      </c>
      <c r="P22" s="2" t="s">
        <v>428</v>
      </c>
    </row>
    <row r="23" spans="1:16" x14ac:dyDescent="0.25">
      <c r="A23" s="17" t="s">
        <v>1060</v>
      </c>
      <c r="B23" s="2" t="s">
        <v>1038</v>
      </c>
      <c r="C23" s="27" t="s">
        <v>23</v>
      </c>
      <c r="D23" s="2" t="str">
        <f>VLOOKUP($C23,Sheet1!$A$2:$D$10,2,0)</f>
        <v>141186-74360</v>
      </c>
      <c r="E23" s="8" t="s">
        <v>85</v>
      </c>
      <c r="F23" s="12">
        <v>46044</v>
      </c>
      <c r="G23" s="13">
        <v>0.35416666666666669</v>
      </c>
      <c r="H23" s="2" t="s">
        <v>71</v>
      </c>
      <c r="I23" s="2" t="s">
        <v>54</v>
      </c>
      <c r="J23" s="2">
        <v>80</v>
      </c>
      <c r="K23" s="14">
        <f>VLOOKUP($C23,Sheet1!$A$2:$D$10,4,0)</f>
        <v>40</v>
      </c>
      <c r="L23" s="14" t="str">
        <f>VLOOKUP($C23,Sheet1!$A$2:$E$10,5,0)</f>
        <v>Trolley</v>
      </c>
      <c r="M23" s="14"/>
      <c r="N23" s="2">
        <f t="shared" ref="N23" si="4">J23/K23</f>
        <v>2</v>
      </c>
      <c r="O23" s="2" t="s">
        <v>359</v>
      </c>
      <c r="P23" s="2">
        <v>910106267</v>
      </c>
    </row>
    <row r="24" spans="1:16" x14ac:dyDescent="0.25">
      <c r="A24" s="17" t="s">
        <v>1061</v>
      </c>
      <c r="B24" s="2" t="s">
        <v>1044</v>
      </c>
      <c r="C24" s="27" t="s">
        <v>26</v>
      </c>
      <c r="D24" s="2" t="str">
        <f>VLOOKUP($C24,Sheet1!$A$2:$D$10,2,0)</f>
        <v>116040-92240</v>
      </c>
      <c r="E24" s="8" t="s">
        <v>90</v>
      </c>
      <c r="F24" s="12">
        <v>46044</v>
      </c>
      <c r="G24" s="13">
        <v>0.35416666666666669</v>
      </c>
      <c r="H24" s="2" t="s">
        <v>91</v>
      </c>
      <c r="I24" s="2" t="s">
        <v>54</v>
      </c>
      <c r="J24" s="2">
        <v>24</v>
      </c>
      <c r="K24" s="14">
        <f>VLOOKUP($C24,Sheet1!$A$2:$D$10,4,0)</f>
        <v>6</v>
      </c>
      <c r="L24" s="14" t="str">
        <f>VLOOKUP($C24,Sheet1!$A$2:$E$10,5,0)</f>
        <v>Bin</v>
      </c>
      <c r="M24" s="14">
        <f>J24/K24</f>
        <v>4</v>
      </c>
      <c r="N24" s="2"/>
      <c r="O24" s="2" t="s">
        <v>359</v>
      </c>
      <c r="P24" s="2" t="s">
        <v>1893</v>
      </c>
    </row>
    <row r="25" spans="1:16" x14ac:dyDescent="0.25">
      <c r="A25" s="17" t="s">
        <v>1061</v>
      </c>
      <c r="B25" s="2" t="s">
        <v>1048</v>
      </c>
      <c r="C25" s="27" t="s">
        <v>32</v>
      </c>
      <c r="D25" s="2" t="str">
        <f>VLOOKUP($C25,Sheet1!$A$2:$D$10,2,0)</f>
        <v>114010-50820</v>
      </c>
      <c r="E25" s="8" t="s">
        <v>98</v>
      </c>
      <c r="F25" s="12">
        <v>46044</v>
      </c>
      <c r="G25" s="13">
        <v>0.35416666666666669</v>
      </c>
      <c r="H25" s="2" t="s">
        <v>91</v>
      </c>
      <c r="I25" s="2" t="s">
        <v>54</v>
      </c>
      <c r="J25" s="2">
        <v>38</v>
      </c>
      <c r="K25" s="14">
        <f>VLOOKUP($C25,Sheet1!$A$2:$D$10,4,0)</f>
        <v>1</v>
      </c>
      <c r="L25" s="14" t="str">
        <f>VLOOKUP($C25,Sheet1!$A$2:$E$10,5,0)</f>
        <v>Bin</v>
      </c>
      <c r="M25" s="14">
        <f>J25/K25</f>
        <v>38</v>
      </c>
      <c r="N25" s="2"/>
      <c r="O25" s="2" t="s">
        <v>359</v>
      </c>
      <c r="P25" s="2" t="s">
        <v>1894</v>
      </c>
    </row>
    <row r="26" spans="1:16" x14ac:dyDescent="0.25">
      <c r="A26" s="17" t="s">
        <v>1061</v>
      </c>
      <c r="B26" s="2" t="s">
        <v>1054</v>
      </c>
      <c r="C26" s="27" t="s">
        <v>29</v>
      </c>
      <c r="D26" s="2" t="str">
        <f>VLOOKUP($C26,Sheet1!$A$2:$D$10,2,0)</f>
        <v>114010-50830</v>
      </c>
      <c r="E26" s="8" t="s">
        <v>98</v>
      </c>
      <c r="F26" s="12">
        <v>46044</v>
      </c>
      <c r="G26" s="13">
        <v>0.35416666666666669</v>
      </c>
      <c r="H26" s="2" t="s">
        <v>91</v>
      </c>
      <c r="I26" s="2" t="s">
        <v>54</v>
      </c>
      <c r="J26" s="2">
        <v>8</v>
      </c>
      <c r="K26" s="14">
        <f>VLOOKUP($C26,Sheet1!$A$2:$D$10,4,0)</f>
        <v>1</v>
      </c>
      <c r="L26" s="14" t="str">
        <f>VLOOKUP($C26,Sheet1!$A$2:$E$10,5,0)</f>
        <v>Bin</v>
      </c>
      <c r="M26" s="14">
        <f>J26/K26</f>
        <v>8</v>
      </c>
      <c r="N26" s="2"/>
      <c r="O26" s="2" t="s">
        <v>359</v>
      </c>
      <c r="P26" s="2" t="s">
        <v>1898</v>
      </c>
    </row>
    <row r="27" spans="1:16" x14ac:dyDescent="0.25">
      <c r="A27" s="17" t="s">
        <v>1061</v>
      </c>
      <c r="B27" s="2" t="s">
        <v>1053</v>
      </c>
      <c r="C27" s="27" t="s">
        <v>29</v>
      </c>
      <c r="D27" s="2" t="str">
        <f>VLOOKUP($C27,Sheet1!$A$2:$D$10,2,0)</f>
        <v>114010-50830</v>
      </c>
      <c r="E27" s="8" t="s">
        <v>98</v>
      </c>
      <c r="F27" s="12">
        <v>46044</v>
      </c>
      <c r="G27" s="13">
        <v>0.35416666666666669</v>
      </c>
      <c r="H27" s="2" t="s">
        <v>91</v>
      </c>
      <c r="I27" s="2" t="s">
        <v>54</v>
      </c>
      <c r="J27" s="2">
        <v>40</v>
      </c>
      <c r="K27" s="14">
        <f>VLOOKUP($C27,Sheet1!$A$2:$D$10,4,0)</f>
        <v>1</v>
      </c>
      <c r="L27" s="14" t="str">
        <f>VLOOKUP($C27,Sheet1!$A$2:$E$10,5,0)</f>
        <v>Bin</v>
      </c>
      <c r="M27" s="14">
        <f t="shared" ref="M27" si="5">J27/K27</f>
        <v>40</v>
      </c>
      <c r="N27" s="2"/>
      <c r="O27" s="2" t="s">
        <v>359</v>
      </c>
      <c r="P27" s="2" t="s">
        <v>1897</v>
      </c>
    </row>
    <row r="28" spans="1:16" s="11" customForma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>
        <v>164</v>
      </c>
      <c r="N28" s="10">
        <v>7</v>
      </c>
      <c r="O28" s="10"/>
      <c r="P28" s="10"/>
    </row>
    <row r="29" spans="1:16" x14ac:dyDescent="0.25">
      <c r="A29" s="17" t="s">
        <v>1062</v>
      </c>
      <c r="B29" s="2" t="s">
        <v>1014</v>
      </c>
      <c r="C29" s="27" t="s">
        <v>5</v>
      </c>
      <c r="D29" s="2" t="str">
        <f>VLOOKUP($C29,Sheet1!$A$2:$D$10,2,0)</f>
        <v>141110-14600</v>
      </c>
      <c r="E29" s="8" t="s">
        <v>52</v>
      </c>
      <c r="F29" s="12">
        <v>46044</v>
      </c>
      <c r="G29" s="13">
        <v>0.35416666666666669</v>
      </c>
      <c r="H29" s="2" t="s">
        <v>53</v>
      </c>
      <c r="I29" s="2" t="s">
        <v>54</v>
      </c>
      <c r="J29" s="2">
        <v>36</v>
      </c>
      <c r="K29" s="14">
        <f>VLOOKUP($C29,Sheet1!$A$2:$D$10,4,0)</f>
        <v>18</v>
      </c>
      <c r="L29" s="14" t="str">
        <f>VLOOKUP($C29,Sheet1!$A$2:$E$10,5,0)</f>
        <v>Trolley (H)</v>
      </c>
      <c r="M29" s="14"/>
      <c r="N29" s="52">
        <v>2</v>
      </c>
      <c r="O29" s="2" t="s">
        <v>121</v>
      </c>
      <c r="P29" s="2" t="s">
        <v>1895</v>
      </c>
    </row>
    <row r="30" spans="1:16" x14ac:dyDescent="0.25">
      <c r="A30" s="17" t="s">
        <v>1062</v>
      </c>
      <c r="B30" s="2" t="s">
        <v>1019</v>
      </c>
      <c r="C30" s="27" t="s">
        <v>9</v>
      </c>
      <c r="D30" s="2" t="str">
        <f>VLOOKUP($C30,Sheet1!$A$2:$D$10,2,0)</f>
        <v>141120-14600</v>
      </c>
      <c r="E30" s="8" t="s">
        <v>60</v>
      </c>
      <c r="F30" s="12">
        <v>46044</v>
      </c>
      <c r="G30" s="13">
        <v>0.35416666666666669</v>
      </c>
      <c r="H30" s="2" t="s">
        <v>53</v>
      </c>
      <c r="I30" s="2" t="s">
        <v>54</v>
      </c>
      <c r="J30" s="2">
        <v>36</v>
      </c>
      <c r="K30" s="14">
        <f>VLOOKUP($C30,Sheet1!$A$2:$D$10,4,0)</f>
        <v>18</v>
      </c>
      <c r="L30" s="14" t="str">
        <f>VLOOKUP($C30,Sheet1!$A$2:$E$10,5,0)</f>
        <v>Trolley (H)</v>
      </c>
      <c r="M30" s="14"/>
      <c r="N30" s="53"/>
      <c r="O30" s="2" t="s">
        <v>121</v>
      </c>
      <c r="P30" s="2" t="s">
        <v>1895</v>
      </c>
    </row>
    <row r="31" spans="1:16" x14ac:dyDescent="0.25">
      <c r="A31" s="17" t="s">
        <v>1062</v>
      </c>
      <c r="B31" s="2" t="s">
        <v>1023</v>
      </c>
      <c r="C31" s="27" t="s">
        <v>12</v>
      </c>
      <c r="D31" s="2" t="str">
        <f>VLOOKUP($C31,Sheet1!$A$2:$D$10,2,0)</f>
        <v>141185-74670</v>
      </c>
      <c r="E31" s="8" t="s">
        <v>66</v>
      </c>
      <c r="F31" s="12">
        <v>46044</v>
      </c>
      <c r="G31" s="13">
        <v>0.35416666666666669</v>
      </c>
      <c r="H31" s="2" t="s">
        <v>53</v>
      </c>
      <c r="I31" s="2" t="s">
        <v>54</v>
      </c>
      <c r="J31" s="2">
        <v>80</v>
      </c>
      <c r="K31" s="14">
        <f>VLOOKUP($C31,Sheet1!$A$2:$D$10,4,0)</f>
        <v>40</v>
      </c>
      <c r="L31" s="14" t="str">
        <f>VLOOKUP($C31,Sheet1!$A$2:$E$10,5,0)</f>
        <v>Trolley</v>
      </c>
      <c r="M31" s="14"/>
      <c r="N31" s="2">
        <f>J31/K31</f>
        <v>2</v>
      </c>
      <c r="O31" s="2" t="s">
        <v>121</v>
      </c>
      <c r="P31" s="2">
        <v>910106826</v>
      </c>
    </row>
    <row r="32" spans="1:16" ht="15.75" thickBot="1" x14ac:dyDescent="0.3">
      <c r="A32" s="17" t="s">
        <v>1062</v>
      </c>
      <c r="B32" s="2" t="s">
        <v>1038</v>
      </c>
      <c r="C32" s="27" t="s">
        <v>23</v>
      </c>
      <c r="D32" s="2" t="str">
        <f>VLOOKUP($C32,Sheet1!$A$2:$D$10,2,0)</f>
        <v>141186-74360</v>
      </c>
      <c r="E32" s="8" t="s">
        <v>85</v>
      </c>
      <c r="F32" s="12">
        <v>46044</v>
      </c>
      <c r="G32" s="25">
        <v>0.35416666666666669</v>
      </c>
      <c r="H32" s="2" t="s">
        <v>71</v>
      </c>
      <c r="I32" s="2" t="s">
        <v>54</v>
      </c>
      <c r="J32" s="2">
        <v>40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 t="shared" ref="N32" si="6">J32/K32</f>
        <v>1</v>
      </c>
      <c r="O32" s="2" t="s">
        <v>121</v>
      </c>
      <c r="P32" s="2">
        <v>910106267</v>
      </c>
    </row>
    <row r="33" spans="1:16" ht="15.75" thickTop="1" x14ac:dyDescent="0.25">
      <c r="A33" s="17" t="s">
        <v>1063</v>
      </c>
      <c r="B33" s="2" t="s">
        <v>1045</v>
      </c>
      <c r="C33" s="27" t="s">
        <v>26</v>
      </c>
      <c r="D33" s="2" t="str">
        <f>VLOOKUP($C33,Sheet1!$A$2:$D$10,2,0)</f>
        <v>116040-92240</v>
      </c>
      <c r="E33" s="8" t="s">
        <v>90</v>
      </c>
      <c r="F33" s="12">
        <v>46044</v>
      </c>
      <c r="G33" s="26">
        <v>0.5625</v>
      </c>
      <c r="H33" s="2" t="s">
        <v>91</v>
      </c>
      <c r="I33" s="2" t="s">
        <v>54</v>
      </c>
      <c r="J33" s="2">
        <v>66</v>
      </c>
      <c r="K33" s="14">
        <f>VLOOKUP($C33,Sheet1!$A$2:$D$10,4,0)</f>
        <v>6</v>
      </c>
      <c r="L33" s="14" t="str">
        <f>VLOOKUP($C33,Sheet1!$A$2:$E$10,5,0)</f>
        <v>Bin</v>
      </c>
      <c r="M33" s="14">
        <f t="shared" ref="M33:M35" si="7">J33/K33</f>
        <v>11</v>
      </c>
      <c r="N33" s="2"/>
      <c r="O33" s="2" t="s">
        <v>121</v>
      </c>
      <c r="P33" s="2" t="s">
        <v>1900</v>
      </c>
    </row>
    <row r="34" spans="1:16" x14ac:dyDescent="0.25">
      <c r="A34" s="17" t="s">
        <v>1063</v>
      </c>
      <c r="B34" s="2" t="s">
        <v>1050</v>
      </c>
      <c r="C34" s="27" t="s">
        <v>32</v>
      </c>
      <c r="D34" s="2" t="str">
        <f>VLOOKUP($C34,Sheet1!$A$2:$D$10,2,0)</f>
        <v>114010-50820</v>
      </c>
      <c r="E34" s="8" t="s">
        <v>98</v>
      </c>
      <c r="F34" s="12">
        <v>46044</v>
      </c>
      <c r="G34" s="23">
        <v>0.5625</v>
      </c>
      <c r="H34" s="2" t="s">
        <v>91</v>
      </c>
      <c r="I34" s="2" t="s">
        <v>54</v>
      </c>
      <c r="J34" s="2">
        <v>36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si="7"/>
        <v>36</v>
      </c>
      <c r="N34" s="2"/>
      <c r="O34" s="2" t="s">
        <v>121</v>
      </c>
      <c r="P34" s="2" t="s">
        <v>1894</v>
      </c>
    </row>
    <row r="35" spans="1:16" x14ac:dyDescent="0.25">
      <c r="A35" s="17" t="s">
        <v>1063</v>
      </c>
      <c r="B35" s="2" t="s">
        <v>1055</v>
      </c>
      <c r="C35" s="27" t="s">
        <v>29</v>
      </c>
      <c r="D35" s="2" t="str">
        <f>VLOOKUP($C35,Sheet1!$A$2:$D$10,2,0)</f>
        <v>114010-50830</v>
      </c>
      <c r="E35" s="8" t="s">
        <v>98</v>
      </c>
      <c r="F35" s="12">
        <v>46044</v>
      </c>
      <c r="G35" s="23">
        <v>0.5625</v>
      </c>
      <c r="H35" s="2" t="s">
        <v>91</v>
      </c>
      <c r="I35" s="2" t="s">
        <v>54</v>
      </c>
      <c r="J35" s="2">
        <v>47</v>
      </c>
      <c r="K35" s="14">
        <f>VLOOKUP($C35,Sheet1!$A$2:$D$10,4,0)</f>
        <v>1</v>
      </c>
      <c r="L35" s="14" t="str">
        <f>VLOOKUP($C35,Sheet1!$A$2:$E$10,5,0)</f>
        <v>Bin</v>
      </c>
      <c r="M35" s="14">
        <f t="shared" si="7"/>
        <v>47</v>
      </c>
      <c r="N35" s="2"/>
      <c r="O35" s="2" t="s">
        <v>121</v>
      </c>
      <c r="P35" s="2" t="s">
        <v>1899</v>
      </c>
    </row>
    <row r="36" spans="1:16" s="11" customForma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>
        <v>94</v>
      </c>
      <c r="N36" s="10">
        <v>5</v>
      </c>
      <c r="O36" s="10"/>
      <c r="P36" s="10"/>
    </row>
    <row r="37" spans="1:16" x14ac:dyDescent="0.25">
      <c r="A37" s="17" t="s">
        <v>1064</v>
      </c>
      <c r="B37" s="2" t="s">
        <v>1015</v>
      </c>
      <c r="C37" s="27" t="s">
        <v>5</v>
      </c>
      <c r="D37" s="2" t="str">
        <f>VLOOKUP($C37,Sheet1!$A$2:$D$10,2,0)</f>
        <v>141110-14600</v>
      </c>
      <c r="E37" s="8" t="s">
        <v>52</v>
      </c>
      <c r="F37" s="12">
        <v>46044</v>
      </c>
      <c r="G37" s="13">
        <v>0.5625</v>
      </c>
      <c r="H37" s="2" t="s">
        <v>53</v>
      </c>
      <c r="I37" s="2" t="s">
        <v>54</v>
      </c>
      <c r="J37" s="2">
        <v>54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2">
        <v>3</v>
      </c>
      <c r="O37" s="2" t="s">
        <v>119</v>
      </c>
      <c r="P37" s="2" t="s">
        <v>1895</v>
      </c>
    </row>
    <row r="38" spans="1:16" x14ac:dyDescent="0.25">
      <c r="A38" s="17" t="s">
        <v>1064</v>
      </c>
      <c r="B38" s="2" t="s">
        <v>1020</v>
      </c>
      <c r="C38" s="27" t="s">
        <v>9</v>
      </c>
      <c r="D38" s="2" t="str">
        <f>VLOOKUP($C38,Sheet1!$A$2:$D$10,2,0)</f>
        <v>141120-14600</v>
      </c>
      <c r="E38" s="8" t="s">
        <v>60</v>
      </c>
      <c r="F38" s="12">
        <v>46044</v>
      </c>
      <c r="G38" s="13">
        <v>0.5625</v>
      </c>
      <c r="H38" s="2" t="s">
        <v>53</v>
      </c>
      <c r="I38" s="2" t="s">
        <v>54</v>
      </c>
      <c r="J38" s="2">
        <v>54</v>
      </c>
      <c r="K38" s="14">
        <f>VLOOKUP($C38,Sheet1!$A$2:$D$10,4,0)</f>
        <v>18</v>
      </c>
      <c r="L38" s="14" t="str">
        <f>VLOOKUP($C38,Sheet1!$A$2:$E$10,5,0)</f>
        <v>Trolley (H)</v>
      </c>
      <c r="M38" s="14"/>
      <c r="N38" s="53"/>
      <c r="O38" s="2" t="s">
        <v>119</v>
      </c>
      <c r="P38" s="2" t="s">
        <v>1895</v>
      </c>
    </row>
    <row r="39" spans="1:16" x14ac:dyDescent="0.25">
      <c r="A39" s="17" t="s">
        <v>1064</v>
      </c>
      <c r="B39" s="2" t="s">
        <v>1025</v>
      </c>
      <c r="C39" s="27" t="s">
        <v>12</v>
      </c>
      <c r="D39" s="2" t="str">
        <f>VLOOKUP($C39,Sheet1!$A$2:$D$10,2,0)</f>
        <v>141185-74670</v>
      </c>
      <c r="E39" s="8" t="s">
        <v>66</v>
      </c>
      <c r="F39" s="12">
        <v>46044</v>
      </c>
      <c r="G39" s="13">
        <v>0.5625</v>
      </c>
      <c r="H39" s="2" t="s">
        <v>53</v>
      </c>
      <c r="I39" s="2" t="s">
        <v>54</v>
      </c>
      <c r="J39" s="2">
        <v>120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>J39/K39</f>
        <v>3</v>
      </c>
      <c r="O39" s="2" t="s">
        <v>119</v>
      </c>
      <c r="P39" s="2">
        <v>910106826</v>
      </c>
    </row>
    <row r="40" spans="1:16" x14ac:dyDescent="0.25">
      <c r="A40" s="17" t="s">
        <v>1064</v>
      </c>
      <c r="B40" s="2" t="s">
        <v>1030</v>
      </c>
      <c r="C40" s="27" t="s">
        <v>16</v>
      </c>
      <c r="D40" s="2" t="str">
        <f>VLOOKUP($C40,Sheet1!$A$2:$D$10,2,0)</f>
        <v>141140-91211</v>
      </c>
      <c r="E40" s="8" t="s">
        <v>70</v>
      </c>
      <c r="F40" s="12">
        <v>46044</v>
      </c>
      <c r="G40" s="13">
        <v>0.5625</v>
      </c>
      <c r="H40" s="2" t="s">
        <v>71</v>
      </c>
      <c r="I40" s="2" t="s">
        <v>54</v>
      </c>
      <c r="J40" s="2">
        <v>66</v>
      </c>
      <c r="K40" s="14">
        <f>VLOOKUP($C40,Sheet1!$A$2:$D$10,4,0)</f>
        <v>2</v>
      </c>
      <c r="L40" s="14" t="str">
        <f>VLOOKUP($C40,Sheet1!$A$2:$E$10,5,0)</f>
        <v>Bin</v>
      </c>
      <c r="M40" s="14">
        <f t="shared" ref="M40:M41" si="8">J40/K40</f>
        <v>33</v>
      </c>
      <c r="N40" s="2"/>
      <c r="O40" s="2" t="s">
        <v>119</v>
      </c>
      <c r="P40" s="2" t="s">
        <v>420</v>
      </c>
    </row>
    <row r="41" spans="1:16" x14ac:dyDescent="0.25">
      <c r="A41" s="17" t="s">
        <v>1064</v>
      </c>
      <c r="B41" s="2" t="s">
        <v>1035</v>
      </c>
      <c r="C41" s="27" t="s">
        <v>20</v>
      </c>
      <c r="D41" s="2" t="str">
        <f>VLOOKUP($C41,Sheet1!$A$2:$D$10,2,0)</f>
        <v>141150-91211</v>
      </c>
      <c r="E41" s="8" t="s">
        <v>78</v>
      </c>
      <c r="F41" s="12">
        <v>46044</v>
      </c>
      <c r="G41" s="13">
        <v>0.5625</v>
      </c>
      <c r="H41" s="2" t="s">
        <v>71</v>
      </c>
      <c r="I41" s="2" t="s">
        <v>54</v>
      </c>
      <c r="J41" s="2">
        <v>66</v>
      </c>
      <c r="K41" s="14">
        <f>VLOOKUP($C41,Sheet1!$A$2:$D$10,4,0)</f>
        <v>2</v>
      </c>
      <c r="L41" s="14" t="str">
        <f>VLOOKUP($C41,Sheet1!$A$2:$E$10,5,0)</f>
        <v>Bin</v>
      </c>
      <c r="M41" s="14">
        <f t="shared" si="8"/>
        <v>33</v>
      </c>
      <c r="N41" s="2"/>
      <c r="O41" s="2" t="s">
        <v>119</v>
      </c>
      <c r="P41" s="2" t="s">
        <v>420</v>
      </c>
    </row>
    <row r="42" spans="1:16" x14ac:dyDescent="0.25">
      <c r="A42" s="17" t="s">
        <v>1064</v>
      </c>
      <c r="B42" s="2" t="s">
        <v>1040</v>
      </c>
      <c r="C42" s="27" t="s">
        <v>23</v>
      </c>
      <c r="D42" s="2" t="str">
        <f>VLOOKUP($C42,Sheet1!$A$2:$D$10,2,0)</f>
        <v>141186-74360</v>
      </c>
      <c r="E42" s="8" t="s">
        <v>85</v>
      </c>
      <c r="F42" s="12">
        <v>46044</v>
      </c>
      <c r="G42" s="13">
        <v>0.5625</v>
      </c>
      <c r="H42" s="2" t="s">
        <v>71</v>
      </c>
      <c r="I42" s="2" t="s">
        <v>54</v>
      </c>
      <c r="J42" s="2">
        <v>120</v>
      </c>
      <c r="K42" s="14">
        <f>VLOOKUP($C42,Sheet1!$A$2:$D$10,4,0)</f>
        <v>40</v>
      </c>
      <c r="L42" s="14" t="str">
        <f>VLOOKUP($C42,Sheet1!$A$2:$E$10,5,0)</f>
        <v>Trolley</v>
      </c>
      <c r="M42" s="14"/>
      <c r="N42" s="2">
        <f>J42/K42</f>
        <v>3</v>
      </c>
      <c r="O42" s="2" t="s">
        <v>119</v>
      </c>
      <c r="P42" s="2">
        <v>910106267</v>
      </c>
    </row>
    <row r="43" spans="1:16" s="11" customForma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>
        <v>66</v>
      </c>
      <c r="N43" s="10">
        <v>9</v>
      </c>
      <c r="O43" s="10"/>
      <c r="P43" s="10"/>
    </row>
    <row r="44" spans="1:16" x14ac:dyDescent="0.25">
      <c r="A44" s="17" t="s">
        <v>1065</v>
      </c>
      <c r="B44" s="2" t="s">
        <v>1016</v>
      </c>
      <c r="C44" s="27" t="s">
        <v>5</v>
      </c>
      <c r="D44" s="2" t="str">
        <f>VLOOKUP($C44,Sheet1!$A$2:$D$10,2,0)</f>
        <v>141110-14600</v>
      </c>
      <c r="E44" s="8" t="s">
        <v>52</v>
      </c>
      <c r="F44" s="12">
        <v>46044</v>
      </c>
      <c r="G44" s="13">
        <v>0.77083333333333337</v>
      </c>
      <c r="H44" s="2" t="s">
        <v>53</v>
      </c>
      <c r="I44" s="2" t="s">
        <v>54</v>
      </c>
      <c r="J44" s="2">
        <v>54</v>
      </c>
      <c r="K44" s="14">
        <f>VLOOKUP($C44,Sheet1!$A$2:$D$10,4,0)</f>
        <v>18</v>
      </c>
      <c r="L44" s="14" t="str">
        <f>VLOOKUP($C44,Sheet1!$A$2:$E$10,5,0)</f>
        <v>Trolley (H)</v>
      </c>
      <c r="M44" s="14"/>
      <c r="N44" s="52">
        <v>3</v>
      </c>
      <c r="O44" s="2" t="s">
        <v>122</v>
      </c>
      <c r="P44" s="2" t="s">
        <v>1895</v>
      </c>
    </row>
    <row r="45" spans="1:16" x14ac:dyDescent="0.25">
      <c r="A45" s="17" t="s">
        <v>1065</v>
      </c>
      <c r="B45" s="2" t="s">
        <v>1021</v>
      </c>
      <c r="C45" s="27" t="s">
        <v>9</v>
      </c>
      <c r="D45" s="2" t="str">
        <f>VLOOKUP($C45,Sheet1!$A$2:$D$10,2,0)</f>
        <v>141120-14600</v>
      </c>
      <c r="E45" s="8" t="s">
        <v>60</v>
      </c>
      <c r="F45" s="12">
        <v>46044</v>
      </c>
      <c r="G45" s="13">
        <v>0.77083333333333337</v>
      </c>
      <c r="H45" s="2" t="s">
        <v>53</v>
      </c>
      <c r="I45" s="2" t="s">
        <v>54</v>
      </c>
      <c r="J45" s="2">
        <v>54</v>
      </c>
      <c r="K45" s="14">
        <f>VLOOKUP($C45,Sheet1!$A$2:$D$10,4,0)</f>
        <v>18</v>
      </c>
      <c r="L45" s="14" t="str">
        <f>VLOOKUP($C45,Sheet1!$A$2:$E$10,5,0)</f>
        <v>Trolley (H)</v>
      </c>
      <c r="M45" s="14"/>
      <c r="N45" s="53"/>
      <c r="O45" s="2" t="s">
        <v>122</v>
      </c>
      <c r="P45" s="2" t="s">
        <v>1901</v>
      </c>
    </row>
    <row r="46" spans="1:16" x14ac:dyDescent="0.25">
      <c r="A46" s="17" t="s">
        <v>1065</v>
      </c>
      <c r="B46" s="2" t="s">
        <v>1026</v>
      </c>
      <c r="C46" s="27" t="s">
        <v>12</v>
      </c>
      <c r="D46" s="2" t="str">
        <f>VLOOKUP($C46,Sheet1!$A$2:$D$10,2,0)</f>
        <v>141185-74670</v>
      </c>
      <c r="E46" s="8" t="s">
        <v>66</v>
      </c>
      <c r="F46" s="12">
        <v>46044</v>
      </c>
      <c r="G46" s="13">
        <v>0.77083333333333337</v>
      </c>
      <c r="H46" s="2" t="s">
        <v>53</v>
      </c>
      <c r="I46" s="2" t="s">
        <v>54</v>
      </c>
      <c r="J46" s="2">
        <v>120</v>
      </c>
      <c r="K46" s="14">
        <f>VLOOKUP($C46,Sheet1!$A$2:$D$10,4,0)</f>
        <v>40</v>
      </c>
      <c r="L46" s="14" t="str">
        <f>VLOOKUP($C46,Sheet1!$A$2:$E$10,5,0)</f>
        <v>Trolley</v>
      </c>
      <c r="M46" s="14"/>
      <c r="N46" s="2">
        <f>J46/K46</f>
        <v>3</v>
      </c>
      <c r="O46" s="2" t="s">
        <v>122</v>
      </c>
      <c r="P46" s="2">
        <v>910106826</v>
      </c>
    </row>
    <row r="47" spans="1:16" x14ac:dyDescent="0.25">
      <c r="A47" s="17" t="s">
        <v>1065</v>
      </c>
      <c r="B47" s="2" t="s">
        <v>1031</v>
      </c>
      <c r="C47" s="27" t="s">
        <v>16</v>
      </c>
      <c r="D47" s="2" t="str">
        <f>VLOOKUP($C47,Sheet1!$A$2:$D$10,2,0)</f>
        <v>141140-91211</v>
      </c>
      <c r="E47" s="8" t="s">
        <v>70</v>
      </c>
      <c r="F47" s="12">
        <v>46044</v>
      </c>
      <c r="G47" s="13">
        <v>0.77083333333333337</v>
      </c>
      <c r="H47" s="2" t="s">
        <v>71</v>
      </c>
      <c r="I47" s="2" t="s">
        <v>54</v>
      </c>
      <c r="J47" s="2">
        <v>60</v>
      </c>
      <c r="K47" s="14">
        <f>VLOOKUP($C47,Sheet1!$A$2:$D$10,4,0)</f>
        <v>2</v>
      </c>
      <c r="L47" s="14" t="str">
        <f>VLOOKUP($C47,Sheet1!$A$2:$E$10,5,0)</f>
        <v>Bin</v>
      </c>
      <c r="M47" s="14">
        <f t="shared" ref="M47:M48" si="9">J47/K47</f>
        <v>30</v>
      </c>
      <c r="N47" s="2"/>
      <c r="O47" s="2" t="s">
        <v>122</v>
      </c>
      <c r="P47" s="2" t="s">
        <v>420</v>
      </c>
    </row>
    <row r="48" spans="1:16" x14ac:dyDescent="0.25">
      <c r="A48" s="17" t="s">
        <v>1065</v>
      </c>
      <c r="B48" s="2" t="s">
        <v>1036</v>
      </c>
      <c r="C48" s="27" t="s">
        <v>20</v>
      </c>
      <c r="D48" s="2" t="str">
        <f>VLOOKUP($C48,Sheet1!$A$2:$D$10,2,0)</f>
        <v>141150-91211</v>
      </c>
      <c r="E48" s="8" t="s">
        <v>78</v>
      </c>
      <c r="F48" s="12">
        <v>46044</v>
      </c>
      <c r="G48" s="13">
        <v>0.77083333333333337</v>
      </c>
      <c r="H48" s="2" t="s">
        <v>71</v>
      </c>
      <c r="I48" s="2" t="s">
        <v>54</v>
      </c>
      <c r="J48" s="2">
        <v>60</v>
      </c>
      <c r="K48" s="14">
        <f>VLOOKUP($C48,Sheet1!$A$2:$D$10,4,0)</f>
        <v>2</v>
      </c>
      <c r="L48" s="14" t="str">
        <f>VLOOKUP($C48,Sheet1!$A$2:$E$10,5,0)</f>
        <v>Bin</v>
      </c>
      <c r="M48" s="14">
        <f t="shared" si="9"/>
        <v>30</v>
      </c>
      <c r="N48" s="2"/>
      <c r="O48" s="2" t="s">
        <v>122</v>
      </c>
      <c r="P48" s="2" t="s">
        <v>1902</v>
      </c>
    </row>
    <row r="49" spans="1:16" x14ac:dyDescent="0.25">
      <c r="A49" s="17" t="s">
        <v>1065</v>
      </c>
      <c r="B49" s="2" t="s">
        <v>1041</v>
      </c>
      <c r="C49" s="27" t="s">
        <v>23</v>
      </c>
      <c r="D49" s="2" t="str">
        <f>VLOOKUP($C49,Sheet1!$A$2:$D$10,2,0)</f>
        <v>141186-74360</v>
      </c>
      <c r="E49" s="8" t="s">
        <v>85</v>
      </c>
      <c r="F49" s="12">
        <v>46044</v>
      </c>
      <c r="G49" s="13">
        <v>0.77083333333333337</v>
      </c>
      <c r="H49" s="2" t="s">
        <v>71</v>
      </c>
      <c r="I49" s="2" t="s">
        <v>54</v>
      </c>
      <c r="J49" s="2">
        <v>80</v>
      </c>
      <c r="K49" s="14">
        <f>VLOOKUP($C49,Sheet1!$A$2:$D$10,4,0)</f>
        <v>40</v>
      </c>
      <c r="L49" s="14" t="str">
        <f>VLOOKUP($C49,Sheet1!$A$2:$E$10,5,0)</f>
        <v>Trolley</v>
      </c>
      <c r="M49" s="14"/>
      <c r="N49" s="2">
        <f>J49/K49</f>
        <v>2</v>
      </c>
      <c r="O49" s="2" t="s">
        <v>122</v>
      </c>
      <c r="P49" s="2">
        <v>910106267</v>
      </c>
    </row>
    <row r="50" spans="1:16" x14ac:dyDescent="0.25">
      <c r="A50" s="17" t="s">
        <v>1066</v>
      </c>
      <c r="B50" s="2" t="s">
        <v>1046</v>
      </c>
      <c r="C50" s="27" t="s">
        <v>26</v>
      </c>
      <c r="D50" s="2" t="str">
        <f>VLOOKUP($C50,Sheet1!$A$2:$D$10,2,0)</f>
        <v>116040-92240</v>
      </c>
      <c r="E50" s="8" t="s">
        <v>90</v>
      </c>
      <c r="F50" s="12">
        <v>46044</v>
      </c>
      <c r="G50" s="13">
        <v>0.77083333333333337</v>
      </c>
      <c r="H50" s="2" t="s">
        <v>91</v>
      </c>
      <c r="I50" s="2" t="s">
        <v>54</v>
      </c>
      <c r="J50" s="2">
        <v>60</v>
      </c>
      <c r="K50" s="14">
        <f>VLOOKUP($C50,Sheet1!$A$2:$D$10,4,0)</f>
        <v>6</v>
      </c>
      <c r="L50" s="14" t="str">
        <f>VLOOKUP($C50,Sheet1!$A$2:$E$10,5,0)</f>
        <v>Bin</v>
      </c>
      <c r="M50" s="14">
        <f t="shared" ref="M50:M52" si="10">J50/K50</f>
        <v>10</v>
      </c>
      <c r="N50" s="2"/>
      <c r="O50" s="2" t="s">
        <v>122</v>
      </c>
      <c r="P50" s="2" t="s">
        <v>1893</v>
      </c>
    </row>
    <row r="51" spans="1:16" x14ac:dyDescent="0.25">
      <c r="A51" s="17" t="s">
        <v>1066</v>
      </c>
      <c r="B51" s="2" t="s">
        <v>1051</v>
      </c>
      <c r="C51" s="27" t="s">
        <v>32</v>
      </c>
      <c r="D51" s="2" t="str">
        <f>VLOOKUP($C51,Sheet1!$A$2:$D$10,2,0)</f>
        <v>114010-50820</v>
      </c>
      <c r="E51" s="8" t="s">
        <v>98</v>
      </c>
      <c r="F51" s="12">
        <v>46044</v>
      </c>
      <c r="G51" s="13">
        <v>0.77083333333333337</v>
      </c>
      <c r="H51" s="2" t="s">
        <v>91</v>
      </c>
      <c r="I51" s="2" t="s">
        <v>54</v>
      </c>
      <c r="J51" s="2">
        <v>19</v>
      </c>
      <c r="K51" s="14">
        <f>VLOOKUP($C51,Sheet1!$A$2:$D$10,4,0)</f>
        <v>1</v>
      </c>
      <c r="L51" s="14" t="str">
        <f>VLOOKUP($C51,Sheet1!$A$2:$E$10,5,0)</f>
        <v>Bin</v>
      </c>
      <c r="M51" s="14">
        <f t="shared" si="10"/>
        <v>19</v>
      </c>
      <c r="N51" s="2"/>
      <c r="O51" s="2" t="s">
        <v>122</v>
      </c>
      <c r="P51" s="2" t="s">
        <v>739</v>
      </c>
    </row>
    <row r="52" spans="1:16" x14ac:dyDescent="0.25">
      <c r="A52" s="17" t="s">
        <v>1066</v>
      </c>
      <c r="B52" s="2" t="s">
        <v>1056</v>
      </c>
      <c r="C52" s="27" t="s">
        <v>29</v>
      </c>
      <c r="D52" s="2" t="str">
        <f>VLOOKUP($C52,Sheet1!$A$2:$D$10,2,0)</f>
        <v>114010-50830</v>
      </c>
      <c r="E52" s="8" t="s">
        <v>98</v>
      </c>
      <c r="F52" s="12">
        <v>46044</v>
      </c>
      <c r="G52" s="13">
        <v>0.77083333333333337</v>
      </c>
      <c r="H52" s="2" t="s">
        <v>91</v>
      </c>
      <c r="I52" s="2" t="s">
        <v>54</v>
      </c>
      <c r="J52" s="2">
        <v>42</v>
      </c>
      <c r="K52" s="14">
        <f>VLOOKUP($C52,Sheet1!$A$2:$D$10,4,0)</f>
        <v>1</v>
      </c>
      <c r="L52" s="14" t="str">
        <f>VLOOKUP($C52,Sheet1!$A$2:$E$10,5,0)</f>
        <v>Bin</v>
      </c>
      <c r="M52" s="14">
        <f t="shared" si="10"/>
        <v>42</v>
      </c>
      <c r="N52" s="2"/>
      <c r="O52" s="2" t="s">
        <v>122</v>
      </c>
      <c r="P52" s="2" t="s">
        <v>1899</v>
      </c>
    </row>
    <row r="53" spans="1:16" s="11" customForma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>
        <v>131</v>
      </c>
      <c r="N53" s="10">
        <v>8</v>
      </c>
      <c r="O53" s="10"/>
      <c r="P53" s="10"/>
    </row>
    <row r="54" spans="1:16" x14ac:dyDescent="0.25">
      <c r="A54" s="17" t="s">
        <v>1067</v>
      </c>
      <c r="B54" s="2" t="s">
        <v>1016</v>
      </c>
      <c r="C54" s="27" t="s">
        <v>5</v>
      </c>
      <c r="D54" s="2" t="str">
        <f>VLOOKUP($C54,Sheet1!$A$2:$D$10,2,0)</f>
        <v>141110-14600</v>
      </c>
      <c r="E54" s="8" t="s">
        <v>52</v>
      </c>
      <c r="F54" s="12">
        <v>46044</v>
      </c>
      <c r="G54" s="13">
        <v>0.77083333333333337</v>
      </c>
      <c r="H54" s="2" t="s">
        <v>53</v>
      </c>
      <c r="I54" s="2" t="s">
        <v>54</v>
      </c>
      <c r="J54" s="2">
        <v>18</v>
      </c>
      <c r="K54" s="14">
        <f>VLOOKUP($C54,Sheet1!$A$2:$D$10,4,0)</f>
        <v>18</v>
      </c>
      <c r="L54" s="14" t="str">
        <f>VLOOKUP($C54,Sheet1!$A$2:$E$10,5,0)</f>
        <v>Trolley (H)</v>
      </c>
      <c r="M54" s="14"/>
      <c r="N54" s="52">
        <v>1</v>
      </c>
      <c r="O54" s="2" t="s">
        <v>359</v>
      </c>
      <c r="P54" s="2" t="s">
        <v>1903</v>
      </c>
    </row>
    <row r="55" spans="1:16" x14ac:dyDescent="0.25">
      <c r="A55" s="17" t="s">
        <v>1067</v>
      </c>
      <c r="B55" s="2" t="s">
        <v>1021</v>
      </c>
      <c r="C55" s="27" t="s">
        <v>9</v>
      </c>
      <c r="D55" s="2" t="str">
        <f>VLOOKUP($C55,Sheet1!$A$2:$D$10,2,0)</f>
        <v>141120-14600</v>
      </c>
      <c r="E55" s="8" t="s">
        <v>60</v>
      </c>
      <c r="F55" s="12">
        <v>46044</v>
      </c>
      <c r="G55" s="13">
        <v>0.77083333333333337</v>
      </c>
      <c r="H55" s="2" t="s">
        <v>53</v>
      </c>
      <c r="I55" s="2" t="s">
        <v>54</v>
      </c>
      <c r="J55" s="2">
        <v>18</v>
      </c>
      <c r="K55" s="14">
        <f>VLOOKUP($C55,Sheet1!$A$2:$D$10,4,0)</f>
        <v>18</v>
      </c>
      <c r="L55" s="14" t="str">
        <f>VLOOKUP($C55,Sheet1!$A$2:$E$10,5,0)</f>
        <v>Trolley (H)</v>
      </c>
      <c r="M55" s="14"/>
      <c r="N55" s="53"/>
      <c r="O55" s="2" t="s">
        <v>359</v>
      </c>
      <c r="P55" s="2" t="s">
        <v>1903</v>
      </c>
    </row>
    <row r="56" spans="1:16" ht="15.75" thickBot="1" x14ac:dyDescent="0.3">
      <c r="A56" s="17" t="s">
        <v>1067</v>
      </c>
      <c r="B56" s="2" t="s">
        <v>1041</v>
      </c>
      <c r="C56" s="27" t="s">
        <v>23</v>
      </c>
      <c r="D56" s="2" t="str">
        <f>VLOOKUP($C56,Sheet1!$A$2:$D$10,2,0)</f>
        <v>141186-74360</v>
      </c>
      <c r="E56" s="8" t="s">
        <v>85</v>
      </c>
      <c r="F56" s="12">
        <v>46044</v>
      </c>
      <c r="G56" s="25">
        <v>0.77083333333333337</v>
      </c>
      <c r="H56" s="2" t="s">
        <v>71</v>
      </c>
      <c r="I56" s="2" t="s">
        <v>54</v>
      </c>
      <c r="J56" s="2">
        <v>40</v>
      </c>
      <c r="K56" s="14">
        <f>VLOOKUP($C56,Sheet1!$A$2:$D$10,4,0)</f>
        <v>40</v>
      </c>
      <c r="L56" s="14" t="str">
        <f>VLOOKUP($C56,Sheet1!$A$2:$E$10,5,0)</f>
        <v>Trolley</v>
      </c>
      <c r="M56" s="14"/>
      <c r="N56" s="2">
        <f>J56/K56</f>
        <v>1</v>
      </c>
      <c r="O56" s="2" t="s">
        <v>359</v>
      </c>
      <c r="P56" s="2">
        <v>910106826</v>
      </c>
    </row>
    <row r="57" spans="1:16" ht="15.75" thickTop="1" x14ac:dyDescent="0.25">
      <c r="A57" s="17" t="s">
        <v>1068</v>
      </c>
      <c r="B57" s="2" t="s">
        <v>1042</v>
      </c>
      <c r="C57" s="27" t="s">
        <v>23</v>
      </c>
      <c r="D57" s="2" t="str">
        <f>VLOOKUP($C57,Sheet1!$A$2:$D$10,2,0)</f>
        <v>141186-74360</v>
      </c>
      <c r="E57" s="8" t="s">
        <v>85</v>
      </c>
      <c r="F57" s="12">
        <v>46044</v>
      </c>
      <c r="G57" s="23">
        <v>0.97916666666666663</v>
      </c>
      <c r="H57" s="2" t="s">
        <v>71</v>
      </c>
      <c r="I57" s="2" t="s">
        <v>54</v>
      </c>
      <c r="J57" s="2">
        <v>40</v>
      </c>
      <c r="K57" s="14">
        <f>VLOOKUP($C57,Sheet1!$A$2:$D$10,4,0)</f>
        <v>40</v>
      </c>
      <c r="L57" s="14" t="str">
        <f>VLOOKUP($C57,Sheet1!$A$2:$E$10,5,0)</f>
        <v>Trolley</v>
      </c>
      <c r="M57" s="14"/>
      <c r="N57" s="2">
        <f>J57/K57</f>
        <v>1</v>
      </c>
      <c r="O57" s="2" t="s">
        <v>359</v>
      </c>
      <c r="P57" s="2">
        <v>910106826</v>
      </c>
    </row>
    <row r="58" spans="1:16" s="11" customForma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v>3</v>
      </c>
      <c r="O58" s="10"/>
      <c r="P58" s="10"/>
    </row>
    <row r="59" spans="1:16" x14ac:dyDescent="0.25">
      <c r="A59" s="17" t="s">
        <v>1069</v>
      </c>
      <c r="B59" s="2" t="s">
        <v>1017</v>
      </c>
      <c r="C59" s="27" t="s">
        <v>5</v>
      </c>
      <c r="D59" s="2" t="str">
        <f>VLOOKUP($C59,Sheet1!$A$2:$D$10,2,0)</f>
        <v>141110-14600</v>
      </c>
      <c r="E59" s="8" t="s">
        <v>52</v>
      </c>
      <c r="F59" s="12">
        <v>46044</v>
      </c>
      <c r="G59" s="13">
        <v>0.97916666666666663</v>
      </c>
      <c r="H59" s="2" t="s">
        <v>53</v>
      </c>
      <c r="I59" s="2" t="s">
        <v>54</v>
      </c>
      <c r="J59" s="2">
        <v>54</v>
      </c>
      <c r="K59" s="14">
        <f>VLOOKUP($C59,Sheet1!$A$2:$D$10,4,0)</f>
        <v>18</v>
      </c>
      <c r="L59" s="14" t="str">
        <f>VLOOKUP($C59,Sheet1!$A$2:$E$10,5,0)</f>
        <v>Trolley (H)</v>
      </c>
      <c r="M59" s="14"/>
      <c r="N59" s="52">
        <v>3</v>
      </c>
      <c r="O59" s="2" t="s">
        <v>121</v>
      </c>
      <c r="P59" s="2" t="s">
        <v>1903</v>
      </c>
    </row>
    <row r="60" spans="1:16" x14ac:dyDescent="0.25">
      <c r="A60" s="17" t="s">
        <v>1069</v>
      </c>
      <c r="B60" s="2" t="s">
        <v>1022</v>
      </c>
      <c r="C60" s="27" t="s">
        <v>9</v>
      </c>
      <c r="D60" s="2" t="str">
        <f>VLOOKUP($C60,Sheet1!$A$2:$D$10,2,0)</f>
        <v>141120-14600</v>
      </c>
      <c r="E60" s="8" t="s">
        <v>60</v>
      </c>
      <c r="F60" s="12">
        <v>46044</v>
      </c>
      <c r="G60" s="13">
        <v>0.97916666666666663</v>
      </c>
      <c r="H60" s="2" t="s">
        <v>53</v>
      </c>
      <c r="I60" s="2" t="s">
        <v>54</v>
      </c>
      <c r="J60" s="2">
        <v>54</v>
      </c>
      <c r="K60" s="14">
        <f>VLOOKUP($C60,Sheet1!$A$2:$D$10,4,0)</f>
        <v>18</v>
      </c>
      <c r="L60" s="14" t="str">
        <f>VLOOKUP($C60,Sheet1!$A$2:$E$10,5,0)</f>
        <v>Trolley (H)</v>
      </c>
      <c r="M60" s="14"/>
      <c r="N60" s="53"/>
      <c r="O60" s="2" t="s">
        <v>121</v>
      </c>
      <c r="P60" s="2" t="s">
        <v>1903</v>
      </c>
    </row>
    <row r="61" spans="1:16" x14ac:dyDescent="0.25">
      <c r="A61" s="17" t="s">
        <v>1069</v>
      </c>
      <c r="B61" s="2" t="s">
        <v>1027</v>
      </c>
      <c r="C61" s="27" t="s">
        <v>12</v>
      </c>
      <c r="D61" s="2" t="str">
        <f>VLOOKUP($C61,Sheet1!$A$2:$D$10,2,0)</f>
        <v>141185-74670</v>
      </c>
      <c r="E61" s="8" t="s">
        <v>66</v>
      </c>
      <c r="F61" s="12">
        <v>46044</v>
      </c>
      <c r="G61" s="13">
        <v>0.97916666666666663</v>
      </c>
      <c r="H61" s="2" t="s">
        <v>53</v>
      </c>
      <c r="I61" s="2" t="s">
        <v>54</v>
      </c>
      <c r="J61" s="2">
        <v>120</v>
      </c>
      <c r="K61" s="14">
        <f>VLOOKUP($C61,Sheet1!$A$2:$D$10,4,0)</f>
        <v>40</v>
      </c>
      <c r="L61" s="14" t="str">
        <f>VLOOKUP($C61,Sheet1!$A$2:$E$10,5,0)</f>
        <v>Trolley</v>
      </c>
      <c r="M61" s="14"/>
      <c r="N61" s="2">
        <f>J61/K61</f>
        <v>3</v>
      </c>
      <c r="O61" s="2" t="s">
        <v>121</v>
      </c>
      <c r="P61" s="2">
        <v>910106826</v>
      </c>
    </row>
    <row r="62" spans="1:16" x14ac:dyDescent="0.25">
      <c r="A62" s="17" t="s">
        <v>1069</v>
      </c>
      <c r="B62" s="2" t="s">
        <v>1032</v>
      </c>
      <c r="C62" s="27" t="s">
        <v>16</v>
      </c>
      <c r="D62" s="2" t="str">
        <f>VLOOKUP($C62,Sheet1!$A$2:$D$10,2,0)</f>
        <v>141140-91211</v>
      </c>
      <c r="E62" s="8" t="s">
        <v>70</v>
      </c>
      <c r="F62" s="12">
        <v>46044</v>
      </c>
      <c r="G62" s="13">
        <v>0.97916666666666663</v>
      </c>
      <c r="H62" s="2" t="s">
        <v>71</v>
      </c>
      <c r="I62" s="2" t="s">
        <v>54</v>
      </c>
      <c r="J62" s="2">
        <v>62</v>
      </c>
      <c r="K62" s="14">
        <f>VLOOKUP($C62,Sheet1!$A$2:$D$10,4,0)</f>
        <v>2</v>
      </c>
      <c r="L62" s="14" t="str">
        <f>VLOOKUP($C62,Sheet1!$A$2:$E$10,5,0)</f>
        <v>Bin</v>
      </c>
      <c r="M62" s="14">
        <f t="shared" ref="M62:M63" si="11">J62/K62</f>
        <v>31</v>
      </c>
      <c r="N62" s="2"/>
      <c r="O62" s="2" t="s">
        <v>121</v>
      </c>
      <c r="P62" s="2" t="s">
        <v>420</v>
      </c>
    </row>
    <row r="63" spans="1:16" x14ac:dyDescent="0.25">
      <c r="A63" s="17" t="s">
        <v>1069</v>
      </c>
      <c r="B63" s="2" t="s">
        <v>1037</v>
      </c>
      <c r="C63" s="27" t="s">
        <v>20</v>
      </c>
      <c r="D63" s="2" t="str">
        <f>VLOOKUP($C63,Sheet1!$A$2:$D$10,2,0)</f>
        <v>141150-91211</v>
      </c>
      <c r="E63" s="8" t="s">
        <v>78</v>
      </c>
      <c r="F63" s="12">
        <v>46044</v>
      </c>
      <c r="G63" s="13">
        <v>0.97916666666666663</v>
      </c>
      <c r="H63" s="2" t="s">
        <v>71</v>
      </c>
      <c r="I63" s="2" t="s">
        <v>54</v>
      </c>
      <c r="J63" s="2">
        <v>62</v>
      </c>
      <c r="K63" s="14">
        <f>VLOOKUP($C63,Sheet1!$A$2:$D$10,4,0)</f>
        <v>2</v>
      </c>
      <c r="L63" s="14" t="str">
        <f>VLOOKUP($C63,Sheet1!$A$2:$E$10,5,0)</f>
        <v>Bin</v>
      </c>
      <c r="M63" s="14">
        <f t="shared" si="11"/>
        <v>31</v>
      </c>
      <c r="N63" s="2"/>
      <c r="O63" s="2" t="s">
        <v>121</v>
      </c>
      <c r="P63" s="2" t="s">
        <v>420</v>
      </c>
    </row>
    <row r="64" spans="1:16" x14ac:dyDescent="0.25">
      <c r="A64" s="17" t="s">
        <v>1069</v>
      </c>
      <c r="B64" s="2" t="s">
        <v>1042</v>
      </c>
      <c r="C64" s="27" t="s">
        <v>23</v>
      </c>
      <c r="D64" s="2" t="str">
        <f>VLOOKUP($C64,Sheet1!$A$2:$D$10,2,0)</f>
        <v>141186-74360</v>
      </c>
      <c r="E64" s="8" t="s">
        <v>85</v>
      </c>
      <c r="F64" s="12">
        <v>46044</v>
      </c>
      <c r="G64" s="13">
        <v>0.97916666666666663</v>
      </c>
      <c r="H64" s="2" t="s">
        <v>71</v>
      </c>
      <c r="I64" s="2" t="s">
        <v>54</v>
      </c>
      <c r="J64" s="2">
        <v>120</v>
      </c>
      <c r="K64" s="14">
        <f>VLOOKUP($C64,Sheet1!$A$2:$D$10,4,0)</f>
        <v>40</v>
      </c>
      <c r="L64" s="14" t="str">
        <f>VLOOKUP($C64,Sheet1!$A$2:$E$10,5,0)</f>
        <v>Trolley</v>
      </c>
      <c r="M64" s="14"/>
      <c r="N64" s="2">
        <f>J64/K64</f>
        <v>3</v>
      </c>
      <c r="O64" s="2" t="s">
        <v>121</v>
      </c>
      <c r="P64" s="2">
        <v>910106827</v>
      </c>
    </row>
    <row r="65" spans="1:16" x14ac:dyDescent="0.25">
      <c r="A65" s="17" t="s">
        <v>1070</v>
      </c>
      <c r="B65" s="2" t="s">
        <v>1047</v>
      </c>
      <c r="C65" s="27" t="s">
        <v>26</v>
      </c>
      <c r="D65" s="2" t="str">
        <f>VLOOKUP($C65,Sheet1!$A$2:$D$10,2,0)</f>
        <v>116040-92240</v>
      </c>
      <c r="E65" s="8" t="s">
        <v>90</v>
      </c>
      <c r="F65" s="12">
        <v>46044</v>
      </c>
      <c r="G65" s="13">
        <v>0.97916666666666663</v>
      </c>
      <c r="H65" s="2" t="s">
        <v>91</v>
      </c>
      <c r="I65" s="2" t="s">
        <v>54</v>
      </c>
      <c r="J65" s="2">
        <v>66</v>
      </c>
      <c r="K65" s="14">
        <f>VLOOKUP($C65,Sheet1!$A$2:$D$10,4,0)</f>
        <v>6</v>
      </c>
      <c r="L65" s="14" t="str">
        <f>VLOOKUP($C65,Sheet1!$A$2:$E$10,5,0)</f>
        <v>Bin</v>
      </c>
      <c r="M65" s="14">
        <f t="shared" ref="M65:M67" si="12">J65/K65</f>
        <v>11</v>
      </c>
      <c r="N65" s="2"/>
      <c r="O65" s="2" t="s">
        <v>121</v>
      </c>
      <c r="P65" s="2" t="s">
        <v>1893</v>
      </c>
    </row>
    <row r="66" spans="1:16" x14ac:dyDescent="0.25">
      <c r="A66" s="17" t="s">
        <v>1070</v>
      </c>
      <c r="B66" s="2" t="s">
        <v>1052</v>
      </c>
      <c r="C66" s="27" t="s">
        <v>32</v>
      </c>
      <c r="D66" s="2" t="str">
        <f>VLOOKUP($C66,Sheet1!$A$2:$D$10,2,0)</f>
        <v>114010-50820</v>
      </c>
      <c r="E66" s="8" t="s">
        <v>98</v>
      </c>
      <c r="F66" s="12">
        <v>46044</v>
      </c>
      <c r="G66" s="13">
        <v>0.97916666666666663</v>
      </c>
      <c r="H66" s="2" t="s">
        <v>91</v>
      </c>
      <c r="I66" s="2" t="s">
        <v>54</v>
      </c>
      <c r="J66" s="2">
        <v>18</v>
      </c>
      <c r="K66" s="14">
        <f>VLOOKUP($C66,Sheet1!$A$2:$D$10,4,0)</f>
        <v>1</v>
      </c>
      <c r="L66" s="14" t="str">
        <f>VLOOKUP($C66,Sheet1!$A$2:$E$10,5,0)</f>
        <v>Bin</v>
      </c>
      <c r="M66" s="14">
        <f t="shared" si="12"/>
        <v>18</v>
      </c>
      <c r="N66" s="2"/>
      <c r="O66" s="2" t="s">
        <v>121</v>
      </c>
      <c r="P66" s="2" t="s">
        <v>739</v>
      </c>
    </row>
    <row r="67" spans="1:16" x14ac:dyDescent="0.25">
      <c r="A67" s="17" t="s">
        <v>1070</v>
      </c>
      <c r="B67" s="2" t="s">
        <v>1057</v>
      </c>
      <c r="C67" s="27" t="s">
        <v>29</v>
      </c>
      <c r="D67" s="2" t="str">
        <f>VLOOKUP($C67,Sheet1!$A$2:$D$10,2,0)</f>
        <v>114010-50830</v>
      </c>
      <c r="E67" s="8" t="s">
        <v>98</v>
      </c>
      <c r="F67" s="12">
        <v>46044</v>
      </c>
      <c r="G67" s="13">
        <v>0.97916666666666663</v>
      </c>
      <c r="H67" s="2" t="s">
        <v>91</v>
      </c>
      <c r="I67" s="2" t="s">
        <v>54</v>
      </c>
      <c r="J67" s="2">
        <v>19</v>
      </c>
      <c r="K67" s="14">
        <f>VLOOKUP($C67,Sheet1!$A$2:$D$10,4,0)</f>
        <v>1</v>
      </c>
      <c r="L67" s="14" t="str">
        <f>VLOOKUP($C67,Sheet1!$A$2:$E$10,5,0)</f>
        <v>Bin</v>
      </c>
      <c r="M67" s="14">
        <f t="shared" si="12"/>
        <v>19</v>
      </c>
      <c r="N67" s="2"/>
      <c r="O67" s="2" t="s">
        <v>121</v>
      </c>
      <c r="P67" s="2" t="s">
        <v>1899</v>
      </c>
    </row>
    <row r="68" spans="1:16" s="11" customForma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110</v>
      </c>
      <c r="N68" s="10">
        <v>9</v>
      </c>
      <c r="O68" s="10"/>
      <c r="P68" s="10"/>
    </row>
    <row r="69" spans="1:16" x14ac:dyDescent="0.25">
      <c r="A69" s="2"/>
      <c r="B69" s="2"/>
      <c r="C69" s="2"/>
      <c r="D69" s="2"/>
      <c r="E69" s="8"/>
      <c r="F69" s="12"/>
      <c r="G69" s="13"/>
      <c r="H69" s="2"/>
      <c r="I69" s="2"/>
      <c r="J69" s="2"/>
      <c r="K69" s="14"/>
      <c r="L69" s="14"/>
      <c r="M69" s="14"/>
      <c r="N69" s="2"/>
      <c r="O69" s="2"/>
      <c r="P69" s="2"/>
    </row>
  </sheetData>
  <autoFilter ref="A3:P68" xr:uid="{A1226F88-555E-4856-8BA9-501DB0B16CA7}">
    <sortState xmlns:xlrd2="http://schemas.microsoft.com/office/spreadsheetml/2017/richdata2" ref="A4:P67">
      <sortCondition ref="G3"/>
    </sortState>
  </autoFilter>
  <mergeCells count="10">
    <mergeCell ref="N59:N60"/>
    <mergeCell ref="N16:N17"/>
    <mergeCell ref="N54:N55"/>
    <mergeCell ref="A1:F1"/>
    <mergeCell ref="J1:N1"/>
    <mergeCell ref="L2:N2"/>
    <mergeCell ref="N4:N5"/>
    <mergeCell ref="N29:N30"/>
    <mergeCell ref="N37:N38"/>
    <mergeCell ref="N44:N45"/>
  </mergeCells>
  <conditionalFormatting sqref="B2">
    <cfRule type="duplicateValues" dxfId="51" priority="2"/>
    <cfRule type="duplicateValues" dxfId="50" priority="3"/>
  </conditionalFormatting>
  <conditionalFormatting sqref="B37:B42 B4:B14 B16:B27 B44:B52 B54:B57 B59:B67 B69 B29:B35">
    <cfRule type="duplicateValues" dxfId="49" priority="24"/>
  </conditionalFormatting>
  <conditionalFormatting sqref="C2:D2">
    <cfRule type="duplicateValues" dxfId="48" priority="4"/>
    <cfRule type="duplicateValues" dxfId="47" priority="5"/>
  </conditionalFormatting>
  <pageMargins left="0.17" right="0.17" top="0.17" bottom="0.17" header="0.3" footer="0.3"/>
  <pageSetup paperSize="9" scale="1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D268-3C4F-42AC-A8E5-D896D5B33AFA}">
  <sheetPr>
    <tabColor rgb="FF00B050"/>
    <pageSetUpPr fitToPage="1"/>
  </sheetPr>
  <dimension ref="A1:P73"/>
  <sheetViews>
    <sheetView topLeftCell="A43" zoomScaleNormal="100" workbookViewId="0">
      <selection activeCell="P63" sqref="P63:P65"/>
    </sheetView>
  </sheetViews>
  <sheetFormatPr defaultColWidth="57" defaultRowHeight="15" x14ac:dyDescent="0.25"/>
  <cols>
    <col min="1" max="1" width="15.42578125" bestFit="1" customWidth="1"/>
    <col min="2" max="2" width="17" bestFit="1" customWidth="1"/>
    <col min="3" max="3" width="14.140625" bestFit="1" customWidth="1"/>
    <col min="4" max="4" width="14.140625" customWidth="1"/>
    <col min="5" max="5" width="32.5703125" bestFit="1" customWidth="1"/>
    <col min="6" max="6" width="9.85546875" customWidth="1"/>
    <col min="7" max="7" width="7.7109375" bestFit="1" customWidth="1"/>
    <col min="8" max="8" width="10.7109375" bestFit="1" customWidth="1"/>
    <col min="9" max="9" width="4.7109375" bestFit="1" customWidth="1"/>
    <col min="10" max="10" width="5.28515625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85546875" customWidth="1"/>
    <col min="16" max="16" width="43.710937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46045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1116</v>
      </c>
      <c r="B4" s="2" t="s">
        <v>1071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46045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119</v>
      </c>
      <c r="P4" s="2" t="s">
        <v>1903</v>
      </c>
    </row>
    <row r="5" spans="1:16" x14ac:dyDescent="0.25">
      <c r="A5" s="17" t="s">
        <v>1116</v>
      </c>
      <c r="B5" s="2" t="s">
        <v>1076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46045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119</v>
      </c>
      <c r="P5" s="2" t="s">
        <v>1903</v>
      </c>
    </row>
    <row r="6" spans="1:16" x14ac:dyDescent="0.25">
      <c r="A6" s="17" t="s">
        <v>1116</v>
      </c>
      <c r="B6" s="2" t="s">
        <v>1081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46045</v>
      </c>
      <c r="G6" s="13">
        <v>0.35416666666666669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119</v>
      </c>
      <c r="P6" s="2">
        <v>910106826</v>
      </c>
    </row>
    <row r="7" spans="1:16" x14ac:dyDescent="0.25">
      <c r="A7" s="17" t="s">
        <v>1116</v>
      </c>
      <c r="B7" s="2" t="s">
        <v>1082</v>
      </c>
      <c r="C7" s="27" t="s">
        <v>12</v>
      </c>
      <c r="D7" s="2" t="str">
        <f>VLOOKUP($C7,Sheet1!$A$2:$D$10,2,0)</f>
        <v>141185-74670</v>
      </c>
      <c r="E7" s="8" t="s">
        <v>66</v>
      </c>
      <c r="F7" s="12">
        <v>46045</v>
      </c>
      <c r="G7" s="13">
        <v>0.35416666666666669</v>
      </c>
      <c r="H7" s="2" t="s">
        <v>53</v>
      </c>
      <c r="I7" s="2" t="s">
        <v>54</v>
      </c>
      <c r="J7" s="2">
        <v>40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1</v>
      </c>
      <c r="O7" s="2" t="s">
        <v>119</v>
      </c>
      <c r="P7" s="2">
        <v>910106826</v>
      </c>
    </row>
    <row r="8" spans="1:16" x14ac:dyDescent="0.25">
      <c r="A8" s="17" t="s">
        <v>1116</v>
      </c>
      <c r="B8" s="2" t="s">
        <v>1086</v>
      </c>
      <c r="C8" s="27" t="s">
        <v>16</v>
      </c>
      <c r="D8" s="2" t="str">
        <f>VLOOKUP($C8,Sheet1!$A$2:$D$10,2,0)</f>
        <v>141140-91211</v>
      </c>
      <c r="E8" s="8" t="s">
        <v>70</v>
      </c>
      <c r="F8" s="12">
        <v>46045</v>
      </c>
      <c r="G8" s="13">
        <v>0.35416666666666669</v>
      </c>
      <c r="H8" s="2" t="s">
        <v>71</v>
      </c>
      <c r="I8" s="2" t="s">
        <v>54</v>
      </c>
      <c r="J8" s="2">
        <v>50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25</v>
      </c>
      <c r="N8" s="2"/>
      <c r="O8" s="2" t="s">
        <v>119</v>
      </c>
      <c r="P8" s="2" t="s">
        <v>420</v>
      </c>
    </row>
    <row r="9" spans="1:16" x14ac:dyDescent="0.25">
      <c r="A9" s="17" t="s">
        <v>1116</v>
      </c>
      <c r="B9" s="2" t="s">
        <v>1091</v>
      </c>
      <c r="C9" s="27" t="s">
        <v>20</v>
      </c>
      <c r="D9" s="2" t="str">
        <f>VLOOKUP($C9,Sheet1!$A$2:$D$10,2,0)</f>
        <v>141150-91211</v>
      </c>
      <c r="E9" s="8" t="s">
        <v>78</v>
      </c>
      <c r="F9" s="12">
        <v>46045</v>
      </c>
      <c r="G9" s="13">
        <v>0.35416666666666669</v>
      </c>
      <c r="H9" s="2" t="s">
        <v>71</v>
      </c>
      <c r="I9" s="2" t="s">
        <v>54</v>
      </c>
      <c r="J9" s="2">
        <v>50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" si="0">J9/K9</f>
        <v>25</v>
      </c>
      <c r="N9" s="2"/>
      <c r="O9" s="2" t="s">
        <v>119</v>
      </c>
      <c r="P9" s="2" t="s">
        <v>420</v>
      </c>
    </row>
    <row r="10" spans="1:16" x14ac:dyDescent="0.25">
      <c r="A10" s="17" t="s">
        <v>1116</v>
      </c>
      <c r="B10" s="2" t="s">
        <v>1096</v>
      </c>
      <c r="C10" s="27" t="s">
        <v>23</v>
      </c>
      <c r="D10" s="2" t="str">
        <f>VLOOKUP($C10,Sheet1!$A$2:$D$10,2,0)</f>
        <v>141186-74360</v>
      </c>
      <c r="E10" s="8" t="s">
        <v>85</v>
      </c>
      <c r="F10" s="12">
        <v>46045</v>
      </c>
      <c r="G10" s="13">
        <v>0.35416666666666669</v>
      </c>
      <c r="H10" s="2" t="s">
        <v>71</v>
      </c>
      <c r="I10" s="2" t="s">
        <v>54</v>
      </c>
      <c r="J10" s="2">
        <v>80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 t="shared" ref="N10" si="1">J10/K10</f>
        <v>2</v>
      </c>
      <c r="O10" s="2" t="s">
        <v>119</v>
      </c>
      <c r="P10" s="2">
        <v>910106827</v>
      </c>
    </row>
    <row r="11" spans="1:16" x14ac:dyDescent="0.25">
      <c r="A11" s="17" t="s">
        <v>1117</v>
      </c>
      <c r="B11" s="2" t="s">
        <v>1101</v>
      </c>
      <c r="C11" s="27" t="s">
        <v>26</v>
      </c>
      <c r="D11" s="2" t="str">
        <f>VLOOKUP($C11,Sheet1!$A$2:$D$10,2,0)</f>
        <v>116040-92240</v>
      </c>
      <c r="E11" s="8" t="s">
        <v>90</v>
      </c>
      <c r="F11" s="12">
        <v>46045</v>
      </c>
      <c r="G11" s="13">
        <v>0.35416666666666669</v>
      </c>
      <c r="H11" s="2" t="s">
        <v>91</v>
      </c>
      <c r="I11" s="2" t="s">
        <v>54</v>
      </c>
      <c r="J11" s="2">
        <v>102</v>
      </c>
      <c r="K11" s="14">
        <f>VLOOKUP($C11,Sheet1!$A$2:$D$10,4,0)</f>
        <v>6</v>
      </c>
      <c r="L11" s="14" t="str">
        <f>VLOOKUP($C11,Sheet1!$A$2:$E$10,5,0)</f>
        <v>Bin</v>
      </c>
      <c r="M11" s="14">
        <f t="shared" ref="M11:M14" si="2">J11/K11</f>
        <v>17</v>
      </c>
      <c r="N11" s="2"/>
      <c r="O11" s="2" t="s">
        <v>119</v>
      </c>
      <c r="P11" s="2" t="s">
        <v>1893</v>
      </c>
    </row>
    <row r="12" spans="1:16" x14ac:dyDescent="0.25">
      <c r="A12" s="17" t="s">
        <v>1117</v>
      </c>
      <c r="B12" s="2" t="s">
        <v>1102</v>
      </c>
      <c r="C12" s="27" t="s">
        <v>26</v>
      </c>
      <c r="D12" s="2" t="str">
        <f>VLOOKUP($C12,Sheet1!$A$2:$D$10,2,0)</f>
        <v>116040-92240</v>
      </c>
      <c r="E12" s="8" t="s">
        <v>90</v>
      </c>
      <c r="F12" s="12">
        <v>46045</v>
      </c>
      <c r="G12" s="13">
        <v>0.35416666666666669</v>
      </c>
      <c r="H12" s="2" t="s">
        <v>91</v>
      </c>
      <c r="I12" s="2" t="s">
        <v>54</v>
      </c>
      <c r="J12" s="2">
        <v>24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si="2"/>
        <v>4</v>
      </c>
      <c r="N12" s="2"/>
      <c r="O12" s="2" t="s">
        <v>119</v>
      </c>
      <c r="P12" s="2" t="s">
        <v>1893</v>
      </c>
    </row>
    <row r="13" spans="1:16" x14ac:dyDescent="0.25">
      <c r="A13" s="17" t="s">
        <v>1117</v>
      </c>
      <c r="B13" s="2" t="s">
        <v>1106</v>
      </c>
      <c r="C13" s="27" t="s">
        <v>32</v>
      </c>
      <c r="D13" s="2" t="str">
        <f>VLOOKUP($C13,Sheet1!$A$2:$D$10,2,0)</f>
        <v>114010-50820</v>
      </c>
      <c r="E13" s="8" t="s">
        <v>98</v>
      </c>
      <c r="F13" s="12">
        <v>46045</v>
      </c>
      <c r="G13" s="13">
        <v>0.35416666666666669</v>
      </c>
      <c r="H13" s="2" t="s">
        <v>91</v>
      </c>
      <c r="I13" s="2" t="s">
        <v>54</v>
      </c>
      <c r="J13" s="2">
        <v>29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2"/>
        <v>29</v>
      </c>
      <c r="N13" s="2"/>
      <c r="O13" s="2" t="s">
        <v>119</v>
      </c>
      <c r="P13" s="2" t="s">
        <v>739</v>
      </c>
    </row>
    <row r="14" spans="1:16" x14ac:dyDescent="0.25">
      <c r="A14" s="17" t="s">
        <v>1117</v>
      </c>
      <c r="B14" s="2" t="s">
        <v>1111</v>
      </c>
      <c r="C14" s="27" t="s">
        <v>29</v>
      </c>
      <c r="D14" s="2" t="str">
        <f>VLOOKUP($C14,Sheet1!$A$2:$D$10,2,0)</f>
        <v>114010-50830</v>
      </c>
      <c r="E14" s="8" t="s">
        <v>98</v>
      </c>
      <c r="F14" s="12">
        <v>46045</v>
      </c>
      <c r="G14" s="13">
        <v>0.35416666666666669</v>
      </c>
      <c r="H14" s="2" t="s">
        <v>91</v>
      </c>
      <c r="I14" s="2" t="s">
        <v>54</v>
      </c>
      <c r="J14" s="2">
        <v>30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2"/>
        <v>30</v>
      </c>
      <c r="N14" s="2"/>
      <c r="O14" s="2" t="s">
        <v>119</v>
      </c>
      <c r="P14" s="2" t="s">
        <v>1899</v>
      </c>
    </row>
    <row r="15" spans="1:16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130</v>
      </c>
      <c r="N15" s="10">
        <v>8</v>
      </c>
      <c r="O15" s="10"/>
      <c r="P15" s="10"/>
    </row>
    <row r="16" spans="1:16" x14ac:dyDescent="0.25">
      <c r="A16" s="17" t="s">
        <v>1118</v>
      </c>
      <c r="B16" s="2" t="s">
        <v>1071</v>
      </c>
      <c r="C16" s="27" t="s">
        <v>5</v>
      </c>
      <c r="D16" s="2" t="str">
        <f>VLOOKUP($C16,Sheet1!$A$2:$D$10,2,0)</f>
        <v>141110-14600</v>
      </c>
      <c r="E16" s="8" t="s">
        <v>52</v>
      </c>
      <c r="F16" s="12">
        <v>46045</v>
      </c>
      <c r="G16" s="13">
        <v>0.35416666666666669</v>
      </c>
      <c r="H16" s="2" t="s">
        <v>53</v>
      </c>
      <c r="I16" s="2" t="s">
        <v>54</v>
      </c>
      <c r="J16" s="2">
        <v>36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2">
        <v>2</v>
      </c>
      <c r="O16" s="2" t="s">
        <v>359</v>
      </c>
      <c r="P16" s="2" t="s">
        <v>1903</v>
      </c>
    </row>
    <row r="17" spans="1:16" x14ac:dyDescent="0.25">
      <c r="A17" s="17" t="s">
        <v>1118</v>
      </c>
      <c r="B17" s="2" t="s">
        <v>1076</v>
      </c>
      <c r="C17" s="27" t="s">
        <v>9</v>
      </c>
      <c r="D17" s="2" t="str">
        <f>VLOOKUP($C17,Sheet1!$A$2:$D$10,2,0)</f>
        <v>141120-14600</v>
      </c>
      <c r="E17" s="8" t="s">
        <v>60</v>
      </c>
      <c r="F17" s="12">
        <v>46045</v>
      </c>
      <c r="G17" s="13">
        <v>0.35416666666666669</v>
      </c>
      <c r="H17" s="2" t="s">
        <v>53</v>
      </c>
      <c r="I17" s="2" t="s">
        <v>54</v>
      </c>
      <c r="J17" s="2">
        <v>36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3"/>
      <c r="O17" s="2" t="s">
        <v>359</v>
      </c>
      <c r="P17" s="2" t="s">
        <v>1903</v>
      </c>
    </row>
    <row r="18" spans="1:16" x14ac:dyDescent="0.25">
      <c r="A18" s="17" t="s">
        <v>1118</v>
      </c>
      <c r="B18" s="2" t="s">
        <v>1072</v>
      </c>
      <c r="C18" s="27" t="s">
        <v>5</v>
      </c>
      <c r="D18" s="2" t="str">
        <f>VLOOKUP($C18,Sheet1!$A$2:$D$10,2,0)</f>
        <v>141110-14600</v>
      </c>
      <c r="E18" s="8" t="s">
        <v>52</v>
      </c>
      <c r="F18" s="12">
        <v>46045</v>
      </c>
      <c r="G18" s="13">
        <v>0.35416666666666669</v>
      </c>
      <c r="H18" s="2" t="s">
        <v>53</v>
      </c>
      <c r="I18" s="2" t="s">
        <v>54</v>
      </c>
      <c r="J18" s="2">
        <v>18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2">
        <v>1</v>
      </c>
      <c r="O18" s="2" t="s">
        <v>359</v>
      </c>
      <c r="P18" s="2" t="s">
        <v>1903</v>
      </c>
    </row>
    <row r="19" spans="1:16" x14ac:dyDescent="0.25">
      <c r="A19" s="17" t="s">
        <v>1118</v>
      </c>
      <c r="B19" s="2" t="s">
        <v>1077</v>
      </c>
      <c r="C19" s="27" t="s">
        <v>9</v>
      </c>
      <c r="D19" s="2" t="str">
        <f>VLOOKUP($C19,Sheet1!$A$2:$D$10,2,0)</f>
        <v>141120-14600</v>
      </c>
      <c r="E19" s="8" t="s">
        <v>60</v>
      </c>
      <c r="F19" s="12">
        <v>46045</v>
      </c>
      <c r="G19" s="13">
        <v>0.35416666666666669</v>
      </c>
      <c r="H19" s="2" t="s">
        <v>53</v>
      </c>
      <c r="I19" s="2" t="s">
        <v>54</v>
      </c>
      <c r="J19" s="2">
        <v>18</v>
      </c>
      <c r="K19" s="14">
        <f>VLOOKUP($C19,Sheet1!$A$2:$D$10,4,0)</f>
        <v>18</v>
      </c>
      <c r="L19" s="14" t="str">
        <f>VLOOKUP($C19,Sheet1!$A$2:$E$10,5,0)</f>
        <v>Trolley (H)</v>
      </c>
      <c r="M19" s="14"/>
      <c r="N19" s="53"/>
      <c r="O19" s="2" t="s">
        <v>359</v>
      </c>
      <c r="P19" s="2" t="s">
        <v>1903</v>
      </c>
    </row>
    <row r="20" spans="1:16" x14ac:dyDescent="0.25">
      <c r="A20" s="17" t="s">
        <v>1118</v>
      </c>
      <c r="B20" s="2" t="s">
        <v>1081</v>
      </c>
      <c r="C20" s="27" t="s">
        <v>12</v>
      </c>
      <c r="D20" s="2" t="str">
        <f>VLOOKUP($C20,Sheet1!$A$2:$D$10,2,0)</f>
        <v>141185-74670</v>
      </c>
      <c r="E20" s="8" t="s">
        <v>66</v>
      </c>
      <c r="F20" s="12">
        <v>46045</v>
      </c>
      <c r="G20" s="13">
        <v>0.35416666666666669</v>
      </c>
      <c r="H20" s="2" t="s">
        <v>53</v>
      </c>
      <c r="I20" s="2" t="s">
        <v>54</v>
      </c>
      <c r="J20" s="2">
        <v>80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2</v>
      </c>
      <c r="O20" s="2" t="s">
        <v>359</v>
      </c>
      <c r="P20" s="2">
        <v>910106826</v>
      </c>
    </row>
    <row r="21" spans="1:16" x14ac:dyDescent="0.25">
      <c r="A21" s="17" t="s">
        <v>1118</v>
      </c>
      <c r="B21" s="2" t="s">
        <v>1087</v>
      </c>
      <c r="C21" s="27" t="s">
        <v>16</v>
      </c>
      <c r="D21" s="2" t="str">
        <f>VLOOKUP($C21,Sheet1!$A$2:$D$10,2,0)</f>
        <v>141140-91211</v>
      </c>
      <c r="E21" s="8" t="s">
        <v>70</v>
      </c>
      <c r="F21" s="12">
        <v>46045</v>
      </c>
      <c r="G21" s="13">
        <v>0.35416666666666669</v>
      </c>
      <c r="H21" s="2" t="s">
        <v>71</v>
      </c>
      <c r="I21" s="2" t="s">
        <v>54</v>
      </c>
      <c r="J21" s="2">
        <v>24</v>
      </c>
      <c r="K21" s="14">
        <f>VLOOKUP($C21,Sheet1!$A$2:$D$10,4,0)</f>
        <v>2</v>
      </c>
      <c r="L21" s="14" t="str">
        <f>VLOOKUP($C21,Sheet1!$A$2:$E$10,5,0)</f>
        <v>Bin</v>
      </c>
      <c r="M21" s="14">
        <f>J21/K21</f>
        <v>12</v>
      </c>
      <c r="N21" s="2"/>
      <c r="O21" s="2" t="s">
        <v>359</v>
      </c>
      <c r="P21" s="2" t="s">
        <v>420</v>
      </c>
    </row>
    <row r="22" spans="1:16" x14ac:dyDescent="0.25">
      <c r="A22" s="17" t="s">
        <v>1118</v>
      </c>
      <c r="B22" s="2" t="s">
        <v>1086</v>
      </c>
      <c r="C22" s="27" t="s">
        <v>16</v>
      </c>
      <c r="D22" s="2" t="str">
        <f>VLOOKUP($C22,Sheet1!$A$2:$D$10,2,0)</f>
        <v>141140-91211</v>
      </c>
      <c r="E22" s="8" t="s">
        <v>70</v>
      </c>
      <c r="F22" s="12">
        <v>46045</v>
      </c>
      <c r="G22" s="13">
        <v>0.35416666666666669</v>
      </c>
      <c r="H22" s="2" t="s">
        <v>71</v>
      </c>
      <c r="I22" s="2" t="s">
        <v>54</v>
      </c>
      <c r="J22" s="2">
        <v>52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26</v>
      </c>
      <c r="N22" s="2"/>
      <c r="O22" s="2" t="s">
        <v>359</v>
      </c>
      <c r="P22" s="2" t="s">
        <v>420</v>
      </c>
    </row>
    <row r="23" spans="1:16" x14ac:dyDescent="0.25">
      <c r="A23" s="17" t="s">
        <v>1118</v>
      </c>
      <c r="B23" s="2" t="s">
        <v>1091</v>
      </c>
      <c r="C23" s="27" t="s">
        <v>20</v>
      </c>
      <c r="D23" s="2" t="str">
        <f>VLOOKUP($C23,Sheet1!$A$2:$D$10,2,0)</f>
        <v>141150-91211</v>
      </c>
      <c r="E23" s="8" t="s">
        <v>78</v>
      </c>
      <c r="F23" s="12">
        <v>46045</v>
      </c>
      <c r="G23" s="13">
        <v>0.35416666666666669</v>
      </c>
      <c r="H23" s="2" t="s">
        <v>71</v>
      </c>
      <c r="I23" s="2" t="s">
        <v>54</v>
      </c>
      <c r="J23" s="2">
        <v>52</v>
      </c>
      <c r="K23" s="14">
        <f>VLOOKUP($C23,Sheet1!$A$2:$D$10,4,0)</f>
        <v>2</v>
      </c>
      <c r="L23" s="14" t="str">
        <f>VLOOKUP($C23,Sheet1!$A$2:$E$10,5,0)</f>
        <v>Bin</v>
      </c>
      <c r="M23" s="14">
        <f t="shared" ref="M23" si="3">J23/K23</f>
        <v>26</v>
      </c>
      <c r="N23" s="2"/>
      <c r="O23" s="2" t="s">
        <v>359</v>
      </c>
      <c r="P23" s="2" t="s">
        <v>420</v>
      </c>
    </row>
    <row r="24" spans="1:16" x14ac:dyDescent="0.25">
      <c r="A24" s="17" t="s">
        <v>1118</v>
      </c>
      <c r="B24" s="2" t="s">
        <v>1092</v>
      </c>
      <c r="C24" s="27" t="s">
        <v>20</v>
      </c>
      <c r="D24" s="2" t="str">
        <f>VLOOKUP($C24,Sheet1!$A$2:$D$10,2,0)</f>
        <v>141150-91211</v>
      </c>
      <c r="E24" s="8" t="s">
        <v>78</v>
      </c>
      <c r="F24" s="12">
        <v>46045</v>
      </c>
      <c r="G24" s="13">
        <v>0.35416666666666669</v>
      </c>
      <c r="H24" s="2" t="s">
        <v>71</v>
      </c>
      <c r="I24" s="2" t="s">
        <v>54</v>
      </c>
      <c r="J24" s="2">
        <v>24</v>
      </c>
      <c r="K24" s="14">
        <f>VLOOKUP($C24,Sheet1!$A$2:$D$10,4,0)</f>
        <v>2</v>
      </c>
      <c r="L24" s="14" t="str">
        <f>VLOOKUP($C24,Sheet1!$A$2:$E$10,5,0)</f>
        <v>Bin</v>
      </c>
      <c r="M24" s="14">
        <f>J24/K24</f>
        <v>12</v>
      </c>
      <c r="N24" s="2"/>
      <c r="O24" s="2" t="s">
        <v>359</v>
      </c>
      <c r="P24" s="2" t="s">
        <v>420</v>
      </c>
    </row>
    <row r="25" spans="1:16" x14ac:dyDescent="0.25">
      <c r="A25" s="17" t="s">
        <v>1118</v>
      </c>
      <c r="B25" s="2" t="s">
        <v>1096</v>
      </c>
      <c r="C25" s="27" t="s">
        <v>23</v>
      </c>
      <c r="D25" s="2" t="str">
        <f>VLOOKUP($C25,Sheet1!$A$2:$D$10,2,0)</f>
        <v>141186-74360</v>
      </c>
      <c r="E25" s="8" t="s">
        <v>85</v>
      </c>
      <c r="F25" s="12">
        <v>46045</v>
      </c>
      <c r="G25" s="13">
        <v>0.35416666666666669</v>
      </c>
      <c r="H25" s="2" t="s">
        <v>71</v>
      </c>
      <c r="I25" s="2" t="s">
        <v>54</v>
      </c>
      <c r="J25" s="2">
        <v>80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 t="shared" ref="N25" si="4">J25/K25</f>
        <v>2</v>
      </c>
      <c r="O25" s="2" t="s">
        <v>359</v>
      </c>
      <c r="P25" s="2">
        <v>910106827</v>
      </c>
    </row>
    <row r="26" spans="1:16" x14ac:dyDescent="0.25">
      <c r="A26" s="17" t="s">
        <v>1119</v>
      </c>
      <c r="B26" s="2" t="s">
        <v>1107</v>
      </c>
      <c r="C26" s="27" t="s">
        <v>32</v>
      </c>
      <c r="D26" s="2" t="str">
        <f>VLOOKUP($C26,Sheet1!$A$2:$D$10,2,0)</f>
        <v>114010-50820</v>
      </c>
      <c r="E26" s="8" t="s">
        <v>98</v>
      </c>
      <c r="F26" s="12">
        <v>46045</v>
      </c>
      <c r="G26" s="13">
        <v>0.35416666666666669</v>
      </c>
      <c r="H26" s="2" t="s">
        <v>91</v>
      </c>
      <c r="I26" s="2" t="s">
        <v>54</v>
      </c>
      <c r="J26" s="2">
        <v>10</v>
      </c>
      <c r="K26" s="14">
        <f>VLOOKUP($C26,Sheet1!$A$2:$D$10,4,0)</f>
        <v>1</v>
      </c>
      <c r="L26" s="14" t="str">
        <f>VLOOKUP($C26,Sheet1!$A$2:$E$10,5,0)</f>
        <v>Bin</v>
      </c>
      <c r="M26" s="14">
        <f>J26/K26</f>
        <v>10</v>
      </c>
      <c r="N26" s="2"/>
      <c r="O26" s="2" t="s">
        <v>359</v>
      </c>
      <c r="P26" s="2" t="s">
        <v>739</v>
      </c>
    </row>
    <row r="27" spans="1:16" x14ac:dyDescent="0.25">
      <c r="A27" s="17" t="s">
        <v>1119</v>
      </c>
      <c r="B27" s="2" t="s">
        <v>1106</v>
      </c>
      <c r="C27" s="27" t="s">
        <v>32</v>
      </c>
      <c r="D27" s="2" t="str">
        <f>VLOOKUP($C27,Sheet1!$A$2:$D$10,2,0)</f>
        <v>114010-50820</v>
      </c>
      <c r="E27" s="8" t="s">
        <v>98</v>
      </c>
      <c r="F27" s="12">
        <v>46045</v>
      </c>
      <c r="G27" s="13">
        <v>0.35416666666666669</v>
      </c>
      <c r="H27" s="2" t="s">
        <v>91</v>
      </c>
      <c r="I27" s="2" t="s">
        <v>54</v>
      </c>
      <c r="J27" s="2">
        <v>20</v>
      </c>
      <c r="K27" s="14">
        <f>VLOOKUP($C27,Sheet1!$A$2:$D$10,4,0)</f>
        <v>1</v>
      </c>
      <c r="L27" s="14" t="str">
        <f>VLOOKUP($C27,Sheet1!$A$2:$E$10,5,0)</f>
        <v>Bin</v>
      </c>
      <c r="M27" s="14">
        <f t="shared" ref="M27" si="5">J27/K27</f>
        <v>20</v>
      </c>
      <c r="N27" s="2"/>
      <c r="O27" s="2" t="s">
        <v>359</v>
      </c>
      <c r="P27" s="2" t="s">
        <v>428</v>
      </c>
    </row>
    <row r="28" spans="1:16" x14ac:dyDescent="0.25">
      <c r="A28" s="17" t="s">
        <v>1119</v>
      </c>
      <c r="B28" s="2" t="s">
        <v>1112</v>
      </c>
      <c r="C28" s="27" t="s">
        <v>29</v>
      </c>
      <c r="D28" s="2" t="str">
        <f>VLOOKUP($C28,Sheet1!$A$2:$D$10,2,0)</f>
        <v>114010-50830</v>
      </c>
      <c r="E28" s="8" t="s">
        <v>98</v>
      </c>
      <c r="F28" s="12">
        <v>46045</v>
      </c>
      <c r="G28" s="13">
        <v>0.35416666666666669</v>
      </c>
      <c r="H28" s="2" t="s">
        <v>91</v>
      </c>
      <c r="I28" s="2" t="s">
        <v>54</v>
      </c>
      <c r="J28" s="2">
        <v>14</v>
      </c>
      <c r="K28" s="14">
        <f>VLOOKUP($C28,Sheet1!$A$2:$D$10,4,0)</f>
        <v>1</v>
      </c>
      <c r="L28" s="14" t="str">
        <f>VLOOKUP($C28,Sheet1!$A$2:$E$10,5,0)</f>
        <v>Bin</v>
      </c>
      <c r="M28" s="14">
        <f>J28/K28</f>
        <v>14</v>
      </c>
      <c r="N28" s="2"/>
      <c r="O28" s="2" t="s">
        <v>359</v>
      </c>
      <c r="P28" s="2" t="s">
        <v>1899</v>
      </c>
    </row>
    <row r="29" spans="1:16" x14ac:dyDescent="0.25">
      <c r="A29" s="17" t="s">
        <v>1119</v>
      </c>
      <c r="B29" s="2" t="s">
        <v>1111</v>
      </c>
      <c r="C29" s="27" t="s">
        <v>29</v>
      </c>
      <c r="D29" s="2" t="str">
        <f>VLOOKUP($C29,Sheet1!$A$2:$D$10,2,0)</f>
        <v>114010-50830</v>
      </c>
      <c r="E29" s="8" t="s">
        <v>98</v>
      </c>
      <c r="F29" s="12">
        <v>46045</v>
      </c>
      <c r="G29" s="13">
        <v>0.35416666666666669</v>
      </c>
      <c r="H29" s="2" t="s">
        <v>91</v>
      </c>
      <c r="I29" s="2" t="s">
        <v>54</v>
      </c>
      <c r="J29" s="2">
        <v>23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ref="M29" si="6">J29/K29</f>
        <v>23</v>
      </c>
      <c r="N29" s="2"/>
      <c r="O29" s="2" t="s">
        <v>359</v>
      </c>
      <c r="P29" s="2" t="s">
        <v>1899</v>
      </c>
    </row>
    <row r="30" spans="1:16" s="1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143</v>
      </c>
      <c r="N30" s="10">
        <v>7</v>
      </c>
      <c r="O30" s="10"/>
      <c r="P30" s="10"/>
    </row>
    <row r="31" spans="1:16" x14ac:dyDescent="0.25">
      <c r="A31" s="17" t="s">
        <v>1120</v>
      </c>
      <c r="B31" s="2" t="s">
        <v>1072</v>
      </c>
      <c r="C31" s="27" t="s">
        <v>5</v>
      </c>
      <c r="D31" s="2" t="str">
        <f>VLOOKUP($C31,Sheet1!$A$2:$D$10,2,0)</f>
        <v>141110-14600</v>
      </c>
      <c r="E31" s="8" t="s">
        <v>52</v>
      </c>
      <c r="F31" s="12">
        <v>46045</v>
      </c>
      <c r="G31" s="13">
        <v>0.35416666666666669</v>
      </c>
      <c r="H31" s="2" t="s">
        <v>53</v>
      </c>
      <c r="I31" s="2" t="s">
        <v>54</v>
      </c>
      <c r="J31" s="2">
        <v>18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2">
        <v>1</v>
      </c>
      <c r="O31" s="2" t="s">
        <v>122</v>
      </c>
      <c r="P31" s="2" t="s">
        <v>1903</v>
      </c>
    </row>
    <row r="32" spans="1:16" x14ac:dyDescent="0.25">
      <c r="A32" s="17" t="s">
        <v>1120</v>
      </c>
      <c r="B32" s="2" t="s">
        <v>1077</v>
      </c>
      <c r="C32" s="27" t="s">
        <v>9</v>
      </c>
      <c r="D32" s="2" t="str">
        <f>VLOOKUP($C32,Sheet1!$A$2:$D$10,2,0)</f>
        <v>141120-14600</v>
      </c>
      <c r="E32" s="8" t="s">
        <v>60</v>
      </c>
      <c r="F32" s="12">
        <v>46045</v>
      </c>
      <c r="G32" s="13">
        <v>0.35416666666666669</v>
      </c>
      <c r="H32" s="2" t="s">
        <v>53</v>
      </c>
      <c r="I32" s="2" t="s">
        <v>54</v>
      </c>
      <c r="J32" s="2">
        <v>18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3"/>
      <c r="O32" s="2" t="s">
        <v>122</v>
      </c>
      <c r="P32" s="2" t="s">
        <v>1903</v>
      </c>
    </row>
    <row r="33" spans="1:16" x14ac:dyDescent="0.25">
      <c r="A33" s="17" t="s">
        <v>1120</v>
      </c>
      <c r="B33" s="2" t="s">
        <v>1081</v>
      </c>
      <c r="C33" s="27" t="s">
        <v>12</v>
      </c>
      <c r="D33" s="2" t="str">
        <f>VLOOKUP($C33,Sheet1!$A$2:$D$10,2,0)</f>
        <v>141185-74670</v>
      </c>
      <c r="E33" s="8" t="s">
        <v>66</v>
      </c>
      <c r="F33" s="12">
        <v>46045</v>
      </c>
      <c r="G33" s="13">
        <v>0.35416666666666669</v>
      </c>
      <c r="H33" s="2" t="s">
        <v>53</v>
      </c>
      <c r="I33" s="2" t="s">
        <v>54</v>
      </c>
      <c r="J33" s="2">
        <v>40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1</v>
      </c>
      <c r="O33" s="2" t="s">
        <v>122</v>
      </c>
      <c r="P33" s="2">
        <v>910106826</v>
      </c>
    </row>
    <row r="34" spans="1:16" x14ac:dyDescent="0.25">
      <c r="A34" s="17" t="s">
        <v>1120</v>
      </c>
      <c r="B34" s="2" t="s">
        <v>1097</v>
      </c>
      <c r="C34" s="27" t="s">
        <v>23</v>
      </c>
      <c r="D34" s="2" t="str">
        <f>VLOOKUP($C34,Sheet1!$A$2:$D$10,2,0)</f>
        <v>141186-74360</v>
      </c>
      <c r="E34" s="8" t="s">
        <v>85</v>
      </c>
      <c r="F34" s="12">
        <v>46045</v>
      </c>
      <c r="G34" s="13">
        <v>0.35416666666666669</v>
      </c>
      <c r="H34" s="2" t="s">
        <v>71</v>
      </c>
      <c r="I34" s="2" t="s">
        <v>54</v>
      </c>
      <c r="J34" s="2">
        <v>40</v>
      </c>
      <c r="K34" s="14">
        <f>VLOOKUP($C34,Sheet1!$A$2:$D$10,4,0)</f>
        <v>40</v>
      </c>
      <c r="L34" s="14" t="str">
        <f>VLOOKUP($C34,Sheet1!$A$2:$E$10,5,0)</f>
        <v>Trolley</v>
      </c>
      <c r="M34" s="14"/>
      <c r="N34" s="2">
        <f>J34/K34</f>
        <v>1</v>
      </c>
      <c r="O34" s="2" t="s">
        <v>122</v>
      </c>
      <c r="P34" s="2">
        <v>910106827</v>
      </c>
    </row>
    <row r="35" spans="1:16" ht="15.75" thickBot="1" x14ac:dyDescent="0.3">
      <c r="A35" s="17" t="s">
        <v>1120</v>
      </c>
      <c r="B35" s="2" t="s">
        <v>1096</v>
      </c>
      <c r="C35" s="27" t="s">
        <v>23</v>
      </c>
      <c r="D35" s="2" t="str">
        <f>VLOOKUP($C35,Sheet1!$A$2:$D$10,2,0)</f>
        <v>141186-74360</v>
      </c>
      <c r="E35" s="8" t="s">
        <v>85</v>
      </c>
      <c r="F35" s="12">
        <v>46045</v>
      </c>
      <c r="G35" s="25">
        <v>0.35416666666666669</v>
      </c>
      <c r="H35" s="2" t="s">
        <v>71</v>
      </c>
      <c r="I35" s="2" t="s">
        <v>54</v>
      </c>
      <c r="J35" s="2">
        <v>40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 t="shared" ref="N35" si="7">J35/K35</f>
        <v>1</v>
      </c>
      <c r="O35" s="2" t="s">
        <v>122</v>
      </c>
      <c r="P35" s="2">
        <v>910106827</v>
      </c>
    </row>
    <row r="36" spans="1:16" ht="15.75" thickTop="1" x14ac:dyDescent="0.25">
      <c r="A36" s="17" t="s">
        <v>1121</v>
      </c>
      <c r="B36" s="2" t="s">
        <v>1073</v>
      </c>
      <c r="C36" s="27" t="s">
        <v>5</v>
      </c>
      <c r="D36" s="2" t="str">
        <f>VLOOKUP($C36,Sheet1!$A$2:$D$10,2,0)</f>
        <v>141110-14600</v>
      </c>
      <c r="E36" s="8" t="s">
        <v>52</v>
      </c>
      <c r="F36" s="12">
        <v>46045</v>
      </c>
      <c r="G36" s="26">
        <v>0.5625</v>
      </c>
      <c r="H36" s="2" t="s">
        <v>53</v>
      </c>
      <c r="I36" s="2" t="s">
        <v>54</v>
      </c>
      <c r="J36" s="2">
        <v>18</v>
      </c>
      <c r="K36" s="14">
        <f>VLOOKUP($C36,Sheet1!$A$2:$D$10,4,0)</f>
        <v>18</v>
      </c>
      <c r="L36" s="14" t="str">
        <f>VLOOKUP($C36,Sheet1!$A$2:$E$10,5,0)</f>
        <v>Trolley (H)</v>
      </c>
      <c r="M36" s="14"/>
      <c r="N36" s="52">
        <v>1</v>
      </c>
      <c r="O36" s="2" t="s">
        <v>122</v>
      </c>
      <c r="P36" s="2" t="s">
        <v>1903</v>
      </c>
    </row>
    <row r="37" spans="1:16" x14ac:dyDescent="0.25">
      <c r="A37" s="17" t="s">
        <v>1121</v>
      </c>
      <c r="B37" s="2" t="s">
        <v>1078</v>
      </c>
      <c r="C37" s="27" t="s">
        <v>9</v>
      </c>
      <c r="D37" s="2" t="str">
        <f>VLOOKUP($C37,Sheet1!$A$2:$D$10,2,0)</f>
        <v>141120-14600</v>
      </c>
      <c r="E37" s="8" t="s">
        <v>60</v>
      </c>
      <c r="F37" s="12">
        <v>46045</v>
      </c>
      <c r="G37" s="23">
        <v>0.5625</v>
      </c>
      <c r="H37" s="2" t="s">
        <v>53</v>
      </c>
      <c r="I37" s="2" t="s">
        <v>54</v>
      </c>
      <c r="J37" s="2">
        <v>18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3"/>
      <c r="O37" s="2" t="s">
        <v>122</v>
      </c>
      <c r="P37" s="2" t="s">
        <v>1903</v>
      </c>
    </row>
    <row r="38" spans="1:16" x14ac:dyDescent="0.25">
      <c r="A38" s="17" t="s">
        <v>1122</v>
      </c>
      <c r="B38" s="2" t="s">
        <v>1103</v>
      </c>
      <c r="C38" s="27" t="s">
        <v>26</v>
      </c>
      <c r="D38" s="2" t="str">
        <f>VLOOKUP($C38,Sheet1!$A$2:$D$10,2,0)</f>
        <v>116040-92240</v>
      </c>
      <c r="E38" s="8" t="s">
        <v>90</v>
      </c>
      <c r="F38" s="12">
        <v>46045</v>
      </c>
      <c r="G38" s="23">
        <v>0.5625</v>
      </c>
      <c r="H38" s="2" t="s">
        <v>91</v>
      </c>
      <c r="I38" s="2" t="s">
        <v>54</v>
      </c>
      <c r="J38" s="2">
        <v>72</v>
      </c>
      <c r="K38" s="14">
        <f>VLOOKUP($C38,Sheet1!$A$2:$D$10,4,0)</f>
        <v>6</v>
      </c>
      <c r="L38" s="14" t="str">
        <f>VLOOKUP($C38,Sheet1!$A$2:$E$10,5,0)</f>
        <v>Bin</v>
      </c>
      <c r="M38" s="14">
        <f t="shared" ref="M38:M40" si="8">J38/K38</f>
        <v>12</v>
      </c>
      <c r="N38" s="2"/>
      <c r="O38" s="2" t="s">
        <v>122</v>
      </c>
      <c r="P38" s="2" t="s">
        <v>1893</v>
      </c>
    </row>
    <row r="39" spans="1:16" x14ac:dyDescent="0.25">
      <c r="A39" s="17" t="s">
        <v>1122</v>
      </c>
      <c r="B39" s="2" t="s">
        <v>1108</v>
      </c>
      <c r="C39" s="27" t="s">
        <v>32</v>
      </c>
      <c r="D39" s="2" t="str">
        <f>VLOOKUP($C39,Sheet1!$A$2:$D$10,2,0)</f>
        <v>114010-50820</v>
      </c>
      <c r="E39" s="8" t="s">
        <v>98</v>
      </c>
      <c r="F39" s="12">
        <v>46045</v>
      </c>
      <c r="G39" s="23">
        <v>0.5625</v>
      </c>
      <c r="H39" s="2" t="s">
        <v>91</v>
      </c>
      <c r="I39" s="2" t="s">
        <v>54</v>
      </c>
      <c r="J39" s="2">
        <v>32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8"/>
        <v>32</v>
      </c>
      <c r="N39" s="2"/>
      <c r="O39" s="2" t="s">
        <v>122</v>
      </c>
      <c r="P39" s="2" t="s">
        <v>428</v>
      </c>
    </row>
    <row r="40" spans="1:16" x14ac:dyDescent="0.25">
      <c r="A40" s="17" t="s">
        <v>1122</v>
      </c>
      <c r="B40" s="2" t="s">
        <v>1113</v>
      </c>
      <c r="C40" s="27" t="s">
        <v>29</v>
      </c>
      <c r="D40" s="2" t="str">
        <f>VLOOKUP($C40,Sheet1!$A$2:$D$10,2,0)</f>
        <v>114010-50830</v>
      </c>
      <c r="E40" s="8" t="s">
        <v>98</v>
      </c>
      <c r="F40" s="12">
        <v>46045</v>
      </c>
      <c r="G40" s="23">
        <v>0.5625</v>
      </c>
      <c r="H40" s="2" t="s">
        <v>91</v>
      </c>
      <c r="I40" s="2" t="s">
        <v>54</v>
      </c>
      <c r="J40" s="2">
        <v>38</v>
      </c>
      <c r="K40" s="14">
        <f>VLOOKUP($C40,Sheet1!$A$2:$D$10,4,0)</f>
        <v>1</v>
      </c>
      <c r="L40" s="14" t="str">
        <f>VLOOKUP($C40,Sheet1!$A$2:$E$10,5,0)</f>
        <v>Bin</v>
      </c>
      <c r="M40" s="14">
        <f t="shared" si="8"/>
        <v>38</v>
      </c>
      <c r="N40" s="2"/>
      <c r="O40" s="2" t="s">
        <v>122</v>
      </c>
      <c r="P40" s="2" t="s">
        <v>1899</v>
      </c>
    </row>
    <row r="41" spans="1:16" s="11" customForma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>
        <v>82</v>
      </c>
      <c r="N41" s="10">
        <v>5</v>
      </c>
      <c r="O41" s="10"/>
      <c r="P41" s="10"/>
    </row>
    <row r="42" spans="1:16" x14ac:dyDescent="0.25">
      <c r="A42" s="17" t="s">
        <v>1123</v>
      </c>
      <c r="B42" s="2" t="s">
        <v>1073</v>
      </c>
      <c r="C42" s="27" t="s">
        <v>5</v>
      </c>
      <c r="D42" s="2" t="str">
        <f>VLOOKUP($C42,Sheet1!$A$2:$D$10,2,0)</f>
        <v>141110-14600</v>
      </c>
      <c r="E42" s="8" t="s">
        <v>52</v>
      </c>
      <c r="F42" s="12">
        <v>46045</v>
      </c>
      <c r="G42" s="13">
        <v>0.5625</v>
      </c>
      <c r="H42" s="2" t="s">
        <v>53</v>
      </c>
      <c r="I42" s="2" t="s">
        <v>54</v>
      </c>
      <c r="J42" s="2">
        <v>54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2">
        <v>3</v>
      </c>
      <c r="O42" s="2" t="s">
        <v>121</v>
      </c>
      <c r="P42" s="2" t="s">
        <v>1903</v>
      </c>
    </row>
    <row r="43" spans="1:16" x14ac:dyDescent="0.25">
      <c r="A43" s="17" t="s">
        <v>1123</v>
      </c>
      <c r="B43" s="2" t="s">
        <v>1078</v>
      </c>
      <c r="C43" s="27" t="s">
        <v>9</v>
      </c>
      <c r="D43" s="2" t="str">
        <f>VLOOKUP($C43,Sheet1!$A$2:$D$10,2,0)</f>
        <v>141120-14600</v>
      </c>
      <c r="E43" s="8" t="s">
        <v>60</v>
      </c>
      <c r="F43" s="12">
        <v>46045</v>
      </c>
      <c r="G43" s="13">
        <v>0.5625</v>
      </c>
      <c r="H43" s="2" t="s">
        <v>53</v>
      </c>
      <c r="I43" s="2" t="s">
        <v>54</v>
      </c>
      <c r="J43" s="2">
        <v>54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3"/>
      <c r="O43" s="2" t="s">
        <v>121</v>
      </c>
      <c r="P43" s="2" t="s">
        <v>1903</v>
      </c>
    </row>
    <row r="44" spans="1:16" x14ac:dyDescent="0.25">
      <c r="A44" s="17" t="s">
        <v>1123</v>
      </c>
      <c r="B44" s="2" t="s">
        <v>1083</v>
      </c>
      <c r="C44" s="27" t="s">
        <v>12</v>
      </c>
      <c r="D44" s="2" t="str">
        <f>VLOOKUP($C44,Sheet1!$A$2:$D$10,2,0)</f>
        <v>141185-74670</v>
      </c>
      <c r="E44" s="8" t="s">
        <v>66</v>
      </c>
      <c r="F44" s="12">
        <v>46045</v>
      </c>
      <c r="G44" s="13">
        <v>0.5625</v>
      </c>
      <c r="H44" s="2" t="s">
        <v>53</v>
      </c>
      <c r="I44" s="2" t="s">
        <v>54</v>
      </c>
      <c r="J44" s="2">
        <v>120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3</v>
      </c>
      <c r="O44" s="2" t="s">
        <v>121</v>
      </c>
      <c r="P44" s="2">
        <v>910106826</v>
      </c>
    </row>
    <row r="45" spans="1:16" x14ac:dyDescent="0.25">
      <c r="A45" s="17" t="s">
        <v>1123</v>
      </c>
      <c r="B45" s="2" t="s">
        <v>1088</v>
      </c>
      <c r="C45" s="27" t="s">
        <v>16</v>
      </c>
      <c r="D45" s="2" t="str">
        <f>VLOOKUP($C45,Sheet1!$A$2:$D$10,2,0)</f>
        <v>141140-91211</v>
      </c>
      <c r="E45" s="8" t="s">
        <v>70</v>
      </c>
      <c r="F45" s="12">
        <v>46045</v>
      </c>
      <c r="G45" s="13">
        <v>0.5625</v>
      </c>
      <c r="H45" s="2" t="s">
        <v>71</v>
      </c>
      <c r="I45" s="2" t="s">
        <v>54</v>
      </c>
      <c r="J45" s="2">
        <v>70</v>
      </c>
      <c r="K45" s="14">
        <f>VLOOKUP($C45,Sheet1!$A$2:$D$10,4,0)</f>
        <v>2</v>
      </c>
      <c r="L45" s="14" t="str">
        <f>VLOOKUP($C45,Sheet1!$A$2:$E$10,5,0)</f>
        <v>Bin</v>
      </c>
      <c r="M45" s="14">
        <f t="shared" ref="M45:M46" si="9">J45/K45</f>
        <v>35</v>
      </c>
      <c r="N45" s="2"/>
      <c r="O45" s="2" t="s">
        <v>121</v>
      </c>
      <c r="P45" s="2" t="s">
        <v>420</v>
      </c>
    </row>
    <row r="46" spans="1:16" x14ac:dyDescent="0.25">
      <c r="A46" s="17" t="s">
        <v>1123</v>
      </c>
      <c r="B46" s="2" t="s">
        <v>1093</v>
      </c>
      <c r="C46" s="27" t="s">
        <v>20</v>
      </c>
      <c r="D46" s="2" t="str">
        <f>VLOOKUP($C46,Sheet1!$A$2:$D$10,2,0)</f>
        <v>141150-91211</v>
      </c>
      <c r="E46" s="8" t="s">
        <v>78</v>
      </c>
      <c r="F46" s="12">
        <v>46045</v>
      </c>
      <c r="G46" s="13">
        <v>0.5625</v>
      </c>
      <c r="H46" s="2" t="s">
        <v>71</v>
      </c>
      <c r="I46" s="2" t="s">
        <v>54</v>
      </c>
      <c r="J46" s="2">
        <v>70</v>
      </c>
      <c r="K46" s="14">
        <f>VLOOKUP($C46,Sheet1!$A$2:$D$10,4,0)</f>
        <v>2</v>
      </c>
      <c r="L46" s="14" t="str">
        <f>VLOOKUP($C46,Sheet1!$A$2:$E$10,5,0)</f>
        <v>Bin</v>
      </c>
      <c r="M46" s="14">
        <f t="shared" si="9"/>
        <v>35</v>
      </c>
      <c r="N46" s="2"/>
      <c r="O46" s="2" t="s">
        <v>121</v>
      </c>
      <c r="P46" s="2" t="s">
        <v>420</v>
      </c>
    </row>
    <row r="47" spans="1:16" x14ac:dyDescent="0.25">
      <c r="A47" s="17" t="s">
        <v>1123</v>
      </c>
      <c r="B47" s="2" t="s">
        <v>1098</v>
      </c>
      <c r="C47" s="27" t="s">
        <v>23</v>
      </c>
      <c r="D47" s="2" t="str">
        <f>VLOOKUP($C47,Sheet1!$A$2:$D$10,2,0)</f>
        <v>141186-74360</v>
      </c>
      <c r="E47" s="8" t="s">
        <v>85</v>
      </c>
      <c r="F47" s="12">
        <v>46045</v>
      </c>
      <c r="G47" s="13">
        <v>0.5625</v>
      </c>
      <c r="H47" s="2" t="s">
        <v>71</v>
      </c>
      <c r="I47" s="2" t="s">
        <v>54</v>
      </c>
      <c r="J47" s="2">
        <v>120</v>
      </c>
      <c r="K47" s="14">
        <f>VLOOKUP($C47,Sheet1!$A$2:$D$10,4,0)</f>
        <v>40</v>
      </c>
      <c r="L47" s="14" t="str">
        <f>VLOOKUP($C47,Sheet1!$A$2:$E$10,5,0)</f>
        <v>Trolley</v>
      </c>
      <c r="M47" s="14"/>
      <c r="N47" s="2">
        <f>J47/K47</f>
        <v>3</v>
      </c>
      <c r="O47" s="2" t="s">
        <v>121</v>
      </c>
      <c r="P47" s="2">
        <v>910106827</v>
      </c>
    </row>
    <row r="48" spans="1:16" s="11" customForma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>
        <v>70</v>
      </c>
      <c r="N48" s="10">
        <v>9</v>
      </c>
      <c r="O48" s="10"/>
      <c r="P48" s="10"/>
    </row>
    <row r="49" spans="1:16" x14ac:dyDescent="0.25">
      <c r="A49" s="17" t="s">
        <v>1124</v>
      </c>
      <c r="B49" s="2" t="s">
        <v>1074</v>
      </c>
      <c r="C49" s="27" t="s">
        <v>5</v>
      </c>
      <c r="D49" s="2" t="str">
        <f>VLOOKUP($C49,Sheet1!$A$2:$D$10,2,0)</f>
        <v>141110-14600</v>
      </c>
      <c r="E49" s="8" t="s">
        <v>52</v>
      </c>
      <c r="F49" s="12">
        <v>46045</v>
      </c>
      <c r="G49" s="13">
        <v>0.77083333333333337</v>
      </c>
      <c r="H49" s="2" t="s">
        <v>53</v>
      </c>
      <c r="I49" s="2" t="s">
        <v>54</v>
      </c>
      <c r="J49" s="2">
        <v>54</v>
      </c>
      <c r="K49" s="14">
        <f>VLOOKUP($C49,Sheet1!$A$2:$D$10,4,0)</f>
        <v>18</v>
      </c>
      <c r="L49" s="14" t="str">
        <f>VLOOKUP($C49,Sheet1!$A$2:$E$10,5,0)</f>
        <v>Trolley (H)</v>
      </c>
      <c r="M49" s="14"/>
      <c r="N49" s="52">
        <v>3</v>
      </c>
      <c r="O49" s="2" t="s">
        <v>359</v>
      </c>
      <c r="P49" s="2" t="s">
        <v>1903</v>
      </c>
    </row>
    <row r="50" spans="1:16" x14ac:dyDescent="0.25">
      <c r="A50" s="17" t="s">
        <v>1124</v>
      </c>
      <c r="B50" s="2" t="s">
        <v>1079</v>
      </c>
      <c r="C50" s="27" t="s">
        <v>9</v>
      </c>
      <c r="D50" s="2" t="str">
        <f>VLOOKUP($C50,Sheet1!$A$2:$D$10,2,0)</f>
        <v>141120-14600</v>
      </c>
      <c r="E50" s="8" t="s">
        <v>60</v>
      </c>
      <c r="F50" s="12">
        <v>46045</v>
      </c>
      <c r="G50" s="13">
        <v>0.77083333333333337</v>
      </c>
      <c r="H50" s="2" t="s">
        <v>53</v>
      </c>
      <c r="I50" s="2" t="s">
        <v>54</v>
      </c>
      <c r="J50" s="2">
        <v>54</v>
      </c>
      <c r="K50" s="14">
        <f>VLOOKUP($C50,Sheet1!$A$2:$D$10,4,0)</f>
        <v>18</v>
      </c>
      <c r="L50" s="14" t="str">
        <f>VLOOKUP($C50,Sheet1!$A$2:$E$10,5,0)</f>
        <v>Trolley (H)</v>
      </c>
      <c r="M50" s="14"/>
      <c r="N50" s="53"/>
      <c r="O50" s="2" t="s">
        <v>359</v>
      </c>
      <c r="P50" s="2" t="s">
        <v>1903</v>
      </c>
    </row>
    <row r="51" spans="1:16" x14ac:dyDescent="0.25">
      <c r="A51" s="17" t="s">
        <v>1124</v>
      </c>
      <c r="B51" s="2" t="s">
        <v>1084</v>
      </c>
      <c r="C51" s="27" t="s">
        <v>12</v>
      </c>
      <c r="D51" s="2" t="str">
        <f>VLOOKUP($C51,Sheet1!$A$2:$D$10,2,0)</f>
        <v>141185-74670</v>
      </c>
      <c r="E51" s="8" t="s">
        <v>66</v>
      </c>
      <c r="F51" s="12">
        <v>46045</v>
      </c>
      <c r="G51" s="13">
        <v>0.77083333333333337</v>
      </c>
      <c r="H51" s="2" t="s">
        <v>53</v>
      </c>
      <c r="I51" s="2" t="s">
        <v>54</v>
      </c>
      <c r="J51" s="2">
        <v>80</v>
      </c>
      <c r="K51" s="14">
        <f>VLOOKUP($C51,Sheet1!$A$2:$D$10,4,0)</f>
        <v>40</v>
      </c>
      <c r="L51" s="14" t="str">
        <f>VLOOKUP($C51,Sheet1!$A$2:$E$10,5,0)</f>
        <v>Trolley</v>
      </c>
      <c r="M51" s="14"/>
      <c r="N51" s="2">
        <f>J51/K51</f>
        <v>2</v>
      </c>
      <c r="O51" s="2" t="s">
        <v>359</v>
      </c>
      <c r="P51" s="2">
        <v>910106975</v>
      </c>
    </row>
    <row r="52" spans="1:16" x14ac:dyDescent="0.25">
      <c r="A52" s="17" t="s">
        <v>1124</v>
      </c>
      <c r="B52" s="2" t="s">
        <v>1089</v>
      </c>
      <c r="C52" s="27" t="s">
        <v>16</v>
      </c>
      <c r="D52" s="2" t="str">
        <f>VLOOKUP($C52,Sheet1!$A$2:$D$10,2,0)</f>
        <v>141140-91211</v>
      </c>
      <c r="E52" s="8" t="s">
        <v>70</v>
      </c>
      <c r="F52" s="12">
        <v>46045</v>
      </c>
      <c r="G52" s="13">
        <v>0.77083333333333337</v>
      </c>
      <c r="H52" s="2" t="s">
        <v>71</v>
      </c>
      <c r="I52" s="2" t="s">
        <v>54</v>
      </c>
      <c r="J52" s="2">
        <v>70</v>
      </c>
      <c r="K52" s="14">
        <f>VLOOKUP($C52,Sheet1!$A$2:$D$10,4,0)</f>
        <v>2</v>
      </c>
      <c r="L52" s="14" t="str">
        <f>VLOOKUP($C52,Sheet1!$A$2:$E$10,5,0)</f>
        <v>Bin</v>
      </c>
      <c r="M52" s="14">
        <f t="shared" ref="M52:M53" si="10">J52/K52</f>
        <v>35</v>
      </c>
      <c r="N52" s="2"/>
      <c r="O52" s="2" t="s">
        <v>359</v>
      </c>
      <c r="P52" s="2" t="s">
        <v>1904</v>
      </c>
    </row>
    <row r="53" spans="1:16" x14ac:dyDescent="0.25">
      <c r="A53" s="17" t="s">
        <v>1124</v>
      </c>
      <c r="B53" s="2" t="s">
        <v>1094</v>
      </c>
      <c r="C53" s="27" t="s">
        <v>20</v>
      </c>
      <c r="D53" s="2" t="str">
        <f>VLOOKUP($C53,Sheet1!$A$2:$D$10,2,0)</f>
        <v>141150-91211</v>
      </c>
      <c r="E53" s="8" t="s">
        <v>78</v>
      </c>
      <c r="F53" s="12">
        <v>46045</v>
      </c>
      <c r="G53" s="13">
        <v>0.77083333333333337</v>
      </c>
      <c r="H53" s="2" t="s">
        <v>71</v>
      </c>
      <c r="I53" s="2" t="s">
        <v>54</v>
      </c>
      <c r="J53" s="2">
        <v>70</v>
      </c>
      <c r="K53" s="14">
        <f>VLOOKUP($C53,Sheet1!$A$2:$D$10,4,0)</f>
        <v>2</v>
      </c>
      <c r="L53" s="14" t="str">
        <f>VLOOKUP($C53,Sheet1!$A$2:$E$10,5,0)</f>
        <v>Bin</v>
      </c>
      <c r="M53" s="14">
        <f t="shared" si="10"/>
        <v>35</v>
      </c>
      <c r="N53" s="2"/>
      <c r="O53" s="2" t="s">
        <v>359</v>
      </c>
      <c r="P53" s="2" t="s">
        <v>420</v>
      </c>
    </row>
    <row r="54" spans="1:16" x14ac:dyDescent="0.25">
      <c r="A54" s="17" t="s">
        <v>1124</v>
      </c>
      <c r="B54" s="2" t="s">
        <v>1099</v>
      </c>
      <c r="C54" s="27" t="s">
        <v>23</v>
      </c>
      <c r="D54" s="2" t="str">
        <f>VLOOKUP($C54,Sheet1!$A$2:$D$10,2,0)</f>
        <v>141186-74360</v>
      </c>
      <c r="E54" s="8" t="s">
        <v>85</v>
      </c>
      <c r="F54" s="12">
        <v>46045</v>
      </c>
      <c r="G54" s="13">
        <v>0.77083333333333337</v>
      </c>
      <c r="H54" s="2" t="s">
        <v>71</v>
      </c>
      <c r="I54" s="2" t="s">
        <v>54</v>
      </c>
      <c r="J54" s="2">
        <v>80</v>
      </c>
      <c r="K54" s="14">
        <f>VLOOKUP($C54,Sheet1!$A$2:$D$10,4,0)</f>
        <v>40</v>
      </c>
      <c r="L54" s="14" t="str">
        <f>VLOOKUP($C54,Sheet1!$A$2:$E$10,5,0)</f>
        <v>Trolley</v>
      </c>
      <c r="M54" s="14"/>
      <c r="N54" s="2">
        <f>J54/K54</f>
        <v>2</v>
      </c>
      <c r="O54" s="2" t="s">
        <v>359</v>
      </c>
      <c r="P54" s="2">
        <v>910106827</v>
      </c>
    </row>
    <row r="55" spans="1:16" x14ac:dyDescent="0.25">
      <c r="A55" s="17" t="s">
        <v>1125</v>
      </c>
      <c r="B55" s="2" t="s">
        <v>1104</v>
      </c>
      <c r="C55" s="27" t="s">
        <v>26</v>
      </c>
      <c r="D55" s="2" t="str">
        <f>VLOOKUP($C55,Sheet1!$A$2:$D$10,2,0)</f>
        <v>116040-92240</v>
      </c>
      <c r="E55" s="8" t="s">
        <v>90</v>
      </c>
      <c r="F55" s="12">
        <v>46045</v>
      </c>
      <c r="G55" s="13">
        <v>0.77083333333333337</v>
      </c>
      <c r="H55" s="2" t="s">
        <v>91</v>
      </c>
      <c r="I55" s="2" t="s">
        <v>54</v>
      </c>
      <c r="J55" s="2">
        <v>66</v>
      </c>
      <c r="K55" s="14">
        <f>VLOOKUP($C55,Sheet1!$A$2:$D$10,4,0)</f>
        <v>6</v>
      </c>
      <c r="L55" s="14" t="str">
        <f>VLOOKUP($C55,Sheet1!$A$2:$E$10,5,0)</f>
        <v>Bin</v>
      </c>
      <c r="M55" s="14">
        <f t="shared" ref="M55:M57" si="11">J55/K55</f>
        <v>11</v>
      </c>
      <c r="N55" s="2"/>
      <c r="O55" s="2" t="s">
        <v>359</v>
      </c>
      <c r="P55" s="2" t="s">
        <v>1893</v>
      </c>
    </row>
    <row r="56" spans="1:16" x14ac:dyDescent="0.25">
      <c r="A56" s="17" t="s">
        <v>1125</v>
      </c>
      <c r="B56" s="2" t="s">
        <v>1109</v>
      </c>
      <c r="C56" s="27" t="s">
        <v>32</v>
      </c>
      <c r="D56" s="2" t="str">
        <f>VLOOKUP($C56,Sheet1!$A$2:$D$10,2,0)</f>
        <v>114010-50820</v>
      </c>
      <c r="E56" s="8" t="s">
        <v>98</v>
      </c>
      <c r="F56" s="12">
        <v>46045</v>
      </c>
      <c r="G56" s="13">
        <v>0.77083333333333337</v>
      </c>
      <c r="H56" s="2" t="s">
        <v>91</v>
      </c>
      <c r="I56" s="2" t="s">
        <v>54</v>
      </c>
      <c r="J56" s="2">
        <v>28</v>
      </c>
      <c r="K56" s="14">
        <f>VLOOKUP($C56,Sheet1!$A$2:$D$10,4,0)</f>
        <v>1</v>
      </c>
      <c r="L56" s="14" t="str">
        <f>VLOOKUP($C56,Sheet1!$A$2:$E$10,5,0)</f>
        <v>Bin</v>
      </c>
      <c r="M56" s="14">
        <f t="shared" si="11"/>
        <v>28</v>
      </c>
      <c r="N56" s="2"/>
      <c r="O56" s="2" t="s">
        <v>359</v>
      </c>
      <c r="P56" s="2" t="s">
        <v>428</v>
      </c>
    </row>
    <row r="57" spans="1:16" x14ac:dyDescent="0.25">
      <c r="A57" s="17" t="s">
        <v>1125</v>
      </c>
      <c r="B57" s="2" t="s">
        <v>1114</v>
      </c>
      <c r="C57" s="27" t="s">
        <v>29</v>
      </c>
      <c r="D57" s="2" t="str">
        <f>VLOOKUP($C57,Sheet1!$A$2:$D$10,2,0)</f>
        <v>114010-50830</v>
      </c>
      <c r="E57" s="8" t="s">
        <v>98</v>
      </c>
      <c r="F57" s="12">
        <v>46045</v>
      </c>
      <c r="G57" s="13">
        <v>0.77083333333333337</v>
      </c>
      <c r="H57" s="2" t="s">
        <v>91</v>
      </c>
      <c r="I57" s="2" t="s">
        <v>54</v>
      </c>
      <c r="J57" s="2">
        <v>42</v>
      </c>
      <c r="K57" s="14">
        <f>VLOOKUP($C57,Sheet1!$A$2:$D$10,4,0)</f>
        <v>1</v>
      </c>
      <c r="L57" s="14" t="str">
        <f>VLOOKUP($C57,Sheet1!$A$2:$E$10,5,0)</f>
        <v>Bin</v>
      </c>
      <c r="M57" s="14">
        <f t="shared" si="11"/>
        <v>42</v>
      </c>
      <c r="N57" s="2"/>
      <c r="O57" s="2" t="s">
        <v>359</v>
      </c>
      <c r="P57" s="2" t="s">
        <v>1905</v>
      </c>
    </row>
    <row r="58" spans="1:16" s="11" customForma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>
        <v>151</v>
      </c>
      <c r="N58" s="10">
        <v>7</v>
      </c>
      <c r="O58" s="10"/>
      <c r="P58" s="10"/>
    </row>
    <row r="59" spans="1:16" x14ac:dyDescent="0.25">
      <c r="A59" s="17" t="s">
        <v>1126</v>
      </c>
      <c r="B59" s="2" t="s">
        <v>1074</v>
      </c>
      <c r="C59" s="27" t="s">
        <v>5</v>
      </c>
      <c r="D59" s="2" t="str">
        <f>VLOOKUP($C59,Sheet1!$A$2:$D$10,2,0)</f>
        <v>141110-14600</v>
      </c>
      <c r="E59" s="8" t="s">
        <v>52</v>
      </c>
      <c r="F59" s="12">
        <v>46045</v>
      </c>
      <c r="G59" s="13">
        <v>0.77083333333333337</v>
      </c>
      <c r="H59" s="2" t="s">
        <v>53</v>
      </c>
      <c r="I59" s="2" t="s">
        <v>54</v>
      </c>
      <c r="J59" s="2">
        <v>18</v>
      </c>
      <c r="K59" s="14">
        <f>VLOOKUP($C59,Sheet1!$A$2:$D$10,4,0)</f>
        <v>18</v>
      </c>
      <c r="L59" s="14" t="str">
        <f>VLOOKUP($C59,Sheet1!$A$2:$E$10,5,0)</f>
        <v>Trolley (H)</v>
      </c>
      <c r="M59" s="14"/>
      <c r="N59" s="52">
        <v>1</v>
      </c>
      <c r="O59" s="2" t="s">
        <v>119</v>
      </c>
      <c r="P59" s="2" t="s">
        <v>1903</v>
      </c>
    </row>
    <row r="60" spans="1:16" x14ac:dyDescent="0.25">
      <c r="A60" s="17" t="s">
        <v>1126</v>
      </c>
      <c r="B60" s="2" t="s">
        <v>1079</v>
      </c>
      <c r="C60" s="27" t="s">
        <v>9</v>
      </c>
      <c r="D60" s="2" t="str">
        <f>VLOOKUP($C60,Sheet1!$A$2:$D$10,2,0)</f>
        <v>141120-14600</v>
      </c>
      <c r="E60" s="8" t="s">
        <v>60</v>
      </c>
      <c r="F60" s="12">
        <v>46045</v>
      </c>
      <c r="G60" s="13">
        <v>0.77083333333333337</v>
      </c>
      <c r="H60" s="2" t="s">
        <v>53</v>
      </c>
      <c r="I60" s="2" t="s">
        <v>54</v>
      </c>
      <c r="J60" s="2">
        <v>18</v>
      </c>
      <c r="K60" s="14">
        <f>VLOOKUP($C60,Sheet1!$A$2:$D$10,4,0)</f>
        <v>18</v>
      </c>
      <c r="L60" s="14" t="str">
        <f>VLOOKUP($C60,Sheet1!$A$2:$E$10,5,0)</f>
        <v>Trolley (H)</v>
      </c>
      <c r="M60" s="14"/>
      <c r="N60" s="53"/>
      <c r="O60" s="2" t="s">
        <v>119</v>
      </c>
      <c r="P60" s="2" t="s">
        <v>1903</v>
      </c>
    </row>
    <row r="61" spans="1:16" x14ac:dyDescent="0.25">
      <c r="A61" s="17" t="s">
        <v>1126</v>
      </c>
      <c r="B61" s="2" t="s">
        <v>1084</v>
      </c>
      <c r="C61" s="27" t="s">
        <v>12</v>
      </c>
      <c r="D61" s="2" t="str">
        <f>VLOOKUP($C61,Sheet1!$A$2:$D$10,2,0)</f>
        <v>141185-74670</v>
      </c>
      <c r="E61" s="8" t="s">
        <v>66</v>
      </c>
      <c r="F61" s="12">
        <v>46045</v>
      </c>
      <c r="G61" s="13">
        <v>0.77083333333333337</v>
      </c>
      <c r="H61" s="2" t="s">
        <v>53</v>
      </c>
      <c r="I61" s="2" t="s">
        <v>54</v>
      </c>
      <c r="J61" s="2">
        <v>80</v>
      </c>
      <c r="K61" s="14">
        <f>VLOOKUP($C61,Sheet1!$A$2:$D$10,4,0)</f>
        <v>40</v>
      </c>
      <c r="L61" s="14" t="str">
        <f>VLOOKUP($C61,Sheet1!$A$2:$E$10,5,0)</f>
        <v>Trolley</v>
      </c>
      <c r="M61" s="14"/>
      <c r="N61" s="2">
        <f>J61/K61</f>
        <v>2</v>
      </c>
      <c r="O61" s="2" t="s">
        <v>119</v>
      </c>
      <c r="P61" s="2">
        <v>910106975</v>
      </c>
    </row>
    <row r="62" spans="1:16" ht="15.75" thickBot="1" x14ac:dyDescent="0.3">
      <c r="A62" s="17" t="s">
        <v>1126</v>
      </c>
      <c r="B62" s="2" t="s">
        <v>1099</v>
      </c>
      <c r="C62" s="27" t="s">
        <v>23</v>
      </c>
      <c r="D62" s="2" t="str">
        <f>VLOOKUP($C62,Sheet1!$A$2:$D$10,2,0)</f>
        <v>141186-74360</v>
      </c>
      <c r="E62" s="8" t="s">
        <v>85</v>
      </c>
      <c r="F62" s="12">
        <v>46045</v>
      </c>
      <c r="G62" s="25">
        <v>0.77083333333333337</v>
      </c>
      <c r="H62" s="2" t="s">
        <v>71</v>
      </c>
      <c r="I62" s="2" t="s">
        <v>54</v>
      </c>
      <c r="J62" s="2">
        <v>80</v>
      </c>
      <c r="K62" s="14">
        <f>VLOOKUP($C62,Sheet1!$A$2:$D$10,4,0)</f>
        <v>40</v>
      </c>
      <c r="L62" s="14" t="str">
        <f>VLOOKUP($C62,Sheet1!$A$2:$E$10,5,0)</f>
        <v>Trolley</v>
      </c>
      <c r="M62" s="14"/>
      <c r="N62" s="2">
        <f>J62/K62</f>
        <v>2</v>
      </c>
      <c r="O62" s="2" t="s">
        <v>119</v>
      </c>
      <c r="P62" s="2">
        <v>910106827</v>
      </c>
    </row>
    <row r="63" spans="1:16" ht="15.75" thickTop="1" x14ac:dyDescent="0.25">
      <c r="A63" s="17" t="s">
        <v>1127</v>
      </c>
      <c r="B63" s="2" t="s">
        <v>1105</v>
      </c>
      <c r="C63" s="27" t="s">
        <v>26</v>
      </c>
      <c r="D63" s="2" t="str">
        <f>VLOOKUP($C63,Sheet1!$A$2:$D$10,2,0)</f>
        <v>116040-92240</v>
      </c>
      <c r="E63" s="8" t="s">
        <v>90</v>
      </c>
      <c r="F63" s="12">
        <v>46045</v>
      </c>
      <c r="G63" s="26">
        <v>0.97916666666666663</v>
      </c>
      <c r="H63" s="2" t="s">
        <v>91</v>
      </c>
      <c r="I63" s="2" t="s">
        <v>54</v>
      </c>
      <c r="J63" s="2">
        <v>60</v>
      </c>
      <c r="K63" s="14">
        <f>VLOOKUP($C63,Sheet1!$A$2:$D$10,4,0)</f>
        <v>6</v>
      </c>
      <c r="L63" s="14" t="str">
        <f>VLOOKUP($C63,Sheet1!$A$2:$E$10,5,0)</f>
        <v>Bin</v>
      </c>
      <c r="M63" s="14">
        <f t="shared" ref="M63:M65" si="12">J63/K63</f>
        <v>10</v>
      </c>
      <c r="N63" s="2"/>
      <c r="O63" s="2" t="s">
        <v>119</v>
      </c>
      <c r="P63" s="2" t="s">
        <v>1893</v>
      </c>
    </row>
    <row r="64" spans="1:16" x14ac:dyDescent="0.25">
      <c r="A64" s="17" t="s">
        <v>1127</v>
      </c>
      <c r="B64" s="2" t="s">
        <v>1110</v>
      </c>
      <c r="C64" s="27" t="s">
        <v>32</v>
      </c>
      <c r="D64" s="2" t="str">
        <f>VLOOKUP($C64,Sheet1!$A$2:$D$10,2,0)</f>
        <v>114010-50820</v>
      </c>
      <c r="E64" s="8" t="s">
        <v>98</v>
      </c>
      <c r="F64" s="12">
        <v>46045</v>
      </c>
      <c r="G64" s="23">
        <v>0.97916666666666663</v>
      </c>
      <c r="H64" s="2" t="s">
        <v>91</v>
      </c>
      <c r="I64" s="2" t="s">
        <v>54</v>
      </c>
      <c r="J64" s="2">
        <v>22</v>
      </c>
      <c r="K64" s="14">
        <f>VLOOKUP($C64,Sheet1!$A$2:$D$10,4,0)</f>
        <v>1</v>
      </c>
      <c r="L64" s="14" t="str">
        <f>VLOOKUP($C64,Sheet1!$A$2:$E$10,5,0)</f>
        <v>Bin</v>
      </c>
      <c r="M64" s="14">
        <f t="shared" si="12"/>
        <v>22</v>
      </c>
      <c r="N64" s="2"/>
      <c r="O64" s="2" t="s">
        <v>119</v>
      </c>
      <c r="P64" s="2" t="s">
        <v>739</v>
      </c>
    </row>
    <row r="65" spans="1:16" x14ac:dyDescent="0.25">
      <c r="A65" s="17" t="s">
        <v>1127</v>
      </c>
      <c r="B65" s="2" t="s">
        <v>1115</v>
      </c>
      <c r="C65" s="27" t="s">
        <v>29</v>
      </c>
      <c r="D65" s="2" t="str">
        <f>VLOOKUP($C65,Sheet1!$A$2:$D$10,2,0)</f>
        <v>114010-50830</v>
      </c>
      <c r="E65" s="8" t="s">
        <v>98</v>
      </c>
      <c r="F65" s="12">
        <v>46045</v>
      </c>
      <c r="G65" s="23">
        <v>0.97916666666666663</v>
      </c>
      <c r="H65" s="2" t="s">
        <v>91</v>
      </c>
      <c r="I65" s="2" t="s">
        <v>54</v>
      </c>
      <c r="J65" s="2">
        <v>37</v>
      </c>
      <c r="K65" s="14">
        <f>VLOOKUP($C65,Sheet1!$A$2:$D$10,4,0)</f>
        <v>1</v>
      </c>
      <c r="L65" s="14" t="str">
        <f>VLOOKUP($C65,Sheet1!$A$2:$E$10,5,0)</f>
        <v>Bin</v>
      </c>
      <c r="M65" s="14">
        <f t="shared" si="12"/>
        <v>37</v>
      </c>
      <c r="N65" s="2"/>
      <c r="O65" s="2" t="s">
        <v>119</v>
      </c>
      <c r="P65" s="2" t="s">
        <v>1893</v>
      </c>
    </row>
    <row r="66" spans="1:16" s="11" customForma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>
        <v>69</v>
      </c>
      <c r="N66" s="10">
        <v>5</v>
      </c>
      <c r="O66" s="10"/>
      <c r="P66" s="10"/>
    </row>
    <row r="67" spans="1:16" x14ac:dyDescent="0.25">
      <c r="A67" s="17" t="s">
        <v>1128</v>
      </c>
      <c r="B67" s="2" t="s">
        <v>1075</v>
      </c>
      <c r="C67" s="27" t="s">
        <v>5</v>
      </c>
      <c r="D67" s="2" t="str">
        <f>VLOOKUP($C67,Sheet1!$A$2:$D$10,2,0)</f>
        <v>141110-14600</v>
      </c>
      <c r="E67" s="8" t="s">
        <v>52</v>
      </c>
      <c r="F67" s="12">
        <v>46045</v>
      </c>
      <c r="G67" s="13">
        <v>0.97916666666666663</v>
      </c>
      <c r="H67" s="2" t="s">
        <v>53</v>
      </c>
      <c r="I67" s="2" t="s">
        <v>54</v>
      </c>
      <c r="J67" s="2">
        <v>54</v>
      </c>
      <c r="K67" s="14">
        <f>VLOOKUP($C67,Sheet1!$A$2:$D$10,4,0)</f>
        <v>18</v>
      </c>
      <c r="L67" s="14" t="str">
        <f>VLOOKUP($C67,Sheet1!$A$2:$E$10,5,0)</f>
        <v>Trolley (H)</v>
      </c>
      <c r="M67" s="14"/>
      <c r="N67" s="52">
        <v>3</v>
      </c>
      <c r="O67" s="2" t="s">
        <v>121</v>
      </c>
      <c r="P67" s="2" t="s">
        <v>1903</v>
      </c>
    </row>
    <row r="68" spans="1:16" x14ac:dyDescent="0.25">
      <c r="A68" s="17" t="s">
        <v>1128</v>
      </c>
      <c r="B68" s="2" t="s">
        <v>1080</v>
      </c>
      <c r="C68" s="27" t="s">
        <v>9</v>
      </c>
      <c r="D68" s="2" t="str">
        <f>VLOOKUP($C68,Sheet1!$A$2:$D$10,2,0)</f>
        <v>141120-14600</v>
      </c>
      <c r="E68" s="8" t="s">
        <v>60</v>
      </c>
      <c r="F68" s="12">
        <v>46045</v>
      </c>
      <c r="G68" s="13">
        <v>0.97916666666666663</v>
      </c>
      <c r="H68" s="2" t="s">
        <v>53</v>
      </c>
      <c r="I68" s="2" t="s">
        <v>54</v>
      </c>
      <c r="J68" s="2">
        <v>54</v>
      </c>
      <c r="K68" s="14">
        <f>VLOOKUP($C68,Sheet1!$A$2:$D$10,4,0)</f>
        <v>18</v>
      </c>
      <c r="L68" s="14" t="str">
        <f>VLOOKUP($C68,Sheet1!$A$2:$E$10,5,0)</f>
        <v>Trolley (H)</v>
      </c>
      <c r="M68" s="14"/>
      <c r="N68" s="53"/>
      <c r="O68" s="2" t="s">
        <v>121</v>
      </c>
      <c r="P68" s="2" t="s">
        <v>1906</v>
      </c>
    </row>
    <row r="69" spans="1:16" x14ac:dyDescent="0.25">
      <c r="A69" s="17" t="s">
        <v>1128</v>
      </c>
      <c r="B69" s="2" t="s">
        <v>1085</v>
      </c>
      <c r="C69" s="27" t="s">
        <v>12</v>
      </c>
      <c r="D69" s="2" t="str">
        <f>VLOOKUP($C69,Sheet1!$A$2:$D$10,2,0)</f>
        <v>141185-74670</v>
      </c>
      <c r="E69" s="8" t="s">
        <v>66</v>
      </c>
      <c r="F69" s="12">
        <v>46045</v>
      </c>
      <c r="G69" s="13">
        <v>0.97916666666666663</v>
      </c>
      <c r="H69" s="2" t="s">
        <v>53</v>
      </c>
      <c r="I69" s="2" t="s">
        <v>54</v>
      </c>
      <c r="J69" s="2">
        <v>120</v>
      </c>
      <c r="K69" s="14">
        <f>VLOOKUP($C69,Sheet1!$A$2:$D$10,4,0)</f>
        <v>40</v>
      </c>
      <c r="L69" s="14" t="str">
        <f>VLOOKUP($C69,Sheet1!$A$2:$E$10,5,0)</f>
        <v>Trolley</v>
      </c>
      <c r="M69" s="14"/>
      <c r="N69" s="2">
        <f>J69/K69</f>
        <v>3</v>
      </c>
      <c r="O69" s="2" t="s">
        <v>121</v>
      </c>
      <c r="P69" s="2">
        <v>910106975</v>
      </c>
    </row>
    <row r="70" spans="1:16" x14ac:dyDescent="0.25">
      <c r="A70" s="17" t="s">
        <v>1128</v>
      </c>
      <c r="B70" s="2" t="s">
        <v>1090</v>
      </c>
      <c r="C70" s="27" t="s">
        <v>16</v>
      </c>
      <c r="D70" s="2" t="str">
        <f>VLOOKUP($C70,Sheet1!$A$2:$D$10,2,0)</f>
        <v>141140-91211</v>
      </c>
      <c r="E70" s="8" t="s">
        <v>70</v>
      </c>
      <c r="F70" s="12">
        <v>46045</v>
      </c>
      <c r="G70" s="13">
        <v>0.97916666666666663</v>
      </c>
      <c r="H70" s="2" t="s">
        <v>71</v>
      </c>
      <c r="I70" s="2" t="s">
        <v>54</v>
      </c>
      <c r="J70" s="2">
        <v>58</v>
      </c>
      <c r="K70" s="14">
        <f>VLOOKUP($C70,Sheet1!$A$2:$D$10,4,0)</f>
        <v>2</v>
      </c>
      <c r="L70" s="14" t="str">
        <f>VLOOKUP($C70,Sheet1!$A$2:$E$10,5,0)</f>
        <v>Bin</v>
      </c>
      <c r="M70" s="14">
        <f t="shared" ref="M70:M71" si="13">J70/K70</f>
        <v>29</v>
      </c>
      <c r="N70" s="2"/>
      <c r="O70" s="2" t="s">
        <v>121</v>
      </c>
      <c r="P70" s="2" t="s">
        <v>1907</v>
      </c>
    </row>
    <row r="71" spans="1:16" x14ac:dyDescent="0.25">
      <c r="A71" s="17" t="s">
        <v>1128</v>
      </c>
      <c r="B71" s="2" t="s">
        <v>1095</v>
      </c>
      <c r="C71" s="27" t="s">
        <v>20</v>
      </c>
      <c r="D71" s="2" t="str">
        <f>VLOOKUP($C71,Sheet1!$A$2:$D$10,2,0)</f>
        <v>141150-91211</v>
      </c>
      <c r="E71" s="8" t="s">
        <v>78</v>
      </c>
      <c r="F71" s="12">
        <v>46045</v>
      </c>
      <c r="G71" s="13">
        <v>0.97916666666666663</v>
      </c>
      <c r="H71" s="2" t="s">
        <v>71</v>
      </c>
      <c r="I71" s="2" t="s">
        <v>54</v>
      </c>
      <c r="J71" s="2">
        <v>58</v>
      </c>
      <c r="K71" s="14">
        <f>VLOOKUP($C71,Sheet1!$A$2:$D$10,4,0)</f>
        <v>2</v>
      </c>
      <c r="L71" s="14" t="str">
        <f>VLOOKUP($C71,Sheet1!$A$2:$E$10,5,0)</f>
        <v>Bin</v>
      </c>
      <c r="M71" s="14">
        <f t="shared" si="13"/>
        <v>29</v>
      </c>
      <c r="N71" s="2"/>
      <c r="O71" s="2" t="s">
        <v>121</v>
      </c>
      <c r="P71" s="2" t="s">
        <v>420</v>
      </c>
    </row>
    <row r="72" spans="1:16" x14ac:dyDescent="0.25">
      <c r="A72" s="17" t="s">
        <v>1128</v>
      </c>
      <c r="B72" s="2" t="s">
        <v>1100</v>
      </c>
      <c r="C72" s="27" t="s">
        <v>23</v>
      </c>
      <c r="D72" s="2" t="str">
        <f>VLOOKUP($C72,Sheet1!$A$2:$D$10,2,0)</f>
        <v>141186-74360</v>
      </c>
      <c r="E72" s="8" t="s">
        <v>85</v>
      </c>
      <c r="F72" s="12">
        <v>46045</v>
      </c>
      <c r="G72" s="13">
        <v>0.97916666666666663</v>
      </c>
      <c r="H72" s="2" t="s">
        <v>71</v>
      </c>
      <c r="I72" s="2" t="s">
        <v>54</v>
      </c>
      <c r="J72" s="2">
        <v>120</v>
      </c>
      <c r="K72" s="14">
        <f>VLOOKUP($C72,Sheet1!$A$2:$D$10,4,0)</f>
        <v>40</v>
      </c>
      <c r="L72" s="14" t="str">
        <f>VLOOKUP($C72,Sheet1!$A$2:$E$10,5,0)</f>
        <v>Trolley</v>
      </c>
      <c r="M72" s="14"/>
      <c r="N72" s="2">
        <f>J72/K72</f>
        <v>3</v>
      </c>
      <c r="O72" s="2" t="s">
        <v>121</v>
      </c>
      <c r="P72" s="2">
        <v>910106827</v>
      </c>
    </row>
    <row r="73" spans="1:16" s="11" customForma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>
        <v>58</v>
      </c>
      <c r="N73" s="10">
        <v>9</v>
      </c>
      <c r="O73" s="10"/>
      <c r="P73" s="10"/>
    </row>
  </sheetData>
  <autoFilter ref="A3:P73" xr:uid="{47F1D268-3C4F-42AC-A8E5-D896D5B33AFA}"/>
  <mergeCells count="12">
    <mergeCell ref="A1:F1"/>
    <mergeCell ref="J1:N1"/>
    <mergeCell ref="L2:N2"/>
    <mergeCell ref="N4:N5"/>
    <mergeCell ref="N18:N19"/>
    <mergeCell ref="N42:N43"/>
    <mergeCell ref="N49:N50"/>
    <mergeCell ref="N67:N68"/>
    <mergeCell ref="N16:N17"/>
    <mergeCell ref="N31:N32"/>
    <mergeCell ref="N36:N37"/>
    <mergeCell ref="N59:N60"/>
  </mergeCells>
  <conditionalFormatting sqref="B2">
    <cfRule type="duplicateValues" dxfId="46" priority="2"/>
    <cfRule type="duplicateValues" dxfId="45" priority="3"/>
  </conditionalFormatting>
  <conditionalFormatting sqref="B4:B14 B16:B29 B31:B40 B42:B47 B49:B57 B59:B65 B67:B72">
    <cfRule type="duplicateValues" dxfId="44" priority="1"/>
  </conditionalFormatting>
  <conditionalFormatting sqref="C2:D2">
    <cfRule type="duplicateValues" dxfId="43" priority="4"/>
    <cfRule type="duplicateValues" dxfId="42" priority="5"/>
  </conditionalFormatting>
  <pageMargins left="0.17" right="0.17" top="0.17" bottom="0.17" header="0.17" footer="0.17"/>
  <pageSetup paperSize="9" scale="1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92BB-ABDB-447F-9AAC-D8B0ADBC1508}">
  <sheetPr>
    <tabColor rgb="FF00B050"/>
    <pageSetUpPr fitToPage="1"/>
  </sheetPr>
  <dimension ref="A1:P73"/>
  <sheetViews>
    <sheetView topLeftCell="A43" workbookViewId="0">
      <selection activeCell="E69" sqref="E69"/>
    </sheetView>
  </sheetViews>
  <sheetFormatPr defaultColWidth="44.42578125" defaultRowHeight="15" x14ac:dyDescent="0.25"/>
  <cols>
    <col min="1" max="1" width="15.140625" bestFit="1" customWidth="1"/>
    <col min="2" max="2" width="17" bestFit="1" customWidth="1"/>
    <col min="3" max="3" width="14.140625" bestFit="1" customWidth="1"/>
    <col min="4" max="4" width="14.140625" customWidth="1"/>
    <col min="5" max="5" width="32.5703125" bestFit="1" customWidth="1"/>
    <col min="6" max="6" width="9.28515625" bestFit="1" customWidth="1"/>
    <col min="7" max="7" width="9.42578125" customWidth="1"/>
    <col min="8" max="8" width="12.140625" bestFit="1" customWidth="1"/>
    <col min="9" max="9" width="4.7109375" bestFit="1" customWidth="1"/>
    <col min="10" max="10" width="7.85546875" customWidth="1"/>
    <col min="11" max="11" width="9" customWidth="1"/>
    <col min="12" max="12" width="11" customWidth="1"/>
    <col min="13" max="13" width="7.140625" bestFit="1" customWidth="1"/>
    <col min="14" max="14" width="7.85546875" bestFit="1" customWidth="1"/>
    <col min="15" max="15" width="10.7109375" customWidth="1"/>
    <col min="16" max="16" width="43.710937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46046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1172</v>
      </c>
      <c r="B4" s="2" t="s">
        <v>1129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46046</v>
      </c>
      <c r="G4" s="13">
        <v>0.35416666666666669</v>
      </c>
      <c r="H4" s="2" t="s">
        <v>53</v>
      </c>
      <c r="I4" s="2" t="s">
        <v>54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3</v>
      </c>
      <c r="O4" s="2" t="s">
        <v>122</v>
      </c>
      <c r="P4" s="2" t="s">
        <v>1908</v>
      </c>
    </row>
    <row r="5" spans="1:16" x14ac:dyDescent="0.25">
      <c r="A5" s="17" t="s">
        <v>1172</v>
      </c>
      <c r="B5" s="2" t="s">
        <v>1133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46046</v>
      </c>
      <c r="G5" s="13">
        <v>0.35416666666666669</v>
      </c>
      <c r="H5" s="2" t="s">
        <v>53</v>
      </c>
      <c r="I5" s="2" t="s">
        <v>54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122</v>
      </c>
      <c r="P5" s="2" t="s">
        <v>1909</v>
      </c>
    </row>
    <row r="6" spans="1:16" x14ac:dyDescent="0.25">
      <c r="A6" s="17" t="s">
        <v>1172</v>
      </c>
      <c r="B6" s="2" t="s">
        <v>1137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46046</v>
      </c>
      <c r="G6" s="13">
        <v>0.35416666666666669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122</v>
      </c>
      <c r="P6" s="2">
        <v>910106975</v>
      </c>
    </row>
    <row r="7" spans="1:16" x14ac:dyDescent="0.25">
      <c r="A7" s="17" t="s">
        <v>1172</v>
      </c>
      <c r="B7" s="2" t="s">
        <v>1138</v>
      </c>
      <c r="C7" s="27" t="s">
        <v>12</v>
      </c>
      <c r="D7" s="2" t="str">
        <f>VLOOKUP($C7,Sheet1!$A$2:$D$10,2,0)</f>
        <v>141185-74670</v>
      </c>
      <c r="E7" s="8" t="s">
        <v>66</v>
      </c>
      <c r="F7" s="12">
        <v>46046</v>
      </c>
      <c r="G7" s="13">
        <v>0.35416666666666669</v>
      </c>
      <c r="H7" s="2" t="s">
        <v>53</v>
      </c>
      <c r="I7" s="2" t="s">
        <v>54</v>
      </c>
      <c r="J7" s="2">
        <v>40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1</v>
      </c>
      <c r="O7" s="2" t="s">
        <v>122</v>
      </c>
      <c r="P7" s="2">
        <v>910106975</v>
      </c>
    </row>
    <row r="8" spans="1:16" x14ac:dyDescent="0.25">
      <c r="A8" s="17" t="s">
        <v>1172</v>
      </c>
      <c r="B8" s="2" t="s">
        <v>1142</v>
      </c>
      <c r="C8" s="27" t="s">
        <v>16</v>
      </c>
      <c r="D8" s="2" t="str">
        <f>VLOOKUP($C8,Sheet1!$A$2:$D$10,2,0)</f>
        <v>141140-91211</v>
      </c>
      <c r="E8" s="8" t="s">
        <v>70</v>
      </c>
      <c r="F8" s="12">
        <v>46046</v>
      </c>
      <c r="G8" s="13">
        <v>0.35416666666666669</v>
      </c>
      <c r="H8" s="2" t="s">
        <v>71</v>
      </c>
      <c r="I8" s="2" t="s">
        <v>54</v>
      </c>
      <c r="J8" s="2">
        <v>50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25</v>
      </c>
      <c r="N8" s="2"/>
      <c r="O8" s="2" t="s">
        <v>122</v>
      </c>
      <c r="P8" s="2" t="s">
        <v>1910</v>
      </c>
    </row>
    <row r="9" spans="1:16" x14ac:dyDescent="0.25">
      <c r="A9" s="17" t="s">
        <v>1172</v>
      </c>
      <c r="B9" s="2" t="s">
        <v>1147</v>
      </c>
      <c r="C9" s="27" t="s">
        <v>20</v>
      </c>
      <c r="D9" s="2" t="str">
        <f>VLOOKUP($C9,Sheet1!$A$2:$D$10,2,0)</f>
        <v>141150-91211</v>
      </c>
      <c r="E9" s="8" t="s">
        <v>78</v>
      </c>
      <c r="F9" s="12">
        <v>46046</v>
      </c>
      <c r="G9" s="13">
        <v>0.35416666666666669</v>
      </c>
      <c r="H9" s="2" t="s">
        <v>71</v>
      </c>
      <c r="I9" s="2" t="s">
        <v>54</v>
      </c>
      <c r="J9" s="2">
        <v>50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" si="0">J9/K9</f>
        <v>25</v>
      </c>
      <c r="N9" s="2"/>
      <c r="O9" s="2" t="s">
        <v>122</v>
      </c>
      <c r="P9" s="2" t="s">
        <v>420</v>
      </c>
    </row>
    <row r="10" spans="1:16" x14ac:dyDescent="0.25">
      <c r="A10" s="17" t="s">
        <v>1172</v>
      </c>
      <c r="B10" s="2" t="s">
        <v>1152</v>
      </c>
      <c r="C10" s="27" t="s">
        <v>23</v>
      </c>
      <c r="D10" s="2" t="str">
        <f>VLOOKUP($C10,Sheet1!$A$2:$D$10,2,0)</f>
        <v>141186-74360</v>
      </c>
      <c r="E10" s="8" t="s">
        <v>85</v>
      </c>
      <c r="F10" s="12">
        <v>46046</v>
      </c>
      <c r="G10" s="13">
        <v>0.35416666666666669</v>
      </c>
      <c r="H10" s="2" t="s">
        <v>71</v>
      </c>
      <c r="I10" s="2" t="s">
        <v>54</v>
      </c>
      <c r="J10" s="2">
        <v>80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 t="shared" ref="N10:N11" si="1">J10/K10</f>
        <v>2</v>
      </c>
      <c r="O10" s="2" t="s">
        <v>122</v>
      </c>
      <c r="P10" s="2">
        <v>910106976</v>
      </c>
    </row>
    <row r="11" spans="1:16" x14ac:dyDescent="0.25">
      <c r="A11" s="17" t="s">
        <v>1172</v>
      </c>
      <c r="B11" s="2" t="s">
        <v>1153</v>
      </c>
      <c r="C11" s="27" t="s">
        <v>23</v>
      </c>
      <c r="D11" s="2" t="str">
        <f>VLOOKUP($C11,Sheet1!$A$2:$D$10,2,0)</f>
        <v>141186-74360</v>
      </c>
      <c r="E11" s="8" t="s">
        <v>85</v>
      </c>
      <c r="F11" s="12">
        <v>46046</v>
      </c>
      <c r="G11" s="13">
        <v>0.35416666666666669</v>
      </c>
      <c r="H11" s="2" t="s">
        <v>71</v>
      </c>
      <c r="I11" s="2" t="s">
        <v>54</v>
      </c>
      <c r="J11" s="2">
        <v>40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 t="shared" si="1"/>
        <v>1</v>
      </c>
      <c r="O11" s="2" t="s">
        <v>122</v>
      </c>
      <c r="P11" s="2">
        <v>910106976</v>
      </c>
    </row>
    <row r="12" spans="1:16" x14ac:dyDescent="0.25">
      <c r="A12" s="17" t="s">
        <v>1173</v>
      </c>
      <c r="B12" s="2" t="s">
        <v>1157</v>
      </c>
      <c r="C12" s="27" t="s">
        <v>26</v>
      </c>
      <c r="D12" s="2" t="str">
        <f>VLOOKUP($C12,Sheet1!$A$2:$D$10,2,0)</f>
        <v>116040-92240</v>
      </c>
      <c r="E12" s="8" t="s">
        <v>90</v>
      </c>
      <c r="F12" s="12">
        <v>46046</v>
      </c>
      <c r="G12" s="13">
        <v>0.35416666666666669</v>
      </c>
      <c r="H12" s="2" t="s">
        <v>91</v>
      </c>
      <c r="I12" s="2" t="s">
        <v>54</v>
      </c>
      <c r="J12" s="2">
        <v>60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ref="M12:M14" si="2">J12/K12</f>
        <v>10</v>
      </c>
      <c r="N12" s="2"/>
      <c r="O12" s="2" t="s">
        <v>122</v>
      </c>
      <c r="P12" s="2" t="s">
        <v>1893</v>
      </c>
    </row>
    <row r="13" spans="1:16" x14ac:dyDescent="0.25">
      <c r="A13" s="17" t="s">
        <v>1173</v>
      </c>
      <c r="B13" s="2" t="s">
        <v>1162</v>
      </c>
      <c r="C13" s="27" t="s">
        <v>32</v>
      </c>
      <c r="D13" s="2" t="str">
        <f>VLOOKUP($C13,Sheet1!$A$2:$D$10,2,0)</f>
        <v>114010-50820</v>
      </c>
      <c r="E13" s="8" t="s">
        <v>98</v>
      </c>
      <c r="F13" s="12">
        <v>46046</v>
      </c>
      <c r="G13" s="13">
        <v>0.35416666666666669</v>
      </c>
      <c r="H13" s="2" t="s">
        <v>91</v>
      </c>
      <c r="I13" s="2" t="s">
        <v>54</v>
      </c>
      <c r="J13" s="2">
        <v>25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2"/>
        <v>25</v>
      </c>
      <c r="N13" s="2"/>
      <c r="O13" s="2" t="s">
        <v>122</v>
      </c>
      <c r="P13" s="2" t="s">
        <v>739</v>
      </c>
    </row>
    <row r="14" spans="1:16" x14ac:dyDescent="0.25">
      <c r="A14" s="17" t="s">
        <v>1173</v>
      </c>
      <c r="B14" s="2" t="s">
        <v>1167</v>
      </c>
      <c r="C14" s="27" t="s">
        <v>29</v>
      </c>
      <c r="D14" s="2" t="str">
        <f>VLOOKUP($C14,Sheet1!$A$2:$D$10,2,0)</f>
        <v>114010-50830</v>
      </c>
      <c r="E14" s="8" t="s">
        <v>98</v>
      </c>
      <c r="F14" s="12">
        <v>46046</v>
      </c>
      <c r="G14" s="13">
        <v>0.35416666666666669</v>
      </c>
      <c r="H14" s="2" t="s">
        <v>91</v>
      </c>
      <c r="I14" s="2" t="s">
        <v>54</v>
      </c>
      <c r="J14" s="2">
        <v>25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2"/>
        <v>25</v>
      </c>
      <c r="N14" s="2"/>
      <c r="O14" s="2" t="s">
        <v>122</v>
      </c>
      <c r="P14" s="2" t="s">
        <v>1893</v>
      </c>
    </row>
    <row r="15" spans="1:16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110</v>
      </c>
      <c r="N15" s="10">
        <v>9</v>
      </c>
      <c r="O15" s="10"/>
      <c r="P15" s="10"/>
    </row>
    <row r="16" spans="1:16" x14ac:dyDescent="0.25">
      <c r="A16" s="17" t="s">
        <v>1174</v>
      </c>
      <c r="B16" s="2" t="s">
        <v>1129</v>
      </c>
      <c r="C16" s="27" t="s">
        <v>5</v>
      </c>
      <c r="D16" s="2" t="str">
        <f>VLOOKUP($C16,Sheet1!$A$2:$D$10,2,0)</f>
        <v>141110-14600</v>
      </c>
      <c r="E16" s="8" t="s">
        <v>52</v>
      </c>
      <c r="F16" s="12">
        <v>46046</v>
      </c>
      <c r="G16" s="13">
        <v>0.35416666666666669</v>
      </c>
      <c r="H16" s="2" t="s">
        <v>53</v>
      </c>
      <c r="I16" s="2" t="s">
        <v>54</v>
      </c>
      <c r="J16" s="2">
        <v>54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2">
        <v>3</v>
      </c>
      <c r="O16" s="2" t="s">
        <v>119</v>
      </c>
      <c r="P16" s="2" t="s">
        <v>1909</v>
      </c>
    </row>
    <row r="17" spans="1:16" x14ac:dyDescent="0.25">
      <c r="A17" s="17" t="s">
        <v>1174</v>
      </c>
      <c r="B17" s="2" t="s">
        <v>1133</v>
      </c>
      <c r="C17" s="27" t="s">
        <v>9</v>
      </c>
      <c r="D17" s="2" t="str">
        <f>VLOOKUP($C17,Sheet1!$A$2:$D$10,2,0)</f>
        <v>141120-14600</v>
      </c>
      <c r="E17" s="8" t="s">
        <v>60</v>
      </c>
      <c r="F17" s="12">
        <v>46046</v>
      </c>
      <c r="G17" s="13">
        <v>0.35416666666666669</v>
      </c>
      <c r="H17" s="2" t="s">
        <v>53</v>
      </c>
      <c r="I17" s="2" t="s">
        <v>54</v>
      </c>
      <c r="J17" s="2">
        <v>54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3"/>
      <c r="O17" s="2" t="s">
        <v>119</v>
      </c>
      <c r="P17" s="2" t="s">
        <v>1909</v>
      </c>
    </row>
    <row r="18" spans="1:16" x14ac:dyDescent="0.25">
      <c r="A18" s="17" t="s">
        <v>1174</v>
      </c>
      <c r="B18" s="2" t="s">
        <v>1137</v>
      </c>
      <c r="C18" s="27" t="s">
        <v>12</v>
      </c>
      <c r="D18" s="2" t="str">
        <f>VLOOKUP($C18,Sheet1!$A$2:$D$10,2,0)</f>
        <v>141185-74670</v>
      </c>
      <c r="E18" s="8" t="s">
        <v>66</v>
      </c>
      <c r="F18" s="12">
        <v>46046</v>
      </c>
      <c r="G18" s="13">
        <v>0.35416666666666669</v>
      </c>
      <c r="H18" s="2" t="s">
        <v>53</v>
      </c>
      <c r="I18" s="2" t="s">
        <v>54</v>
      </c>
      <c r="J18" s="2">
        <v>80</v>
      </c>
      <c r="K18" s="14">
        <f>VLOOKUP($C18,Sheet1!$A$2:$D$10,4,0)</f>
        <v>40</v>
      </c>
      <c r="L18" s="14" t="str">
        <f>VLOOKUP($C18,Sheet1!$A$2:$E$10,5,0)</f>
        <v>Trolley</v>
      </c>
      <c r="M18" s="14"/>
      <c r="N18" s="2">
        <f>J18/K18</f>
        <v>2</v>
      </c>
      <c r="O18" s="2" t="s">
        <v>119</v>
      </c>
      <c r="P18" s="2">
        <v>910106975</v>
      </c>
    </row>
    <row r="19" spans="1:16" x14ac:dyDescent="0.25">
      <c r="A19" s="17" t="s">
        <v>1174</v>
      </c>
      <c r="B19" s="2" t="s">
        <v>1143</v>
      </c>
      <c r="C19" s="27" t="s">
        <v>16</v>
      </c>
      <c r="D19" s="2" t="str">
        <f>VLOOKUP($C19,Sheet1!$A$2:$D$10,2,0)</f>
        <v>141140-91211</v>
      </c>
      <c r="E19" s="8" t="s">
        <v>70</v>
      </c>
      <c r="F19" s="12">
        <v>46046</v>
      </c>
      <c r="G19" s="13">
        <v>0.35416666666666669</v>
      </c>
      <c r="H19" s="2" t="s">
        <v>71</v>
      </c>
      <c r="I19" s="2" t="s">
        <v>54</v>
      </c>
      <c r="J19" s="2">
        <v>24</v>
      </c>
      <c r="K19" s="14">
        <f>VLOOKUP($C19,Sheet1!$A$2:$D$10,4,0)</f>
        <v>2</v>
      </c>
      <c r="L19" s="14" t="str">
        <f>VLOOKUP($C19,Sheet1!$A$2:$E$10,5,0)</f>
        <v>Bin</v>
      </c>
      <c r="M19" s="14">
        <f>J19/K19</f>
        <v>12</v>
      </c>
      <c r="N19" s="2"/>
      <c r="O19" s="2" t="s">
        <v>119</v>
      </c>
      <c r="P19" s="2" t="s">
        <v>1910</v>
      </c>
    </row>
    <row r="20" spans="1:16" x14ac:dyDescent="0.25">
      <c r="A20" s="17" t="s">
        <v>1174</v>
      </c>
      <c r="B20" s="2" t="s">
        <v>1142</v>
      </c>
      <c r="C20" s="27" t="s">
        <v>16</v>
      </c>
      <c r="D20" s="2" t="str">
        <f>VLOOKUP($C20,Sheet1!$A$2:$D$10,2,0)</f>
        <v>141140-91211</v>
      </c>
      <c r="E20" s="8" t="s">
        <v>70</v>
      </c>
      <c r="F20" s="12">
        <v>46046</v>
      </c>
      <c r="G20" s="13">
        <v>0.35416666666666669</v>
      </c>
      <c r="H20" s="2" t="s">
        <v>71</v>
      </c>
      <c r="I20" s="2" t="s">
        <v>54</v>
      </c>
      <c r="J20" s="2">
        <v>60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30</v>
      </c>
      <c r="N20" s="2"/>
      <c r="O20" s="2" t="s">
        <v>119</v>
      </c>
      <c r="P20" s="2" t="s">
        <v>1910</v>
      </c>
    </row>
    <row r="21" spans="1:16" x14ac:dyDescent="0.25">
      <c r="A21" s="17" t="s">
        <v>1174</v>
      </c>
      <c r="B21" s="2" t="s">
        <v>1147</v>
      </c>
      <c r="C21" s="27" t="s">
        <v>20</v>
      </c>
      <c r="D21" s="2" t="str">
        <f>VLOOKUP($C21,Sheet1!$A$2:$D$10,2,0)</f>
        <v>141150-91211</v>
      </c>
      <c r="E21" s="8" t="s">
        <v>78</v>
      </c>
      <c r="F21" s="12">
        <v>46046</v>
      </c>
      <c r="G21" s="13">
        <v>0.35416666666666669</v>
      </c>
      <c r="H21" s="2" t="s">
        <v>71</v>
      </c>
      <c r="I21" s="2" t="s">
        <v>54</v>
      </c>
      <c r="J21" s="2">
        <v>60</v>
      </c>
      <c r="K21" s="14">
        <f>VLOOKUP($C21,Sheet1!$A$2:$D$10,4,0)</f>
        <v>2</v>
      </c>
      <c r="L21" s="14" t="str">
        <f>VLOOKUP($C21,Sheet1!$A$2:$E$10,5,0)</f>
        <v>Bin</v>
      </c>
      <c r="M21" s="14">
        <f t="shared" ref="M21" si="3">J21/K21</f>
        <v>30</v>
      </c>
      <c r="N21" s="2"/>
      <c r="O21" s="2" t="s">
        <v>119</v>
      </c>
      <c r="P21" s="2" t="s">
        <v>420</v>
      </c>
    </row>
    <row r="22" spans="1:16" x14ac:dyDescent="0.25">
      <c r="A22" s="17" t="s">
        <v>1174</v>
      </c>
      <c r="B22" s="2" t="s">
        <v>1148</v>
      </c>
      <c r="C22" s="27" t="s">
        <v>20</v>
      </c>
      <c r="D22" s="2" t="str">
        <f>VLOOKUP($C22,Sheet1!$A$2:$D$10,2,0)</f>
        <v>141150-91211</v>
      </c>
      <c r="E22" s="8" t="s">
        <v>78</v>
      </c>
      <c r="F22" s="12">
        <v>46046</v>
      </c>
      <c r="G22" s="13">
        <v>0.35416666666666669</v>
      </c>
      <c r="H22" s="2" t="s">
        <v>71</v>
      </c>
      <c r="I22" s="2" t="s">
        <v>54</v>
      </c>
      <c r="J22" s="2">
        <v>24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12</v>
      </c>
      <c r="N22" s="2"/>
      <c r="O22" s="2" t="s">
        <v>119</v>
      </c>
      <c r="P22" s="2" t="s">
        <v>420</v>
      </c>
    </row>
    <row r="23" spans="1:16" x14ac:dyDescent="0.25">
      <c r="A23" s="17" t="s">
        <v>1174</v>
      </c>
      <c r="B23" s="2" t="s">
        <v>1152</v>
      </c>
      <c r="C23" s="27" t="s">
        <v>23</v>
      </c>
      <c r="D23" s="2" t="str">
        <f>VLOOKUP($C23,Sheet1!$A$2:$D$10,2,0)</f>
        <v>141186-74360</v>
      </c>
      <c r="E23" s="8" t="s">
        <v>85</v>
      </c>
      <c r="F23" s="12">
        <v>46046</v>
      </c>
      <c r="G23" s="13">
        <v>0.35416666666666669</v>
      </c>
      <c r="H23" s="2" t="s">
        <v>71</v>
      </c>
      <c r="I23" s="2" t="s">
        <v>54</v>
      </c>
      <c r="J23" s="2">
        <v>80</v>
      </c>
      <c r="K23" s="14">
        <f>VLOOKUP($C23,Sheet1!$A$2:$D$10,4,0)</f>
        <v>40</v>
      </c>
      <c r="L23" s="14" t="str">
        <f>VLOOKUP($C23,Sheet1!$A$2:$E$10,5,0)</f>
        <v>Trolley</v>
      </c>
      <c r="M23" s="14"/>
      <c r="N23" s="2">
        <f t="shared" ref="N23" si="4">J23/K23</f>
        <v>2</v>
      </c>
      <c r="O23" s="2" t="s">
        <v>119</v>
      </c>
      <c r="P23" s="2">
        <v>910106976</v>
      </c>
    </row>
    <row r="24" spans="1:16" x14ac:dyDescent="0.25">
      <c r="A24" s="17" t="s">
        <v>1175</v>
      </c>
      <c r="B24" s="2" t="s">
        <v>1157</v>
      </c>
      <c r="C24" s="27" t="s">
        <v>26</v>
      </c>
      <c r="D24" s="2" t="str">
        <f>VLOOKUP($C24,Sheet1!$A$2:$D$10,2,0)</f>
        <v>116040-92240</v>
      </c>
      <c r="E24" s="8" t="s">
        <v>90</v>
      </c>
      <c r="F24" s="12">
        <v>46046</v>
      </c>
      <c r="G24" s="13">
        <v>0.35416666666666669</v>
      </c>
      <c r="H24" s="2" t="s">
        <v>91</v>
      </c>
      <c r="I24" s="2" t="s">
        <v>54</v>
      </c>
      <c r="J24" s="2">
        <v>54</v>
      </c>
      <c r="K24" s="14">
        <f>VLOOKUP($C24,Sheet1!$A$2:$D$10,4,0)</f>
        <v>6</v>
      </c>
      <c r="L24" s="14" t="str">
        <f>VLOOKUP($C24,Sheet1!$A$2:$E$10,5,0)</f>
        <v>Bin</v>
      </c>
      <c r="M24" s="14">
        <f t="shared" ref="M24" si="5">J24/K24</f>
        <v>9</v>
      </c>
      <c r="N24" s="2"/>
      <c r="O24" s="2" t="s">
        <v>119</v>
      </c>
      <c r="P24" s="2" t="s">
        <v>1893</v>
      </c>
    </row>
    <row r="25" spans="1:16" x14ac:dyDescent="0.25">
      <c r="A25" s="17" t="s">
        <v>1175</v>
      </c>
      <c r="B25" s="2" t="s">
        <v>1158</v>
      </c>
      <c r="C25" s="27" t="s">
        <v>26</v>
      </c>
      <c r="D25" s="2" t="str">
        <f>VLOOKUP($C25,Sheet1!$A$2:$D$10,2,0)</f>
        <v>116040-92240</v>
      </c>
      <c r="E25" s="8" t="s">
        <v>90</v>
      </c>
      <c r="F25" s="12">
        <v>46046</v>
      </c>
      <c r="G25" s="13">
        <v>0.35416666666666669</v>
      </c>
      <c r="H25" s="2" t="s">
        <v>91</v>
      </c>
      <c r="I25" s="2" t="s">
        <v>54</v>
      </c>
      <c r="J25" s="2">
        <v>24</v>
      </c>
      <c r="K25" s="14">
        <f>VLOOKUP($C25,Sheet1!$A$2:$D$10,4,0)</f>
        <v>6</v>
      </c>
      <c r="L25" s="14" t="str">
        <f>VLOOKUP($C25,Sheet1!$A$2:$E$10,5,0)</f>
        <v>Bin</v>
      </c>
      <c r="M25" s="14">
        <f>J25/K25</f>
        <v>4</v>
      </c>
      <c r="N25" s="2"/>
      <c r="O25" s="2" t="s">
        <v>119</v>
      </c>
      <c r="P25" s="2" t="s">
        <v>1893</v>
      </c>
    </row>
    <row r="26" spans="1:16" x14ac:dyDescent="0.25">
      <c r="A26" s="17" t="s">
        <v>1175</v>
      </c>
      <c r="B26" s="2" t="s">
        <v>1162</v>
      </c>
      <c r="C26" s="27" t="s">
        <v>32</v>
      </c>
      <c r="D26" s="2" t="str">
        <f>VLOOKUP($C26,Sheet1!$A$2:$D$10,2,0)</f>
        <v>114010-50820</v>
      </c>
      <c r="E26" s="8" t="s">
        <v>98</v>
      </c>
      <c r="F26" s="12">
        <v>46046</v>
      </c>
      <c r="G26" s="13">
        <v>0.35416666666666669</v>
      </c>
      <c r="H26" s="2" t="s">
        <v>91</v>
      </c>
      <c r="I26" s="2" t="s">
        <v>54</v>
      </c>
      <c r="J26" s="2">
        <v>35</v>
      </c>
      <c r="K26" s="14">
        <f>VLOOKUP($C26,Sheet1!$A$2:$D$10,4,0)</f>
        <v>1</v>
      </c>
      <c r="L26" s="14" t="str">
        <f>VLOOKUP($C26,Sheet1!$A$2:$E$10,5,0)</f>
        <v>Bin</v>
      </c>
      <c r="M26" s="14">
        <f t="shared" ref="M26" si="6">J26/K26</f>
        <v>35</v>
      </c>
      <c r="N26" s="2"/>
      <c r="O26" s="2" t="s">
        <v>119</v>
      </c>
      <c r="P26" s="2" t="s">
        <v>739</v>
      </c>
    </row>
    <row r="27" spans="1:16" x14ac:dyDescent="0.25">
      <c r="A27" s="17" t="s">
        <v>1175</v>
      </c>
      <c r="B27" s="2" t="s">
        <v>1168</v>
      </c>
      <c r="C27" s="27" t="s">
        <v>29</v>
      </c>
      <c r="D27" s="2" t="str">
        <f>VLOOKUP($C27,Sheet1!$A$2:$D$10,2,0)</f>
        <v>114010-50830</v>
      </c>
      <c r="E27" s="8" t="s">
        <v>98</v>
      </c>
      <c r="F27" s="12">
        <v>46046</v>
      </c>
      <c r="G27" s="13">
        <v>0.35416666666666669</v>
      </c>
      <c r="H27" s="2" t="s">
        <v>91</v>
      </c>
      <c r="I27" s="2" t="s">
        <v>54</v>
      </c>
      <c r="J27" s="2">
        <v>15</v>
      </c>
      <c r="K27" s="14">
        <f>VLOOKUP($C27,Sheet1!$A$2:$D$10,4,0)</f>
        <v>1</v>
      </c>
      <c r="L27" s="14" t="str">
        <f>VLOOKUP($C27,Sheet1!$A$2:$E$10,5,0)</f>
        <v>Bin</v>
      </c>
      <c r="M27" s="14">
        <f>J27/K27</f>
        <v>15</v>
      </c>
      <c r="N27" s="2"/>
      <c r="O27" s="2" t="s">
        <v>119</v>
      </c>
      <c r="P27" s="2" t="s">
        <v>1893</v>
      </c>
    </row>
    <row r="28" spans="1:16" x14ac:dyDescent="0.25">
      <c r="A28" s="17" t="s">
        <v>1175</v>
      </c>
      <c r="B28" s="2" t="s">
        <v>1167</v>
      </c>
      <c r="C28" s="27" t="s">
        <v>29</v>
      </c>
      <c r="D28" s="2" t="str">
        <f>VLOOKUP($C28,Sheet1!$A$2:$D$10,2,0)</f>
        <v>114010-50830</v>
      </c>
      <c r="E28" s="8" t="s">
        <v>98</v>
      </c>
      <c r="F28" s="12">
        <v>46046</v>
      </c>
      <c r="G28" s="13">
        <v>0.35416666666666669</v>
      </c>
      <c r="H28" s="2" t="s">
        <v>91</v>
      </c>
      <c r="I28" s="2" t="s">
        <v>54</v>
      </c>
      <c r="J28" s="2">
        <v>10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ref="M28" si="7">J28/K28</f>
        <v>10</v>
      </c>
      <c r="N28" s="2"/>
      <c r="O28" s="2" t="s">
        <v>119</v>
      </c>
      <c r="P28" s="2" t="s">
        <v>1893</v>
      </c>
    </row>
    <row r="29" spans="1:16" s="11" customForma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>
        <v>157</v>
      </c>
      <c r="N29" s="10">
        <v>7</v>
      </c>
      <c r="O29" s="10"/>
      <c r="P29" s="10"/>
    </row>
    <row r="30" spans="1:16" x14ac:dyDescent="0.25">
      <c r="A30" s="17" t="s">
        <v>1176</v>
      </c>
      <c r="B30" s="2" t="s">
        <v>1130</v>
      </c>
      <c r="C30" s="27" t="s">
        <v>5</v>
      </c>
      <c r="D30" s="2" t="str">
        <f>VLOOKUP($C30,Sheet1!$A$2:$D$10,2,0)</f>
        <v>141110-14600</v>
      </c>
      <c r="E30" s="8" t="s">
        <v>52</v>
      </c>
      <c r="F30" s="12">
        <v>46046</v>
      </c>
      <c r="G30" s="13">
        <v>0.35416666666666669</v>
      </c>
      <c r="H30" s="2" t="s">
        <v>53</v>
      </c>
      <c r="I30" s="2" t="s">
        <v>54</v>
      </c>
      <c r="J30" s="2">
        <v>36</v>
      </c>
      <c r="K30" s="14">
        <f>VLOOKUP($C30,Sheet1!$A$2:$D$10,4,0)</f>
        <v>18</v>
      </c>
      <c r="L30" s="14" t="str">
        <f>VLOOKUP($C30,Sheet1!$A$2:$E$10,5,0)</f>
        <v>Trolley (H)</v>
      </c>
      <c r="M30" s="14"/>
      <c r="N30" s="52">
        <v>2</v>
      </c>
      <c r="O30" s="2" t="s">
        <v>359</v>
      </c>
      <c r="P30" s="2" t="s">
        <v>1909</v>
      </c>
    </row>
    <row r="31" spans="1:16" x14ac:dyDescent="0.25">
      <c r="A31" s="17" t="s">
        <v>1176</v>
      </c>
      <c r="B31" s="2" t="s">
        <v>1134</v>
      </c>
      <c r="C31" s="27" t="s">
        <v>9</v>
      </c>
      <c r="D31" s="2" t="str">
        <f>VLOOKUP($C31,Sheet1!$A$2:$D$10,2,0)</f>
        <v>141120-14600</v>
      </c>
      <c r="E31" s="8" t="s">
        <v>60</v>
      </c>
      <c r="F31" s="12">
        <v>46046</v>
      </c>
      <c r="G31" s="13">
        <v>0.35416666666666669</v>
      </c>
      <c r="H31" s="2" t="s">
        <v>53</v>
      </c>
      <c r="I31" s="2" t="s">
        <v>54</v>
      </c>
      <c r="J31" s="2">
        <v>36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3"/>
      <c r="O31" s="2" t="s">
        <v>359</v>
      </c>
      <c r="P31" s="2" t="s">
        <v>1909</v>
      </c>
    </row>
    <row r="32" spans="1:16" x14ac:dyDescent="0.25">
      <c r="A32" s="17" t="s">
        <v>1176</v>
      </c>
      <c r="B32" s="2" t="s">
        <v>1137</v>
      </c>
      <c r="C32" s="27" t="s">
        <v>12</v>
      </c>
      <c r="D32" s="2" t="str">
        <f>VLOOKUP($C32,Sheet1!$A$2:$D$10,2,0)</f>
        <v>141185-74670</v>
      </c>
      <c r="E32" s="8" t="s">
        <v>66</v>
      </c>
      <c r="F32" s="12">
        <v>46046</v>
      </c>
      <c r="G32" s="13">
        <v>0.35416666666666669</v>
      </c>
      <c r="H32" s="2" t="s">
        <v>53</v>
      </c>
      <c r="I32" s="2" t="s">
        <v>54</v>
      </c>
      <c r="J32" s="2">
        <v>40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>J32/K32</f>
        <v>1</v>
      </c>
      <c r="O32" s="2" t="s">
        <v>359</v>
      </c>
      <c r="P32" s="2">
        <v>910106975</v>
      </c>
    </row>
    <row r="33" spans="1:16" x14ac:dyDescent="0.25">
      <c r="A33" s="17" t="s">
        <v>1176</v>
      </c>
      <c r="B33" s="2" t="s">
        <v>1152</v>
      </c>
      <c r="C33" s="27" t="s">
        <v>23</v>
      </c>
      <c r="D33" s="2" t="str">
        <f>VLOOKUP($C33,Sheet1!$A$2:$D$10,2,0)</f>
        <v>141186-74360</v>
      </c>
      <c r="E33" s="8" t="s">
        <v>85</v>
      </c>
      <c r="F33" s="12">
        <v>46046</v>
      </c>
      <c r="G33" s="13">
        <v>0.35416666666666669</v>
      </c>
      <c r="H33" s="2" t="s">
        <v>71</v>
      </c>
      <c r="I33" s="2" t="s">
        <v>54</v>
      </c>
      <c r="J33" s="2">
        <v>80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 t="shared" ref="N33" si="8">J33/K33</f>
        <v>2</v>
      </c>
      <c r="O33" s="2" t="s">
        <v>359</v>
      </c>
      <c r="P33" s="2" t="s">
        <v>1911</v>
      </c>
    </row>
    <row r="34" spans="1:16" x14ac:dyDescent="0.25">
      <c r="A34" s="17" t="s">
        <v>1177</v>
      </c>
      <c r="B34" s="2" t="s">
        <v>1163</v>
      </c>
      <c r="C34" s="27" t="s">
        <v>32</v>
      </c>
      <c r="D34" s="2" t="str">
        <f>VLOOKUP($C34,Sheet1!$A$2:$D$10,2,0)</f>
        <v>114010-50820</v>
      </c>
      <c r="E34" s="8" t="s">
        <v>98</v>
      </c>
      <c r="F34" s="12">
        <v>46046</v>
      </c>
      <c r="G34" s="13">
        <v>0.35416666666666669</v>
      </c>
      <c r="H34" s="2" t="s">
        <v>91</v>
      </c>
      <c r="I34" s="2" t="s">
        <v>54</v>
      </c>
      <c r="J34" s="2">
        <v>10</v>
      </c>
      <c r="K34" s="14">
        <f>VLOOKUP($C34,Sheet1!$A$2:$D$10,4,0)</f>
        <v>1</v>
      </c>
      <c r="L34" s="14" t="str">
        <f>VLOOKUP($C34,Sheet1!$A$2:$E$10,5,0)</f>
        <v>Bin</v>
      </c>
      <c r="M34" s="14">
        <f>J34/K34</f>
        <v>10</v>
      </c>
      <c r="N34" s="2"/>
      <c r="O34" s="2" t="s">
        <v>359</v>
      </c>
      <c r="P34" s="2" t="s">
        <v>739</v>
      </c>
    </row>
    <row r="35" spans="1:16" x14ac:dyDescent="0.25">
      <c r="A35" s="17" t="s">
        <v>1177</v>
      </c>
      <c r="B35" s="2" t="s">
        <v>1162</v>
      </c>
      <c r="C35" s="27" t="s">
        <v>32</v>
      </c>
      <c r="D35" s="2" t="str">
        <f>VLOOKUP($C35,Sheet1!$A$2:$D$10,2,0)</f>
        <v>114010-50820</v>
      </c>
      <c r="E35" s="8" t="s">
        <v>98</v>
      </c>
      <c r="F35" s="12">
        <v>46046</v>
      </c>
      <c r="G35" s="13">
        <v>0.35416666666666669</v>
      </c>
      <c r="H35" s="2" t="s">
        <v>91</v>
      </c>
      <c r="I35" s="2" t="s">
        <v>54</v>
      </c>
      <c r="J35" s="2">
        <v>5</v>
      </c>
      <c r="K35" s="14">
        <f>VLOOKUP($C35,Sheet1!$A$2:$D$10,4,0)</f>
        <v>1</v>
      </c>
      <c r="L35" s="14" t="str">
        <f>VLOOKUP($C35,Sheet1!$A$2:$E$10,5,0)</f>
        <v>Bin</v>
      </c>
      <c r="M35" s="14">
        <f t="shared" ref="M35" si="9">J35/K35</f>
        <v>5</v>
      </c>
      <c r="N35" s="2"/>
      <c r="O35" s="2" t="s">
        <v>359</v>
      </c>
      <c r="P35" s="2" t="s">
        <v>739</v>
      </c>
    </row>
    <row r="36" spans="1:16" ht="15.75" thickBot="1" x14ac:dyDescent="0.3">
      <c r="A36" s="17" t="s">
        <v>1177</v>
      </c>
      <c r="B36" s="2" t="s">
        <v>1167</v>
      </c>
      <c r="C36" s="27" t="s">
        <v>29</v>
      </c>
      <c r="D36" s="2" t="str">
        <f>VLOOKUP($C36,Sheet1!$A$2:$D$10,2,0)</f>
        <v>114010-50830</v>
      </c>
      <c r="E36" s="8" t="s">
        <v>98</v>
      </c>
      <c r="F36" s="12">
        <v>46046</v>
      </c>
      <c r="G36" s="15">
        <v>0.35416666666666669</v>
      </c>
      <c r="H36" s="2" t="s">
        <v>91</v>
      </c>
      <c r="I36" s="2" t="s">
        <v>54</v>
      </c>
      <c r="J36" s="2">
        <v>11</v>
      </c>
      <c r="K36" s="14">
        <f>VLOOKUP($C36,Sheet1!$A$2:$D$10,4,0)</f>
        <v>1</v>
      </c>
      <c r="L36" s="14" t="str">
        <f>VLOOKUP($C36,Sheet1!$A$2:$E$10,5,0)</f>
        <v>Bin</v>
      </c>
      <c r="M36" s="14">
        <f t="shared" ref="M36" si="10">J36/K36</f>
        <v>11</v>
      </c>
      <c r="N36" s="2"/>
      <c r="O36" s="2" t="s">
        <v>359</v>
      </c>
      <c r="P36" s="2" t="s">
        <v>1893</v>
      </c>
    </row>
    <row r="37" spans="1:16" ht="15.75" thickTop="1" x14ac:dyDescent="0.25">
      <c r="A37" s="17" t="s">
        <v>1178</v>
      </c>
      <c r="B37" s="2" t="s">
        <v>1131</v>
      </c>
      <c r="C37" s="27" t="s">
        <v>5</v>
      </c>
      <c r="D37" s="2" t="str">
        <f>VLOOKUP($C37,Sheet1!$A$2:$D$10,2,0)</f>
        <v>141110-14600</v>
      </c>
      <c r="E37" s="8" t="s">
        <v>52</v>
      </c>
      <c r="F37" s="12">
        <v>46046</v>
      </c>
      <c r="G37" s="38">
        <v>0.5625</v>
      </c>
      <c r="H37" s="2" t="s">
        <v>53</v>
      </c>
      <c r="I37" s="2" t="s">
        <v>54</v>
      </c>
      <c r="J37" s="2">
        <v>18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2">
        <v>1</v>
      </c>
      <c r="O37" s="2" t="s">
        <v>359</v>
      </c>
      <c r="P37" s="2" t="s">
        <v>1909</v>
      </c>
    </row>
    <row r="38" spans="1:16" x14ac:dyDescent="0.25">
      <c r="A38" s="17" t="s">
        <v>1178</v>
      </c>
      <c r="B38" s="2" t="s">
        <v>1135</v>
      </c>
      <c r="C38" s="27" t="s">
        <v>9</v>
      </c>
      <c r="D38" s="2" t="str">
        <f>VLOOKUP($C38,Sheet1!$A$2:$D$10,2,0)</f>
        <v>141120-14600</v>
      </c>
      <c r="E38" s="8" t="s">
        <v>60</v>
      </c>
      <c r="F38" s="12">
        <v>46046</v>
      </c>
      <c r="G38" s="23">
        <v>0.5625</v>
      </c>
      <c r="H38" s="2" t="s">
        <v>53</v>
      </c>
      <c r="I38" s="2" t="s">
        <v>54</v>
      </c>
      <c r="J38" s="2">
        <v>18</v>
      </c>
      <c r="K38" s="14">
        <f>VLOOKUP($C38,Sheet1!$A$2:$D$10,4,0)</f>
        <v>18</v>
      </c>
      <c r="L38" s="14" t="str">
        <f>VLOOKUP($C38,Sheet1!$A$2:$E$10,5,0)</f>
        <v>Trolley (H)</v>
      </c>
      <c r="M38" s="14"/>
      <c r="N38" s="53"/>
      <c r="O38" s="2" t="s">
        <v>359</v>
      </c>
      <c r="P38" s="2" t="s">
        <v>1909</v>
      </c>
    </row>
    <row r="39" spans="1:16" x14ac:dyDescent="0.25">
      <c r="A39" s="17" t="s">
        <v>1178</v>
      </c>
      <c r="B39" s="2" t="s">
        <v>1139</v>
      </c>
      <c r="C39" s="27" t="s">
        <v>12</v>
      </c>
      <c r="D39" s="2" t="str">
        <f>VLOOKUP($C39,Sheet1!$A$2:$D$10,2,0)</f>
        <v>141185-74670</v>
      </c>
      <c r="E39" s="8" t="s">
        <v>66</v>
      </c>
      <c r="F39" s="12">
        <v>46046</v>
      </c>
      <c r="G39" s="23">
        <v>0.5625</v>
      </c>
      <c r="H39" s="2" t="s">
        <v>53</v>
      </c>
      <c r="I39" s="2" t="s">
        <v>54</v>
      </c>
      <c r="J39" s="2">
        <v>40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>J39/K39</f>
        <v>1</v>
      </c>
      <c r="O39" s="2" t="s">
        <v>359</v>
      </c>
      <c r="P39" s="2">
        <v>910106975</v>
      </c>
    </row>
    <row r="40" spans="1:16" x14ac:dyDescent="0.25">
      <c r="A40" s="17" t="s">
        <v>1179</v>
      </c>
      <c r="B40" s="2" t="s">
        <v>1159</v>
      </c>
      <c r="C40" s="27" t="s">
        <v>26</v>
      </c>
      <c r="D40" s="2" t="str">
        <f>VLOOKUP($C40,Sheet1!$A$2:$D$10,2,0)</f>
        <v>116040-92240</v>
      </c>
      <c r="E40" s="8" t="s">
        <v>90</v>
      </c>
      <c r="F40" s="12">
        <v>46046</v>
      </c>
      <c r="G40" s="23">
        <v>0.5625</v>
      </c>
      <c r="H40" s="2" t="s">
        <v>91</v>
      </c>
      <c r="I40" s="2" t="s">
        <v>54</v>
      </c>
      <c r="J40" s="2">
        <v>66</v>
      </c>
      <c r="K40" s="14">
        <f>VLOOKUP($C40,Sheet1!$A$2:$D$10,4,0)</f>
        <v>6</v>
      </c>
      <c r="L40" s="14" t="str">
        <f>VLOOKUP($C40,Sheet1!$A$2:$E$10,5,0)</f>
        <v>Bin</v>
      </c>
      <c r="M40" s="14">
        <f t="shared" ref="M40:M42" si="11">J40/K40</f>
        <v>11</v>
      </c>
      <c r="N40" s="2"/>
      <c r="O40" s="2" t="s">
        <v>359</v>
      </c>
      <c r="P40" s="2" t="s">
        <v>1912</v>
      </c>
    </row>
    <row r="41" spans="1:16" x14ac:dyDescent="0.25">
      <c r="A41" s="17" t="s">
        <v>1179</v>
      </c>
      <c r="B41" s="2" t="s">
        <v>1164</v>
      </c>
      <c r="C41" s="27" t="s">
        <v>32</v>
      </c>
      <c r="D41" s="2" t="str">
        <f>VLOOKUP($C41,Sheet1!$A$2:$D$10,2,0)</f>
        <v>114010-50820</v>
      </c>
      <c r="E41" s="8" t="s">
        <v>98</v>
      </c>
      <c r="F41" s="12">
        <v>46046</v>
      </c>
      <c r="G41" s="23">
        <v>0.5625</v>
      </c>
      <c r="H41" s="2" t="s">
        <v>91</v>
      </c>
      <c r="I41" s="2" t="s">
        <v>54</v>
      </c>
      <c r="J41" s="2">
        <v>26</v>
      </c>
      <c r="K41" s="14">
        <f>VLOOKUP($C41,Sheet1!$A$2:$D$10,4,0)</f>
        <v>1</v>
      </c>
      <c r="L41" s="14" t="str">
        <f>VLOOKUP($C41,Sheet1!$A$2:$E$10,5,0)</f>
        <v>Bin</v>
      </c>
      <c r="M41" s="14">
        <f t="shared" si="11"/>
        <v>26</v>
      </c>
      <c r="N41" s="2"/>
      <c r="O41" s="2" t="s">
        <v>359</v>
      </c>
      <c r="P41" s="2" t="s">
        <v>739</v>
      </c>
    </row>
    <row r="42" spans="1:16" x14ac:dyDescent="0.25">
      <c r="A42" s="17" t="s">
        <v>1179</v>
      </c>
      <c r="B42" s="2" t="s">
        <v>1169</v>
      </c>
      <c r="C42" s="27" t="s">
        <v>29</v>
      </c>
      <c r="D42" s="2" t="str">
        <f>VLOOKUP($C42,Sheet1!$A$2:$D$10,2,0)</f>
        <v>114010-50830</v>
      </c>
      <c r="E42" s="8" t="s">
        <v>98</v>
      </c>
      <c r="F42" s="12">
        <v>46046</v>
      </c>
      <c r="G42" s="23">
        <v>0.5625</v>
      </c>
      <c r="H42" s="2" t="s">
        <v>91</v>
      </c>
      <c r="I42" s="2" t="s">
        <v>54</v>
      </c>
      <c r="J42" s="2">
        <v>44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si="11"/>
        <v>44</v>
      </c>
      <c r="N42" s="2"/>
      <c r="O42" s="2" t="s">
        <v>359</v>
      </c>
      <c r="P42" s="2" t="s">
        <v>1893</v>
      </c>
    </row>
    <row r="43" spans="1:16" s="11" customForma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>
        <v>107</v>
      </c>
      <c r="N43" s="10">
        <v>7</v>
      </c>
      <c r="O43" s="10"/>
      <c r="P43" s="10"/>
    </row>
    <row r="44" spans="1:16" x14ac:dyDescent="0.25">
      <c r="A44" s="17" t="s">
        <v>1180</v>
      </c>
      <c r="B44" s="2" t="s">
        <v>1131</v>
      </c>
      <c r="C44" s="27" t="s">
        <v>5</v>
      </c>
      <c r="D44" s="2" t="str">
        <f>VLOOKUP($C44,Sheet1!$A$2:$D$10,2,0)</f>
        <v>141110-14600</v>
      </c>
      <c r="E44" s="8" t="s">
        <v>52</v>
      </c>
      <c r="F44" s="12">
        <v>46046</v>
      </c>
      <c r="G44" s="13">
        <v>0.5625</v>
      </c>
      <c r="H44" s="2" t="s">
        <v>53</v>
      </c>
      <c r="I44" s="2" t="s">
        <v>54</v>
      </c>
      <c r="J44" s="2">
        <v>54</v>
      </c>
      <c r="K44" s="14">
        <f>VLOOKUP($C44,Sheet1!$A$2:$D$10,4,0)</f>
        <v>18</v>
      </c>
      <c r="L44" s="14" t="str">
        <f>VLOOKUP($C44,Sheet1!$A$2:$E$10,5,0)</f>
        <v>Trolley (H)</v>
      </c>
      <c r="M44" s="14"/>
      <c r="N44" s="52">
        <v>3</v>
      </c>
      <c r="O44" s="2" t="s">
        <v>121</v>
      </c>
      <c r="P44" s="2" t="s">
        <v>1909</v>
      </c>
    </row>
    <row r="45" spans="1:16" x14ac:dyDescent="0.25">
      <c r="A45" s="17" t="s">
        <v>1180</v>
      </c>
      <c r="B45" s="2" t="s">
        <v>1135</v>
      </c>
      <c r="C45" s="27" t="s">
        <v>9</v>
      </c>
      <c r="D45" s="2" t="str">
        <f>VLOOKUP($C45,Sheet1!$A$2:$D$10,2,0)</f>
        <v>141120-14600</v>
      </c>
      <c r="E45" s="8" t="s">
        <v>60</v>
      </c>
      <c r="F45" s="12">
        <v>46046</v>
      </c>
      <c r="G45" s="13">
        <v>0.5625</v>
      </c>
      <c r="H45" s="2" t="s">
        <v>53</v>
      </c>
      <c r="I45" s="2" t="s">
        <v>54</v>
      </c>
      <c r="J45" s="2">
        <v>54</v>
      </c>
      <c r="K45" s="14">
        <f>VLOOKUP($C45,Sheet1!$A$2:$D$10,4,0)</f>
        <v>18</v>
      </c>
      <c r="L45" s="14" t="str">
        <f>VLOOKUP($C45,Sheet1!$A$2:$E$10,5,0)</f>
        <v>Trolley (H)</v>
      </c>
      <c r="M45" s="14"/>
      <c r="N45" s="53"/>
      <c r="O45" s="2" t="s">
        <v>121</v>
      </c>
      <c r="P45" s="2" t="s">
        <v>1909</v>
      </c>
    </row>
    <row r="46" spans="1:16" x14ac:dyDescent="0.25">
      <c r="A46" s="17" t="s">
        <v>1180</v>
      </c>
      <c r="B46" s="2" t="s">
        <v>1139</v>
      </c>
      <c r="C46" s="27" t="s">
        <v>12</v>
      </c>
      <c r="D46" s="2" t="str">
        <f>VLOOKUP($C46,Sheet1!$A$2:$D$10,2,0)</f>
        <v>141185-74670</v>
      </c>
      <c r="E46" s="8" t="s">
        <v>66</v>
      </c>
      <c r="F46" s="12">
        <v>46046</v>
      </c>
      <c r="G46" s="13">
        <v>0.5625</v>
      </c>
      <c r="H46" s="2" t="s">
        <v>53</v>
      </c>
      <c r="I46" s="2" t="s">
        <v>54</v>
      </c>
      <c r="J46" s="2">
        <v>120</v>
      </c>
      <c r="K46" s="14">
        <f>VLOOKUP($C46,Sheet1!$A$2:$D$10,4,0)</f>
        <v>40</v>
      </c>
      <c r="L46" s="14" t="str">
        <f>VLOOKUP($C46,Sheet1!$A$2:$E$10,5,0)</f>
        <v>Trolley</v>
      </c>
      <c r="M46" s="14"/>
      <c r="N46" s="2">
        <f>J46/K46</f>
        <v>3</v>
      </c>
      <c r="O46" s="2" t="s">
        <v>121</v>
      </c>
      <c r="P46" s="2">
        <v>910106975</v>
      </c>
    </row>
    <row r="47" spans="1:16" x14ac:dyDescent="0.25">
      <c r="A47" s="17" t="s">
        <v>1180</v>
      </c>
      <c r="B47" s="2" t="s">
        <v>1144</v>
      </c>
      <c r="C47" s="27" t="s">
        <v>16</v>
      </c>
      <c r="D47" s="2" t="str">
        <f>VLOOKUP($C47,Sheet1!$A$2:$D$10,2,0)</f>
        <v>141140-91211</v>
      </c>
      <c r="E47" s="8" t="s">
        <v>70</v>
      </c>
      <c r="F47" s="12">
        <v>46046</v>
      </c>
      <c r="G47" s="13">
        <v>0.5625</v>
      </c>
      <c r="H47" s="2" t="s">
        <v>71</v>
      </c>
      <c r="I47" s="2" t="s">
        <v>54</v>
      </c>
      <c r="J47" s="2">
        <v>70</v>
      </c>
      <c r="K47" s="14">
        <f>VLOOKUP($C47,Sheet1!$A$2:$D$10,4,0)</f>
        <v>2</v>
      </c>
      <c r="L47" s="14" t="str">
        <f>VLOOKUP($C47,Sheet1!$A$2:$E$10,5,0)</f>
        <v>Bin</v>
      </c>
      <c r="M47" s="14">
        <f t="shared" ref="M47:M48" si="12">J47/K47</f>
        <v>35</v>
      </c>
      <c r="N47" s="2"/>
      <c r="O47" s="2" t="s">
        <v>121</v>
      </c>
      <c r="P47" s="2" t="s">
        <v>1910</v>
      </c>
    </row>
    <row r="48" spans="1:16" x14ac:dyDescent="0.25">
      <c r="A48" s="17" t="s">
        <v>1180</v>
      </c>
      <c r="B48" s="2" t="s">
        <v>1149</v>
      </c>
      <c r="C48" s="27" t="s">
        <v>20</v>
      </c>
      <c r="D48" s="2" t="str">
        <f>VLOOKUP($C48,Sheet1!$A$2:$D$10,2,0)</f>
        <v>141150-91211</v>
      </c>
      <c r="E48" s="8" t="s">
        <v>78</v>
      </c>
      <c r="F48" s="12">
        <v>46046</v>
      </c>
      <c r="G48" s="13">
        <v>0.5625</v>
      </c>
      <c r="H48" s="2" t="s">
        <v>71</v>
      </c>
      <c r="I48" s="2" t="s">
        <v>54</v>
      </c>
      <c r="J48" s="2">
        <v>70</v>
      </c>
      <c r="K48" s="14">
        <f>VLOOKUP($C48,Sheet1!$A$2:$D$10,4,0)</f>
        <v>2</v>
      </c>
      <c r="L48" s="14" t="str">
        <f>VLOOKUP($C48,Sheet1!$A$2:$E$10,5,0)</f>
        <v>Bin</v>
      </c>
      <c r="M48" s="14">
        <f t="shared" si="12"/>
        <v>35</v>
      </c>
      <c r="N48" s="2"/>
      <c r="O48" s="2" t="s">
        <v>121</v>
      </c>
      <c r="P48" s="2" t="s">
        <v>1910</v>
      </c>
    </row>
    <row r="49" spans="1:16" x14ac:dyDescent="0.25">
      <c r="A49" s="17" t="s">
        <v>1180</v>
      </c>
      <c r="B49" s="2" t="s">
        <v>1154</v>
      </c>
      <c r="C49" s="27" t="s">
        <v>23</v>
      </c>
      <c r="D49" s="2" t="str">
        <f>VLOOKUP($C49,Sheet1!$A$2:$D$10,2,0)</f>
        <v>141186-74360</v>
      </c>
      <c r="E49" s="8" t="s">
        <v>85</v>
      </c>
      <c r="F49" s="12">
        <v>46046</v>
      </c>
      <c r="G49" s="13">
        <v>0.5625</v>
      </c>
      <c r="H49" s="2" t="s">
        <v>71</v>
      </c>
      <c r="I49" s="2" t="s">
        <v>54</v>
      </c>
      <c r="J49" s="2">
        <v>120</v>
      </c>
      <c r="K49" s="14">
        <f>VLOOKUP($C49,Sheet1!$A$2:$D$10,4,0)</f>
        <v>40</v>
      </c>
      <c r="L49" s="14" t="str">
        <f>VLOOKUP($C49,Sheet1!$A$2:$E$10,5,0)</f>
        <v>Trolley</v>
      </c>
      <c r="M49" s="14"/>
      <c r="N49" s="2">
        <f>J49/K49</f>
        <v>3</v>
      </c>
      <c r="O49" s="2" t="s">
        <v>121</v>
      </c>
      <c r="P49" s="2">
        <v>910106976</v>
      </c>
    </row>
    <row r="50" spans="1:16" s="11" customForma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>
        <v>70</v>
      </c>
      <c r="N50" s="10"/>
      <c r="O50" s="10"/>
      <c r="P50" s="10"/>
    </row>
    <row r="51" spans="1:16" x14ac:dyDescent="0.25">
      <c r="A51" s="17" t="s">
        <v>1181</v>
      </c>
      <c r="B51" s="2" t="s">
        <v>1132</v>
      </c>
      <c r="C51" s="27" t="s">
        <v>5</v>
      </c>
      <c r="D51" s="2" t="str">
        <f>VLOOKUP($C51,Sheet1!$A$2:$D$10,2,0)</f>
        <v>141110-14600</v>
      </c>
      <c r="E51" s="8" t="s">
        <v>52</v>
      </c>
      <c r="F51" s="12">
        <v>46046</v>
      </c>
      <c r="G51" s="13">
        <v>0.77083333333333337</v>
      </c>
      <c r="H51" s="2" t="s">
        <v>53</v>
      </c>
      <c r="I51" s="2" t="s">
        <v>54</v>
      </c>
      <c r="J51" s="2">
        <v>54</v>
      </c>
      <c r="K51" s="14">
        <f>VLOOKUP($C51,Sheet1!$A$2:$D$10,4,0)</f>
        <v>18</v>
      </c>
      <c r="L51" s="14" t="str">
        <f>VLOOKUP($C51,Sheet1!$A$2:$E$10,5,0)</f>
        <v>Trolley (H)</v>
      </c>
      <c r="M51" s="14"/>
      <c r="N51" s="52">
        <v>3</v>
      </c>
      <c r="O51" s="2" t="s">
        <v>122</v>
      </c>
      <c r="P51" s="2" t="s">
        <v>1909</v>
      </c>
    </row>
    <row r="52" spans="1:16" x14ac:dyDescent="0.25">
      <c r="A52" s="17" t="s">
        <v>1181</v>
      </c>
      <c r="B52" s="2" t="s">
        <v>1136</v>
      </c>
      <c r="C52" s="27" t="s">
        <v>9</v>
      </c>
      <c r="D52" s="2" t="str">
        <f>VLOOKUP($C52,Sheet1!$A$2:$D$10,2,0)</f>
        <v>141120-14600</v>
      </c>
      <c r="E52" s="8" t="s">
        <v>60</v>
      </c>
      <c r="F52" s="12">
        <v>46046</v>
      </c>
      <c r="G52" s="13">
        <v>0.77083333333333337</v>
      </c>
      <c r="H52" s="2" t="s">
        <v>53</v>
      </c>
      <c r="I52" s="2" t="s">
        <v>54</v>
      </c>
      <c r="J52" s="2">
        <v>54</v>
      </c>
      <c r="K52" s="14">
        <f>VLOOKUP($C52,Sheet1!$A$2:$D$10,4,0)</f>
        <v>18</v>
      </c>
      <c r="L52" s="14" t="str">
        <f>VLOOKUP($C52,Sheet1!$A$2:$E$10,5,0)</f>
        <v>Trolley (H)</v>
      </c>
      <c r="M52" s="14"/>
      <c r="N52" s="53"/>
      <c r="O52" s="2" t="s">
        <v>122</v>
      </c>
      <c r="P52" s="2" t="s">
        <v>1909</v>
      </c>
    </row>
    <row r="53" spans="1:16" x14ac:dyDescent="0.25">
      <c r="A53" s="17" t="s">
        <v>1181</v>
      </c>
      <c r="B53" s="2" t="s">
        <v>1140</v>
      </c>
      <c r="C53" s="27" t="s">
        <v>12</v>
      </c>
      <c r="D53" s="2" t="str">
        <f>VLOOKUP($C53,Sheet1!$A$2:$D$10,2,0)</f>
        <v>141185-74670</v>
      </c>
      <c r="E53" s="8" t="s">
        <v>66</v>
      </c>
      <c r="F53" s="12">
        <v>46046</v>
      </c>
      <c r="G53" s="13">
        <v>0.77083333333333337</v>
      </c>
      <c r="H53" s="2" t="s">
        <v>53</v>
      </c>
      <c r="I53" s="2" t="s">
        <v>54</v>
      </c>
      <c r="J53" s="2">
        <v>80</v>
      </c>
      <c r="K53" s="14">
        <f>VLOOKUP($C53,Sheet1!$A$2:$D$10,4,0)</f>
        <v>40</v>
      </c>
      <c r="L53" s="14" t="str">
        <f>VLOOKUP($C53,Sheet1!$A$2:$E$10,5,0)</f>
        <v>Trolley</v>
      </c>
      <c r="M53" s="14"/>
      <c r="N53" s="2">
        <f>J53/K53</f>
        <v>2</v>
      </c>
      <c r="O53" s="2" t="s">
        <v>122</v>
      </c>
      <c r="P53" s="2">
        <v>910106975</v>
      </c>
    </row>
    <row r="54" spans="1:16" x14ac:dyDescent="0.25">
      <c r="A54" s="17" t="s">
        <v>1181</v>
      </c>
      <c r="B54" s="2" t="s">
        <v>1145</v>
      </c>
      <c r="C54" s="27" t="s">
        <v>16</v>
      </c>
      <c r="D54" s="2" t="str">
        <f>VLOOKUP($C54,Sheet1!$A$2:$D$10,2,0)</f>
        <v>141140-91211</v>
      </c>
      <c r="E54" s="8" t="s">
        <v>70</v>
      </c>
      <c r="F54" s="12">
        <v>46046</v>
      </c>
      <c r="G54" s="13">
        <v>0.77083333333333337</v>
      </c>
      <c r="H54" s="2" t="s">
        <v>71</v>
      </c>
      <c r="I54" s="2" t="s">
        <v>54</v>
      </c>
      <c r="J54" s="2">
        <v>70</v>
      </c>
      <c r="K54" s="14">
        <f>VLOOKUP($C54,Sheet1!$A$2:$D$10,4,0)</f>
        <v>2</v>
      </c>
      <c r="L54" s="14" t="str">
        <f>VLOOKUP($C54,Sheet1!$A$2:$E$10,5,0)</f>
        <v>Bin</v>
      </c>
      <c r="M54" s="14">
        <f t="shared" ref="M54:M56" si="13">J54/K54</f>
        <v>35</v>
      </c>
      <c r="N54" s="2"/>
      <c r="O54" s="2" t="s">
        <v>122</v>
      </c>
      <c r="P54" s="2" t="s">
        <v>1910</v>
      </c>
    </row>
    <row r="55" spans="1:16" x14ac:dyDescent="0.25">
      <c r="A55" s="17" t="s">
        <v>1181</v>
      </c>
      <c r="B55" s="2" t="s">
        <v>1150</v>
      </c>
      <c r="C55" s="27" t="s">
        <v>20</v>
      </c>
      <c r="D55" s="2" t="str">
        <f>VLOOKUP($C55,Sheet1!$A$2:$D$10,2,0)</f>
        <v>141150-91211</v>
      </c>
      <c r="E55" s="8" t="s">
        <v>78</v>
      </c>
      <c r="F55" s="12">
        <v>46046</v>
      </c>
      <c r="G55" s="13">
        <v>0.77083333333333337</v>
      </c>
      <c r="H55" s="2" t="s">
        <v>71</v>
      </c>
      <c r="I55" s="2" t="s">
        <v>54</v>
      </c>
      <c r="J55" s="2">
        <v>70</v>
      </c>
      <c r="K55" s="14">
        <f>VLOOKUP($C55,Sheet1!$A$2:$D$10,4,0)</f>
        <v>2</v>
      </c>
      <c r="L55" s="14" t="str">
        <f>VLOOKUP($C55,Sheet1!$A$2:$E$10,5,0)</f>
        <v>Bin</v>
      </c>
      <c r="M55" s="14">
        <f t="shared" si="13"/>
        <v>35</v>
      </c>
      <c r="N55" s="2"/>
      <c r="O55" s="2" t="s">
        <v>122</v>
      </c>
      <c r="P55" s="2" t="s">
        <v>1910</v>
      </c>
    </row>
    <row r="56" spans="1:16" x14ac:dyDescent="0.25">
      <c r="A56" s="17" t="s">
        <v>1181</v>
      </c>
      <c r="B56" s="2" t="s">
        <v>1155</v>
      </c>
      <c r="C56" s="27" t="s">
        <v>23</v>
      </c>
      <c r="D56" s="2" t="str">
        <f>VLOOKUP($C56,Sheet1!$A$2:$D$10,2,0)</f>
        <v>141186-74360</v>
      </c>
      <c r="E56" s="8" t="s">
        <v>85</v>
      </c>
      <c r="F56" s="12">
        <v>46046</v>
      </c>
      <c r="G56" s="13">
        <v>0.77083333333333337</v>
      </c>
      <c r="H56" s="2" t="s">
        <v>71</v>
      </c>
      <c r="I56" s="2" t="s">
        <v>54</v>
      </c>
      <c r="J56" s="2">
        <v>80</v>
      </c>
      <c r="K56" s="14">
        <f>VLOOKUP($C56,Sheet1!$A$2:$D$10,4,0)</f>
        <v>40</v>
      </c>
      <c r="L56" s="14" t="str">
        <f>VLOOKUP($C56,Sheet1!$A$2:$E$10,5,0)</f>
        <v>Trolley</v>
      </c>
      <c r="M56" s="14">
        <f t="shared" si="13"/>
        <v>2</v>
      </c>
      <c r="N56" s="2">
        <f>J56/K56</f>
        <v>2</v>
      </c>
      <c r="O56" s="2" t="s">
        <v>122</v>
      </c>
      <c r="P56" s="2">
        <v>910106976</v>
      </c>
    </row>
    <row r="57" spans="1:16" x14ac:dyDescent="0.25">
      <c r="A57" s="17" t="s">
        <v>1182</v>
      </c>
      <c r="B57" s="2" t="s">
        <v>1160</v>
      </c>
      <c r="C57" s="27" t="s">
        <v>26</v>
      </c>
      <c r="D57" s="2" t="str">
        <f>VLOOKUP($C57,Sheet1!$A$2:$D$10,2,0)</f>
        <v>116040-92240</v>
      </c>
      <c r="E57" s="8" t="s">
        <v>90</v>
      </c>
      <c r="F57" s="12">
        <v>46046</v>
      </c>
      <c r="G57" s="13">
        <v>0.77083333333333337</v>
      </c>
      <c r="H57" s="2" t="s">
        <v>91</v>
      </c>
      <c r="I57" s="2" t="s">
        <v>54</v>
      </c>
      <c r="J57" s="2">
        <v>72</v>
      </c>
      <c r="K57" s="14">
        <f>VLOOKUP($C57,Sheet1!$A$2:$D$10,4,0)</f>
        <v>6</v>
      </c>
      <c r="L57" s="14" t="str">
        <f>VLOOKUP($C57,Sheet1!$A$2:$E$10,5,0)</f>
        <v>Bin</v>
      </c>
      <c r="M57" s="14">
        <f t="shared" ref="M57:M59" si="14">J57/K57</f>
        <v>12</v>
      </c>
      <c r="N57" s="2"/>
      <c r="O57" s="2" t="s">
        <v>122</v>
      </c>
      <c r="P57" s="2" t="s">
        <v>1912</v>
      </c>
    </row>
    <row r="58" spans="1:16" x14ac:dyDescent="0.25">
      <c r="A58" s="17" t="s">
        <v>1182</v>
      </c>
      <c r="B58" s="2" t="s">
        <v>1165</v>
      </c>
      <c r="C58" s="27" t="s">
        <v>32</v>
      </c>
      <c r="D58" s="2" t="str">
        <f>VLOOKUP($C58,Sheet1!$A$2:$D$10,2,0)</f>
        <v>114010-50820</v>
      </c>
      <c r="E58" s="8" t="s">
        <v>98</v>
      </c>
      <c r="F58" s="12">
        <v>46046</v>
      </c>
      <c r="G58" s="13">
        <v>0.77083333333333337</v>
      </c>
      <c r="H58" s="2" t="s">
        <v>91</v>
      </c>
      <c r="I58" s="2" t="s">
        <v>54</v>
      </c>
      <c r="J58" s="2">
        <v>32</v>
      </c>
      <c r="K58" s="14">
        <f>VLOOKUP($C58,Sheet1!$A$2:$D$10,4,0)</f>
        <v>1</v>
      </c>
      <c r="L58" s="14" t="str">
        <f>VLOOKUP($C58,Sheet1!$A$2:$E$10,5,0)</f>
        <v>Bin</v>
      </c>
      <c r="M58" s="14">
        <f t="shared" si="14"/>
        <v>32</v>
      </c>
      <c r="N58" s="2"/>
      <c r="O58" s="2" t="s">
        <v>122</v>
      </c>
      <c r="P58" s="2" t="s">
        <v>739</v>
      </c>
    </row>
    <row r="59" spans="1:16" x14ac:dyDescent="0.25">
      <c r="A59" s="17" t="s">
        <v>1182</v>
      </c>
      <c r="B59" s="2" t="s">
        <v>1170</v>
      </c>
      <c r="C59" s="27" t="s">
        <v>29</v>
      </c>
      <c r="D59" s="2" t="str">
        <f>VLOOKUP($C59,Sheet1!$A$2:$D$10,2,0)</f>
        <v>114010-50830</v>
      </c>
      <c r="E59" s="8" t="s">
        <v>98</v>
      </c>
      <c r="F59" s="12">
        <v>46046</v>
      </c>
      <c r="G59" s="13">
        <v>0.77083333333333337</v>
      </c>
      <c r="H59" s="2" t="s">
        <v>91</v>
      </c>
      <c r="I59" s="2" t="s">
        <v>54</v>
      </c>
      <c r="J59" s="2">
        <v>37</v>
      </c>
      <c r="K59" s="14">
        <f>VLOOKUP($C59,Sheet1!$A$2:$D$10,4,0)</f>
        <v>1</v>
      </c>
      <c r="L59" s="14" t="str">
        <f>VLOOKUP($C59,Sheet1!$A$2:$E$10,5,0)</f>
        <v>Bin</v>
      </c>
      <c r="M59" s="14">
        <f t="shared" si="14"/>
        <v>37</v>
      </c>
      <c r="N59" s="2"/>
      <c r="O59" s="2" t="s">
        <v>122</v>
      </c>
      <c r="P59" s="2" t="s">
        <v>1893</v>
      </c>
    </row>
    <row r="60" spans="1:16" s="11" customForma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>
        <v>151</v>
      </c>
      <c r="N60" s="10">
        <v>7</v>
      </c>
      <c r="O60" s="10"/>
      <c r="P60" s="10"/>
    </row>
    <row r="61" spans="1:16" x14ac:dyDescent="0.25">
      <c r="A61" s="17" t="s">
        <v>1183</v>
      </c>
      <c r="B61" s="2" t="s">
        <v>1132</v>
      </c>
      <c r="C61" s="27" t="s">
        <v>5</v>
      </c>
      <c r="D61" s="2" t="str">
        <f>VLOOKUP($C61,Sheet1!$A$2:$D$10,2,0)</f>
        <v>141110-14600</v>
      </c>
      <c r="E61" s="8" t="s">
        <v>52</v>
      </c>
      <c r="F61" s="12">
        <v>46046</v>
      </c>
      <c r="G61" s="13">
        <v>0.77083333333333337</v>
      </c>
      <c r="H61" s="2" t="s">
        <v>53</v>
      </c>
      <c r="I61" s="2" t="s">
        <v>54</v>
      </c>
      <c r="J61" s="2">
        <v>18</v>
      </c>
      <c r="K61" s="14">
        <f>VLOOKUP($C61,Sheet1!$A$2:$D$10,4,0)</f>
        <v>18</v>
      </c>
      <c r="L61" s="14" t="str">
        <f>VLOOKUP($C61,Sheet1!$A$2:$E$10,5,0)</f>
        <v>Trolley (H)</v>
      </c>
      <c r="M61" s="14"/>
      <c r="N61" s="52">
        <v>1</v>
      </c>
      <c r="O61" s="2" t="s">
        <v>119</v>
      </c>
      <c r="P61" s="2" t="s">
        <v>1909</v>
      </c>
    </row>
    <row r="62" spans="1:16" x14ac:dyDescent="0.25">
      <c r="A62" s="17" t="s">
        <v>1183</v>
      </c>
      <c r="B62" s="2" t="s">
        <v>1136</v>
      </c>
      <c r="C62" s="27" t="s">
        <v>9</v>
      </c>
      <c r="D62" s="2" t="str">
        <f>VLOOKUP($C62,Sheet1!$A$2:$D$10,2,0)</f>
        <v>141120-14600</v>
      </c>
      <c r="E62" s="8" t="s">
        <v>60</v>
      </c>
      <c r="F62" s="12">
        <v>46046</v>
      </c>
      <c r="G62" s="13">
        <v>0.77083333333333337</v>
      </c>
      <c r="H62" s="2" t="s">
        <v>53</v>
      </c>
      <c r="I62" s="2" t="s">
        <v>54</v>
      </c>
      <c r="J62" s="2">
        <v>18</v>
      </c>
      <c r="K62" s="14">
        <f>VLOOKUP($C62,Sheet1!$A$2:$D$10,4,0)</f>
        <v>18</v>
      </c>
      <c r="L62" s="14" t="str">
        <f>VLOOKUP($C62,Sheet1!$A$2:$E$10,5,0)</f>
        <v>Trolley (H)</v>
      </c>
      <c r="M62" s="14"/>
      <c r="N62" s="53"/>
      <c r="O62" s="2" t="s">
        <v>119</v>
      </c>
      <c r="P62" s="2" t="s">
        <v>1909</v>
      </c>
    </row>
    <row r="63" spans="1:16" x14ac:dyDescent="0.25">
      <c r="A63" s="17" t="s">
        <v>1183</v>
      </c>
      <c r="B63" s="2" t="s">
        <v>1140</v>
      </c>
      <c r="C63" s="27" t="s">
        <v>12</v>
      </c>
      <c r="D63" s="2" t="str">
        <f>VLOOKUP($C63,Sheet1!$A$2:$D$10,2,0)</f>
        <v>141185-74670</v>
      </c>
      <c r="E63" s="8" t="s">
        <v>66</v>
      </c>
      <c r="F63" s="12">
        <v>46046</v>
      </c>
      <c r="G63" s="13">
        <v>0.77083333333333337</v>
      </c>
      <c r="H63" s="2" t="s">
        <v>53</v>
      </c>
      <c r="I63" s="2" t="s">
        <v>54</v>
      </c>
      <c r="J63" s="2">
        <v>40</v>
      </c>
      <c r="K63" s="14">
        <f>VLOOKUP($C63,Sheet1!$A$2:$D$10,4,0)</f>
        <v>40</v>
      </c>
      <c r="L63" s="14" t="str">
        <f>VLOOKUP($C63,Sheet1!$A$2:$E$10,5,0)</f>
        <v>Trolley</v>
      </c>
      <c r="M63" s="14"/>
      <c r="N63" s="2">
        <f>J63/K63</f>
        <v>1</v>
      </c>
      <c r="O63" s="2" t="s">
        <v>119</v>
      </c>
      <c r="P63" s="2">
        <v>910107170</v>
      </c>
    </row>
    <row r="64" spans="1:16" ht="15.75" thickBot="1" x14ac:dyDescent="0.3">
      <c r="A64" s="17" t="s">
        <v>1183</v>
      </c>
      <c r="B64" s="2" t="s">
        <v>1155</v>
      </c>
      <c r="C64" s="27" t="s">
        <v>23</v>
      </c>
      <c r="D64" s="2" t="str">
        <f>VLOOKUP($C64,Sheet1!$A$2:$D$10,2,0)</f>
        <v>141186-74360</v>
      </c>
      <c r="E64" s="8" t="s">
        <v>85</v>
      </c>
      <c r="F64" s="12">
        <v>46046</v>
      </c>
      <c r="G64" s="25">
        <v>0.77083333333333337</v>
      </c>
      <c r="H64" s="2" t="s">
        <v>71</v>
      </c>
      <c r="I64" s="2" t="s">
        <v>54</v>
      </c>
      <c r="J64" s="2">
        <v>80</v>
      </c>
      <c r="K64" s="14">
        <f>VLOOKUP($C64,Sheet1!$A$2:$D$10,4,0)</f>
        <v>40</v>
      </c>
      <c r="L64" s="14" t="str">
        <f>VLOOKUP($C64,Sheet1!$A$2:$E$10,5,0)</f>
        <v>Trolley</v>
      </c>
      <c r="M64" s="14"/>
      <c r="N64" s="2">
        <f>J64/K64</f>
        <v>2</v>
      </c>
      <c r="O64" s="2" t="s">
        <v>119</v>
      </c>
      <c r="P64" s="2">
        <v>910106976</v>
      </c>
    </row>
    <row r="65" spans="1:16" ht="15.75" thickTop="1" x14ac:dyDescent="0.25">
      <c r="A65" s="17" t="s">
        <v>1184</v>
      </c>
      <c r="B65" s="2" t="s">
        <v>1141</v>
      </c>
      <c r="C65" s="27" t="s">
        <v>12</v>
      </c>
      <c r="D65" s="2" t="str">
        <f>VLOOKUP($C65,Sheet1!$A$2:$D$10,2,0)</f>
        <v>141185-74670</v>
      </c>
      <c r="E65" s="8" t="s">
        <v>66</v>
      </c>
      <c r="F65" s="12">
        <v>46046</v>
      </c>
      <c r="G65" s="26">
        <v>0.97916666666666663</v>
      </c>
      <c r="H65" s="2" t="s">
        <v>53</v>
      </c>
      <c r="I65" s="2" t="s">
        <v>54</v>
      </c>
      <c r="J65" s="2">
        <v>40</v>
      </c>
      <c r="K65" s="14">
        <f>VLOOKUP($C65,Sheet1!$A$2:$D$10,4,0)</f>
        <v>40</v>
      </c>
      <c r="L65" s="14" t="str">
        <f>VLOOKUP($C65,Sheet1!$A$2:$E$10,5,0)</f>
        <v>Trolley</v>
      </c>
      <c r="M65" s="14"/>
      <c r="N65" s="2">
        <f>J65/K65</f>
        <v>1</v>
      </c>
      <c r="O65" s="2" t="s">
        <v>119</v>
      </c>
      <c r="P65" s="2">
        <v>910107170</v>
      </c>
    </row>
    <row r="66" spans="1:16" x14ac:dyDescent="0.25">
      <c r="A66" s="17" t="s">
        <v>1184</v>
      </c>
      <c r="B66" s="2" t="s">
        <v>1146</v>
      </c>
      <c r="C66" s="27" t="s">
        <v>16</v>
      </c>
      <c r="D66" s="2" t="str">
        <f>VLOOKUP($C66,Sheet1!$A$2:$D$10,2,0)</f>
        <v>141140-91211</v>
      </c>
      <c r="E66" s="8" t="s">
        <v>70</v>
      </c>
      <c r="F66" s="12">
        <v>46046</v>
      </c>
      <c r="G66" s="23">
        <v>0.97916666666666663</v>
      </c>
      <c r="H66" s="2" t="s">
        <v>71</v>
      </c>
      <c r="I66" s="2" t="s">
        <v>54</v>
      </c>
      <c r="J66" s="2">
        <v>32</v>
      </c>
      <c r="K66" s="14">
        <f>VLOOKUP($C66,Sheet1!$A$2:$D$10,4,0)</f>
        <v>2</v>
      </c>
      <c r="L66" s="14" t="str">
        <f>VLOOKUP($C66,Sheet1!$A$2:$E$10,5,0)</f>
        <v>Bin</v>
      </c>
      <c r="M66" s="14">
        <f t="shared" ref="M66:M67" si="15">J66/K66</f>
        <v>16</v>
      </c>
      <c r="N66" s="2"/>
      <c r="O66" s="2" t="s">
        <v>119</v>
      </c>
      <c r="P66" s="2" t="s">
        <v>1910</v>
      </c>
    </row>
    <row r="67" spans="1:16" x14ac:dyDescent="0.25">
      <c r="A67" s="17" t="s">
        <v>1184</v>
      </c>
      <c r="B67" s="2" t="s">
        <v>1151</v>
      </c>
      <c r="C67" s="27" t="s">
        <v>20</v>
      </c>
      <c r="D67" s="2" t="str">
        <f>VLOOKUP($C67,Sheet1!$A$2:$D$10,2,0)</f>
        <v>141150-91211</v>
      </c>
      <c r="E67" s="8" t="s">
        <v>78</v>
      </c>
      <c r="F67" s="12">
        <v>46046</v>
      </c>
      <c r="G67" s="23">
        <v>0.97916666666666663</v>
      </c>
      <c r="H67" s="2" t="s">
        <v>71</v>
      </c>
      <c r="I67" s="2" t="s">
        <v>54</v>
      </c>
      <c r="J67" s="2">
        <v>32</v>
      </c>
      <c r="K67" s="14">
        <f>VLOOKUP($C67,Sheet1!$A$2:$D$10,4,0)</f>
        <v>2</v>
      </c>
      <c r="L67" s="14" t="str">
        <f>VLOOKUP($C67,Sheet1!$A$2:$E$10,5,0)</f>
        <v>Bin</v>
      </c>
      <c r="M67" s="14">
        <f t="shared" si="15"/>
        <v>16</v>
      </c>
      <c r="N67" s="2"/>
      <c r="O67" s="2" t="s">
        <v>119</v>
      </c>
      <c r="P67" s="2" t="s">
        <v>1910</v>
      </c>
    </row>
    <row r="68" spans="1:16" x14ac:dyDescent="0.25">
      <c r="A68" s="17" t="s">
        <v>1184</v>
      </c>
      <c r="B68" s="2" t="s">
        <v>1156</v>
      </c>
      <c r="C68" s="27" t="s">
        <v>23</v>
      </c>
      <c r="D68" s="2" t="str">
        <f>VLOOKUP($C68,Sheet1!$A$2:$D$10,2,0)</f>
        <v>141186-74360</v>
      </c>
      <c r="E68" s="8" t="s">
        <v>85</v>
      </c>
      <c r="F68" s="12">
        <v>46046</v>
      </c>
      <c r="G68" s="23">
        <v>0.97916666666666663</v>
      </c>
      <c r="H68" s="2" t="s">
        <v>71</v>
      </c>
      <c r="I68" s="2" t="s">
        <v>54</v>
      </c>
      <c r="J68" s="2">
        <v>40</v>
      </c>
      <c r="K68" s="14">
        <f>VLOOKUP($C68,Sheet1!$A$2:$D$10,4,0)</f>
        <v>40</v>
      </c>
      <c r="L68" s="14" t="str">
        <f>VLOOKUP($C68,Sheet1!$A$2:$E$10,5,0)</f>
        <v>Trolley</v>
      </c>
      <c r="M68" s="14"/>
      <c r="N68" s="2">
        <f>J68/K68</f>
        <v>1</v>
      </c>
      <c r="O68" s="2" t="s">
        <v>119</v>
      </c>
      <c r="P68" s="2">
        <v>910106976</v>
      </c>
    </row>
    <row r="69" spans="1:16" x14ac:dyDescent="0.25">
      <c r="A69" s="17" t="s">
        <v>1185</v>
      </c>
      <c r="B69" s="2" t="s">
        <v>1161</v>
      </c>
      <c r="C69" s="27" t="s">
        <v>26</v>
      </c>
      <c r="D69" s="2" t="str">
        <f>VLOOKUP($C69,Sheet1!$A$2:$D$10,2,0)</f>
        <v>116040-92240</v>
      </c>
      <c r="E69" s="8" t="s">
        <v>90</v>
      </c>
      <c r="F69" s="12">
        <v>46046</v>
      </c>
      <c r="G69" s="23">
        <v>0.97916666666666663</v>
      </c>
      <c r="H69" s="2" t="s">
        <v>91</v>
      </c>
      <c r="I69" s="2" t="s">
        <v>54</v>
      </c>
      <c r="J69" s="2">
        <v>30</v>
      </c>
      <c r="K69" s="14">
        <f>VLOOKUP($C69,Sheet1!$A$2:$D$10,4,0)</f>
        <v>6</v>
      </c>
      <c r="L69" s="14" t="str">
        <f>VLOOKUP($C69,Sheet1!$A$2:$E$10,5,0)</f>
        <v>Bin</v>
      </c>
      <c r="M69" s="14">
        <f t="shared" ref="M69:M71" si="16">J69/K69</f>
        <v>5</v>
      </c>
      <c r="N69" s="2"/>
      <c r="O69" s="2" t="s">
        <v>119</v>
      </c>
      <c r="P69" s="2" t="s">
        <v>1912</v>
      </c>
    </row>
    <row r="70" spans="1:16" x14ac:dyDescent="0.25">
      <c r="A70" s="17" t="s">
        <v>1185</v>
      </c>
      <c r="B70" s="2" t="s">
        <v>1166</v>
      </c>
      <c r="C70" s="27" t="s">
        <v>32</v>
      </c>
      <c r="D70" s="2" t="str">
        <f>VLOOKUP($C70,Sheet1!$A$2:$D$10,2,0)</f>
        <v>114010-50820</v>
      </c>
      <c r="E70" s="8" t="s">
        <v>98</v>
      </c>
      <c r="F70" s="12">
        <v>46046</v>
      </c>
      <c r="G70" s="23">
        <v>0.97916666666666663</v>
      </c>
      <c r="H70" s="2" t="s">
        <v>91</v>
      </c>
      <c r="I70" s="2" t="s">
        <v>54</v>
      </c>
      <c r="J70" s="2">
        <v>26</v>
      </c>
      <c r="K70" s="14">
        <f>VLOOKUP($C70,Sheet1!$A$2:$D$10,4,0)</f>
        <v>1</v>
      </c>
      <c r="L70" s="14" t="str">
        <f>VLOOKUP($C70,Sheet1!$A$2:$E$10,5,0)</f>
        <v>Bin</v>
      </c>
      <c r="M70" s="14">
        <f t="shared" si="16"/>
        <v>26</v>
      </c>
      <c r="N70" s="2"/>
      <c r="O70" s="2" t="s">
        <v>119</v>
      </c>
      <c r="P70" s="2" t="s">
        <v>739</v>
      </c>
    </row>
    <row r="71" spans="1:16" x14ac:dyDescent="0.25">
      <c r="A71" s="17" t="s">
        <v>1185</v>
      </c>
      <c r="B71" s="2" t="s">
        <v>1171</v>
      </c>
      <c r="C71" s="27" t="s">
        <v>29</v>
      </c>
      <c r="D71" s="2" t="str">
        <f>VLOOKUP($C71,Sheet1!$A$2:$D$10,2,0)</f>
        <v>114010-50830</v>
      </c>
      <c r="E71" s="8" t="s">
        <v>98</v>
      </c>
      <c r="F71" s="12">
        <v>46046</v>
      </c>
      <c r="G71" s="23">
        <v>0.97916666666666663</v>
      </c>
      <c r="H71" s="2" t="s">
        <v>91</v>
      </c>
      <c r="I71" s="2" t="s">
        <v>54</v>
      </c>
      <c r="J71" s="2">
        <v>5</v>
      </c>
      <c r="K71" s="14">
        <f>VLOOKUP($C71,Sheet1!$A$2:$D$10,4,0)</f>
        <v>1</v>
      </c>
      <c r="L71" s="14" t="str">
        <f>VLOOKUP($C71,Sheet1!$A$2:$E$10,5,0)</f>
        <v>Bin</v>
      </c>
      <c r="M71" s="14">
        <f t="shared" si="16"/>
        <v>5</v>
      </c>
      <c r="N71" s="2"/>
      <c r="O71" s="2" t="s">
        <v>119</v>
      </c>
      <c r="P71" s="2" t="s">
        <v>1893</v>
      </c>
    </row>
    <row r="72" spans="1:16" s="11" customForma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>
        <v>68</v>
      </c>
      <c r="N72" s="10">
        <v>6</v>
      </c>
      <c r="O72" s="10"/>
      <c r="P72" s="10"/>
    </row>
    <row r="73" spans="1:16" x14ac:dyDescent="0.25">
      <c r="A73" s="2"/>
      <c r="B73" s="2"/>
      <c r="C73" s="2"/>
      <c r="D73" s="2"/>
      <c r="E73" s="8"/>
      <c r="F73" s="12"/>
      <c r="G73" s="13"/>
      <c r="H73" s="2"/>
      <c r="I73" s="2"/>
      <c r="J73" s="2"/>
      <c r="K73" s="14"/>
      <c r="L73" s="14"/>
      <c r="M73" s="14"/>
      <c r="N73" s="2"/>
      <c r="O73" s="2"/>
      <c r="P73" s="2"/>
    </row>
  </sheetData>
  <autoFilter ref="A3:P72" xr:uid="{716D92BB-ABDB-447F-9AAC-D8B0ADBC1508}"/>
  <mergeCells count="10">
    <mergeCell ref="N16:N17"/>
    <mergeCell ref="N61:N62"/>
    <mergeCell ref="N37:N38"/>
    <mergeCell ref="A1:F1"/>
    <mergeCell ref="J1:N1"/>
    <mergeCell ref="L2:N2"/>
    <mergeCell ref="N4:N5"/>
    <mergeCell ref="N30:N31"/>
    <mergeCell ref="N44:N45"/>
    <mergeCell ref="N51:N52"/>
  </mergeCells>
  <conditionalFormatting sqref="B2">
    <cfRule type="duplicateValues" dxfId="41" priority="2"/>
    <cfRule type="duplicateValues" dxfId="40" priority="3"/>
  </conditionalFormatting>
  <conditionalFormatting sqref="B73 B44:B49 B4:B14 B16:B28 B51:B59 B61:B71 B30:B42">
    <cfRule type="duplicateValues" dxfId="39" priority="25"/>
  </conditionalFormatting>
  <conditionalFormatting sqref="C2:D2">
    <cfRule type="duplicateValues" dxfId="38" priority="4"/>
    <cfRule type="duplicateValues" dxfId="37" priority="5"/>
  </conditionalFormatting>
  <pageMargins left="0.17" right="0.17" top="0.21" bottom="0.18" header="0.3" footer="0.17"/>
  <pageSetup scale="1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3B66-D254-4013-8541-F26A030AC079}">
  <sheetPr>
    <tabColor rgb="FF00B050"/>
    <pageSetUpPr fitToPage="1"/>
  </sheetPr>
  <dimension ref="A1:P108"/>
  <sheetViews>
    <sheetView topLeftCell="A52" workbookViewId="0">
      <selection activeCell="P91" sqref="P91"/>
    </sheetView>
  </sheetViews>
  <sheetFormatPr defaultColWidth="62.5703125" defaultRowHeight="15" x14ac:dyDescent="0.25"/>
  <cols>
    <col min="1" max="1" width="15.42578125" bestFit="1" customWidth="1"/>
    <col min="2" max="2" width="17" bestFit="1" customWidth="1"/>
    <col min="3" max="3" width="13.7109375" bestFit="1" customWidth="1"/>
    <col min="4" max="4" width="14.140625" customWidth="1"/>
    <col min="5" max="5" width="32.5703125" bestFit="1" customWidth="1"/>
    <col min="6" max="6" width="12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85546875" customWidth="1"/>
    <col min="16" max="16" width="39.8554687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46047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1275</v>
      </c>
      <c r="B4" s="2" t="s">
        <v>1186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46047</v>
      </c>
      <c r="G4" s="13">
        <v>0.3125</v>
      </c>
      <c r="H4" s="2" t="s">
        <v>53</v>
      </c>
      <c r="I4" s="2" t="s">
        <v>54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1</v>
      </c>
      <c r="O4" s="2" t="s">
        <v>359</v>
      </c>
      <c r="P4" s="2" t="s">
        <v>1914</v>
      </c>
    </row>
    <row r="5" spans="1:16" x14ac:dyDescent="0.25">
      <c r="A5" s="17" t="s">
        <v>1275</v>
      </c>
      <c r="B5" s="2" t="s">
        <v>1196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46047</v>
      </c>
      <c r="G5" s="13">
        <v>0.3125</v>
      </c>
      <c r="H5" s="2" t="s">
        <v>53</v>
      </c>
      <c r="I5" s="2" t="s">
        <v>54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359</v>
      </c>
      <c r="P5" s="2" t="s">
        <v>1916</v>
      </c>
    </row>
    <row r="6" spans="1:16" x14ac:dyDescent="0.25">
      <c r="A6" s="17" t="s">
        <v>1275</v>
      </c>
      <c r="B6" s="2" t="s">
        <v>1206</v>
      </c>
      <c r="C6" s="27" t="s">
        <v>12</v>
      </c>
      <c r="D6" s="2" t="str">
        <f>VLOOKUP($C6,Sheet1!$A$2:$D$10,2,0)</f>
        <v>141185-74670</v>
      </c>
      <c r="E6" s="8" t="s">
        <v>66</v>
      </c>
      <c r="F6" s="12">
        <v>46047</v>
      </c>
      <c r="G6" s="13">
        <v>0.3125</v>
      </c>
      <c r="H6" s="2" t="s">
        <v>53</v>
      </c>
      <c r="I6" s="2" t="s">
        <v>54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359</v>
      </c>
      <c r="P6" s="2" t="s">
        <v>1913</v>
      </c>
    </row>
    <row r="7" spans="1:16" x14ac:dyDescent="0.25">
      <c r="A7" s="17" t="s">
        <v>1275</v>
      </c>
      <c r="B7" s="2" t="s">
        <v>1216</v>
      </c>
      <c r="C7" s="27" t="s">
        <v>16</v>
      </c>
      <c r="D7" s="2" t="str">
        <f>VLOOKUP($C7,Sheet1!$A$2:$D$10,2,0)</f>
        <v>141140-91211</v>
      </c>
      <c r="E7" s="8" t="s">
        <v>70</v>
      </c>
      <c r="F7" s="12">
        <v>46047</v>
      </c>
      <c r="G7" s="13">
        <v>0.3125</v>
      </c>
      <c r="H7" s="2" t="s">
        <v>71</v>
      </c>
      <c r="I7" s="2" t="s">
        <v>54</v>
      </c>
      <c r="J7" s="2">
        <v>28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14</v>
      </c>
      <c r="N7" s="2"/>
      <c r="O7" s="2" t="s">
        <v>359</v>
      </c>
      <c r="P7" s="2" t="s">
        <v>1910</v>
      </c>
    </row>
    <row r="8" spans="1:16" x14ac:dyDescent="0.25">
      <c r="A8" s="17" t="s">
        <v>1275</v>
      </c>
      <c r="B8" s="2" t="s">
        <v>1226</v>
      </c>
      <c r="C8" s="27" t="s">
        <v>20</v>
      </c>
      <c r="D8" s="2" t="str">
        <f>VLOOKUP($C8,Sheet1!$A$2:$D$10,2,0)</f>
        <v>141150-91211</v>
      </c>
      <c r="E8" s="8" t="s">
        <v>78</v>
      </c>
      <c r="F8" s="12">
        <v>46047</v>
      </c>
      <c r="G8" s="13">
        <v>0.3125</v>
      </c>
      <c r="H8" s="2" t="s">
        <v>71</v>
      </c>
      <c r="I8" s="2" t="s">
        <v>54</v>
      </c>
      <c r="J8" s="2">
        <v>28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14</v>
      </c>
      <c r="N8" s="2"/>
      <c r="O8" s="2" t="s">
        <v>359</v>
      </c>
      <c r="P8" s="2" t="s">
        <v>1910</v>
      </c>
    </row>
    <row r="9" spans="1:16" x14ac:dyDescent="0.25">
      <c r="A9" s="17" t="s">
        <v>1275</v>
      </c>
      <c r="B9" s="2" t="s">
        <v>1236</v>
      </c>
      <c r="C9" s="27" t="s">
        <v>23</v>
      </c>
      <c r="D9" s="2" t="str">
        <f>VLOOKUP($C9,Sheet1!$A$2:$D$10,2,0)</f>
        <v>141186-74360</v>
      </c>
      <c r="E9" s="8" t="s">
        <v>85</v>
      </c>
      <c r="F9" s="12">
        <v>46047</v>
      </c>
      <c r="G9" s="13">
        <v>0.3125</v>
      </c>
      <c r="H9" s="2" t="s">
        <v>71</v>
      </c>
      <c r="I9" s="2" t="s">
        <v>54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2</v>
      </c>
      <c r="O9" s="2" t="s">
        <v>359</v>
      </c>
      <c r="P9" s="2">
        <v>910106976</v>
      </c>
    </row>
    <row r="10" spans="1:16" x14ac:dyDescent="0.25">
      <c r="A10" s="17" t="s">
        <v>1276</v>
      </c>
      <c r="B10" s="2" t="s">
        <v>1246</v>
      </c>
      <c r="C10" s="27" t="s">
        <v>26</v>
      </c>
      <c r="D10" s="2" t="str">
        <f>VLOOKUP($C10,Sheet1!$A$2:$D$10,2,0)</f>
        <v>116040-92240</v>
      </c>
      <c r="E10" s="8" t="s">
        <v>90</v>
      </c>
      <c r="F10" s="12">
        <v>46047</v>
      </c>
      <c r="G10" s="13">
        <v>0.3125</v>
      </c>
      <c r="H10" s="2" t="s">
        <v>91</v>
      </c>
      <c r="I10" s="2" t="s">
        <v>54</v>
      </c>
      <c r="J10" s="2">
        <v>30</v>
      </c>
      <c r="K10" s="14">
        <f>VLOOKUP($C10,Sheet1!$A$2:$D$10,4,0)</f>
        <v>6</v>
      </c>
      <c r="L10" s="14" t="str">
        <f>VLOOKUP($C10,Sheet1!$A$2:$E$10,5,0)</f>
        <v>Bin</v>
      </c>
      <c r="M10" s="14">
        <f t="shared" ref="M10:M12" si="0">J10/K10</f>
        <v>5</v>
      </c>
      <c r="N10" s="2"/>
      <c r="O10" s="2" t="s">
        <v>359</v>
      </c>
      <c r="P10" s="2" t="s">
        <v>1912</v>
      </c>
    </row>
    <row r="11" spans="1:16" x14ac:dyDescent="0.25">
      <c r="A11" s="17" t="s">
        <v>1276</v>
      </c>
      <c r="B11" s="2" t="s">
        <v>1256</v>
      </c>
      <c r="C11" s="27" t="s">
        <v>32</v>
      </c>
      <c r="D11" s="2" t="str">
        <f>VLOOKUP($C11,Sheet1!$A$2:$D$10,2,0)</f>
        <v>114010-50820</v>
      </c>
      <c r="E11" s="8" t="s">
        <v>98</v>
      </c>
      <c r="F11" s="12">
        <v>46047</v>
      </c>
      <c r="G11" s="13">
        <v>0.3125</v>
      </c>
      <c r="H11" s="2" t="s">
        <v>91</v>
      </c>
      <c r="I11" s="2" t="s">
        <v>54</v>
      </c>
      <c r="J11" s="2">
        <v>22</v>
      </c>
      <c r="K11" s="14">
        <f>VLOOKUP($C11,Sheet1!$A$2:$D$10,4,0)</f>
        <v>1</v>
      </c>
      <c r="L11" s="14" t="str">
        <f>VLOOKUP($C11,Sheet1!$A$2:$E$10,5,0)</f>
        <v>Bin</v>
      </c>
      <c r="M11" s="14">
        <f t="shared" si="0"/>
        <v>22</v>
      </c>
      <c r="N11" s="2"/>
      <c r="O11" s="2" t="s">
        <v>359</v>
      </c>
      <c r="P11" s="2" t="s">
        <v>739</v>
      </c>
    </row>
    <row r="12" spans="1:16" x14ac:dyDescent="0.25">
      <c r="A12" s="17" t="s">
        <v>1276</v>
      </c>
      <c r="B12" s="2" t="s">
        <v>1265</v>
      </c>
      <c r="C12" s="27" t="s">
        <v>29</v>
      </c>
      <c r="D12" s="2" t="str">
        <f>VLOOKUP($C12,Sheet1!$A$2:$D$10,2,0)</f>
        <v>114010-50830</v>
      </c>
      <c r="E12" s="8" t="s">
        <v>98</v>
      </c>
      <c r="F12" s="12">
        <v>46047</v>
      </c>
      <c r="G12" s="13">
        <v>0.3125</v>
      </c>
      <c r="H12" s="2" t="s">
        <v>91</v>
      </c>
      <c r="I12" s="2" t="s">
        <v>54</v>
      </c>
      <c r="J12" s="2">
        <v>7</v>
      </c>
      <c r="K12" s="14">
        <f>VLOOKUP($C12,Sheet1!$A$2:$D$10,4,0)</f>
        <v>1</v>
      </c>
      <c r="L12" s="14" t="str">
        <f>VLOOKUP($C12,Sheet1!$A$2:$E$10,5,0)</f>
        <v>Bin</v>
      </c>
      <c r="M12" s="14">
        <f t="shared" si="0"/>
        <v>7</v>
      </c>
      <c r="N12" s="2"/>
      <c r="O12" s="2" t="s">
        <v>359</v>
      </c>
      <c r="P12" s="2" t="s">
        <v>1893</v>
      </c>
    </row>
    <row r="13" spans="1:16" s="11" customForma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v>62</v>
      </c>
      <c r="N13" s="10">
        <v>5</v>
      </c>
      <c r="O13" s="10"/>
      <c r="P13" s="10"/>
    </row>
    <row r="14" spans="1:16" x14ac:dyDescent="0.25">
      <c r="A14" s="17" t="s">
        <v>1277</v>
      </c>
      <c r="B14" s="2" t="s">
        <v>1187</v>
      </c>
      <c r="C14" s="27" t="s">
        <v>5</v>
      </c>
      <c r="D14" s="2" t="str">
        <f>VLOOKUP($C14,Sheet1!$A$2:$D$10,2,0)</f>
        <v>141110-14600</v>
      </c>
      <c r="E14" s="8" t="s">
        <v>52</v>
      </c>
      <c r="F14" s="12">
        <v>46047</v>
      </c>
      <c r="G14" s="13">
        <v>0.35416666666666669</v>
      </c>
      <c r="H14" s="2" t="s">
        <v>53</v>
      </c>
      <c r="I14" s="2" t="s">
        <v>54</v>
      </c>
      <c r="J14" s="2">
        <v>18</v>
      </c>
      <c r="K14" s="14">
        <f>VLOOKUP($C14,Sheet1!$A$2:$D$10,4,0)</f>
        <v>18</v>
      </c>
      <c r="L14" s="14" t="str">
        <f>VLOOKUP($C14,Sheet1!$A$2:$E$10,5,0)</f>
        <v>Trolley (H)</v>
      </c>
      <c r="M14" s="14"/>
      <c r="N14" s="52">
        <v>1</v>
      </c>
      <c r="O14" s="2" t="s">
        <v>121</v>
      </c>
      <c r="P14" s="2" t="s">
        <v>1915</v>
      </c>
    </row>
    <row r="15" spans="1:16" x14ac:dyDescent="0.25">
      <c r="A15" s="17" t="s">
        <v>1277</v>
      </c>
      <c r="B15" s="2" t="s">
        <v>1197</v>
      </c>
      <c r="C15" s="27" t="s">
        <v>9</v>
      </c>
      <c r="D15" s="2" t="str">
        <f>VLOOKUP($C15,Sheet1!$A$2:$D$10,2,0)</f>
        <v>141120-14600</v>
      </c>
      <c r="E15" s="8" t="s">
        <v>60</v>
      </c>
      <c r="F15" s="12">
        <v>46047</v>
      </c>
      <c r="G15" s="13">
        <v>0.35416666666666669</v>
      </c>
      <c r="H15" s="2" t="s">
        <v>53</v>
      </c>
      <c r="I15" s="2" t="s">
        <v>54</v>
      </c>
      <c r="J15" s="2">
        <v>18</v>
      </c>
      <c r="K15" s="14">
        <f>VLOOKUP($C15,Sheet1!$A$2:$D$10,4,0)</f>
        <v>18</v>
      </c>
      <c r="L15" s="14" t="str">
        <f>VLOOKUP($C15,Sheet1!$A$2:$E$10,5,0)</f>
        <v>Trolley (H)</v>
      </c>
      <c r="M15" s="14"/>
      <c r="N15" s="53"/>
      <c r="O15" s="2" t="s">
        <v>121</v>
      </c>
      <c r="P15" s="2" t="s">
        <v>1915</v>
      </c>
    </row>
    <row r="16" spans="1:16" x14ac:dyDescent="0.25">
      <c r="A16" s="17" t="s">
        <v>1277</v>
      </c>
      <c r="B16" s="2" t="s">
        <v>1207</v>
      </c>
      <c r="C16" s="27" t="s">
        <v>12</v>
      </c>
      <c r="D16" s="2" t="str">
        <f>VLOOKUP($C16,Sheet1!$A$2:$D$10,2,0)</f>
        <v>141185-74670</v>
      </c>
      <c r="E16" s="8" t="s">
        <v>66</v>
      </c>
      <c r="F16" s="12">
        <v>46047</v>
      </c>
      <c r="G16" s="13">
        <v>0.35416666666666669</v>
      </c>
      <c r="H16" s="2" t="s">
        <v>53</v>
      </c>
      <c r="I16" s="2" t="s">
        <v>54</v>
      </c>
      <c r="J16" s="2">
        <v>80</v>
      </c>
      <c r="K16" s="14">
        <f>VLOOKUP($C16,Sheet1!$A$2:$D$10,4,0)</f>
        <v>40</v>
      </c>
      <c r="L16" s="14" t="str">
        <f>VLOOKUP($C16,Sheet1!$A$2:$E$10,5,0)</f>
        <v>Trolley</v>
      </c>
      <c r="M16" s="14"/>
      <c r="N16" s="2">
        <f>J16/K16</f>
        <v>2</v>
      </c>
      <c r="O16" s="2" t="s">
        <v>121</v>
      </c>
      <c r="P16" s="2">
        <v>910107170</v>
      </c>
    </row>
    <row r="17" spans="1:16" x14ac:dyDescent="0.25">
      <c r="A17" s="17" t="s">
        <v>1277</v>
      </c>
      <c r="B17" s="2" t="s">
        <v>1217</v>
      </c>
      <c r="C17" s="27" t="s">
        <v>16</v>
      </c>
      <c r="D17" s="2" t="str">
        <f>VLOOKUP($C17,Sheet1!$A$2:$D$10,2,0)</f>
        <v>141140-91211</v>
      </c>
      <c r="E17" s="8" t="s">
        <v>70</v>
      </c>
      <c r="F17" s="12">
        <v>46047</v>
      </c>
      <c r="G17" s="13">
        <v>0.35416666666666669</v>
      </c>
      <c r="H17" s="2" t="s">
        <v>71</v>
      </c>
      <c r="I17" s="2" t="s">
        <v>54</v>
      </c>
      <c r="J17" s="2">
        <v>28</v>
      </c>
      <c r="K17" s="14">
        <f>VLOOKUP($C17,Sheet1!$A$2:$D$10,4,0)</f>
        <v>2</v>
      </c>
      <c r="L17" s="14" t="str">
        <f>VLOOKUP($C17,Sheet1!$A$2:$E$10,5,0)</f>
        <v>Bin</v>
      </c>
      <c r="M17" s="14">
        <f t="shared" ref="M17:M18" si="1">J17/K17</f>
        <v>14</v>
      </c>
      <c r="N17" s="2"/>
      <c r="O17" s="2" t="s">
        <v>121</v>
      </c>
      <c r="P17" s="2" t="s">
        <v>1910</v>
      </c>
    </row>
    <row r="18" spans="1:16" x14ac:dyDescent="0.25">
      <c r="A18" s="17" t="s">
        <v>1277</v>
      </c>
      <c r="B18" s="2" t="s">
        <v>1227</v>
      </c>
      <c r="C18" s="27" t="s">
        <v>20</v>
      </c>
      <c r="D18" s="2" t="str">
        <f>VLOOKUP($C18,Sheet1!$A$2:$D$10,2,0)</f>
        <v>141150-91211</v>
      </c>
      <c r="E18" s="8" t="s">
        <v>78</v>
      </c>
      <c r="F18" s="12">
        <v>46047</v>
      </c>
      <c r="G18" s="13">
        <v>0.35416666666666669</v>
      </c>
      <c r="H18" s="2" t="s">
        <v>71</v>
      </c>
      <c r="I18" s="2" t="s">
        <v>54</v>
      </c>
      <c r="J18" s="2">
        <v>28</v>
      </c>
      <c r="K18" s="14">
        <f>VLOOKUP($C18,Sheet1!$A$2:$D$10,4,0)</f>
        <v>2</v>
      </c>
      <c r="L18" s="14" t="str">
        <f>VLOOKUP($C18,Sheet1!$A$2:$E$10,5,0)</f>
        <v>Bin</v>
      </c>
      <c r="M18" s="14">
        <f t="shared" si="1"/>
        <v>14</v>
      </c>
      <c r="N18" s="2"/>
      <c r="O18" s="2" t="s">
        <v>121</v>
      </c>
      <c r="P18" s="2" t="s">
        <v>1910</v>
      </c>
    </row>
    <row r="19" spans="1:16" x14ac:dyDescent="0.25">
      <c r="A19" s="17" t="s">
        <v>1277</v>
      </c>
      <c r="B19" s="2" t="s">
        <v>1237</v>
      </c>
      <c r="C19" s="27" t="s">
        <v>23</v>
      </c>
      <c r="D19" s="2" t="str">
        <f>VLOOKUP($C19,Sheet1!$A$2:$D$10,2,0)</f>
        <v>141186-74360</v>
      </c>
      <c r="E19" s="8" t="s">
        <v>85</v>
      </c>
      <c r="F19" s="12">
        <v>46047</v>
      </c>
      <c r="G19" s="13">
        <v>0.35416666666666669</v>
      </c>
      <c r="H19" s="2" t="s">
        <v>71</v>
      </c>
      <c r="I19" s="2" t="s">
        <v>54</v>
      </c>
      <c r="J19" s="2">
        <v>40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1</v>
      </c>
      <c r="O19" s="2" t="s">
        <v>121</v>
      </c>
      <c r="P19" s="2">
        <v>910106976</v>
      </c>
    </row>
    <row r="20" spans="1:16" x14ac:dyDescent="0.25">
      <c r="A20" s="17" t="s">
        <v>1278</v>
      </c>
      <c r="B20" s="2" t="s">
        <v>1247</v>
      </c>
      <c r="C20" s="27" t="s">
        <v>26</v>
      </c>
      <c r="D20" s="2" t="str">
        <f>VLOOKUP($C20,Sheet1!$A$2:$D$10,2,0)</f>
        <v>116040-92240</v>
      </c>
      <c r="E20" s="8" t="s">
        <v>90</v>
      </c>
      <c r="F20" s="12">
        <v>46047</v>
      </c>
      <c r="G20" s="13">
        <v>0.35416666666666669</v>
      </c>
      <c r="H20" s="2" t="s">
        <v>91</v>
      </c>
      <c r="I20" s="2" t="s">
        <v>54</v>
      </c>
      <c r="J20" s="2">
        <v>30</v>
      </c>
      <c r="K20" s="14">
        <f>VLOOKUP($C20,Sheet1!$A$2:$D$10,4,0)</f>
        <v>6</v>
      </c>
      <c r="L20" s="14" t="str">
        <f>VLOOKUP($C20,Sheet1!$A$2:$E$10,5,0)</f>
        <v>Bin</v>
      </c>
      <c r="M20" s="14">
        <f>J20/K20</f>
        <v>5</v>
      </c>
      <c r="N20" s="2"/>
      <c r="O20" s="2" t="s">
        <v>121</v>
      </c>
      <c r="P20" s="2" t="s">
        <v>1912</v>
      </c>
    </row>
    <row r="21" spans="1:16" x14ac:dyDescent="0.25">
      <c r="A21" s="17" t="s">
        <v>1278</v>
      </c>
      <c r="B21" s="2" t="s">
        <v>1257</v>
      </c>
      <c r="C21" s="27" t="s">
        <v>32</v>
      </c>
      <c r="D21" s="2" t="str">
        <f>VLOOKUP($C21,Sheet1!$A$2:$D$10,2,0)</f>
        <v>114010-50820</v>
      </c>
      <c r="E21" s="8" t="s">
        <v>98</v>
      </c>
      <c r="F21" s="12">
        <v>46047</v>
      </c>
      <c r="G21" s="13">
        <v>0.35416666666666669</v>
      </c>
      <c r="H21" s="2" t="s">
        <v>91</v>
      </c>
      <c r="I21" s="2" t="s">
        <v>54</v>
      </c>
      <c r="J21" s="2">
        <v>13</v>
      </c>
      <c r="K21" s="14">
        <f>VLOOKUP($C21,Sheet1!$A$2:$D$10,4,0)</f>
        <v>1</v>
      </c>
      <c r="L21" s="14" t="str">
        <f>VLOOKUP($C21,Sheet1!$A$2:$E$10,5,0)</f>
        <v>Bin</v>
      </c>
      <c r="M21" s="14">
        <f>J21/K21</f>
        <v>13</v>
      </c>
      <c r="N21" s="2"/>
      <c r="O21" s="2" t="s">
        <v>121</v>
      </c>
      <c r="P21" s="2" t="s">
        <v>739</v>
      </c>
    </row>
    <row r="22" spans="1:16" x14ac:dyDescent="0.25">
      <c r="A22" s="17" t="s">
        <v>1278</v>
      </c>
      <c r="B22" s="2" t="s">
        <v>1266</v>
      </c>
      <c r="C22" s="27" t="s">
        <v>29</v>
      </c>
      <c r="D22" s="2" t="str">
        <f>VLOOKUP($C22,Sheet1!$A$2:$D$10,2,0)</f>
        <v>114010-50830</v>
      </c>
      <c r="E22" s="8" t="s">
        <v>98</v>
      </c>
      <c r="F22" s="12">
        <v>46047</v>
      </c>
      <c r="G22" s="13">
        <v>0.35416666666666669</v>
      </c>
      <c r="H22" s="2" t="s">
        <v>91</v>
      </c>
      <c r="I22" s="2" t="s">
        <v>54</v>
      </c>
      <c r="J22" s="2">
        <v>15</v>
      </c>
      <c r="K22" s="14">
        <f>VLOOKUP($C22,Sheet1!$A$2:$D$10,4,0)</f>
        <v>1</v>
      </c>
      <c r="L22" s="14" t="str">
        <f>VLOOKUP($C22,Sheet1!$A$2:$E$10,5,0)</f>
        <v>Bin</v>
      </c>
      <c r="M22" s="14">
        <f>J22/K22</f>
        <v>15</v>
      </c>
      <c r="N22" s="2"/>
      <c r="O22" s="2" t="s">
        <v>121</v>
      </c>
      <c r="P22" s="2" t="s">
        <v>1893</v>
      </c>
    </row>
    <row r="23" spans="1:16" s="11" customForma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v>61</v>
      </c>
      <c r="N23" s="10">
        <v>4</v>
      </c>
      <c r="O23" s="10"/>
      <c r="P23" s="10"/>
    </row>
    <row r="24" spans="1:16" x14ac:dyDescent="0.25">
      <c r="A24" s="17" t="s">
        <v>1279</v>
      </c>
      <c r="B24" s="2" t="s">
        <v>1188</v>
      </c>
      <c r="C24" s="27" t="s">
        <v>5</v>
      </c>
      <c r="D24" s="2" t="str">
        <f>VLOOKUP($C24,Sheet1!$A$2:$D$10,2,0)</f>
        <v>141110-14600</v>
      </c>
      <c r="E24" s="8" t="s">
        <v>52</v>
      </c>
      <c r="F24" s="12">
        <v>46047</v>
      </c>
      <c r="G24" s="13">
        <v>0.39583333333333331</v>
      </c>
      <c r="H24" s="2" t="s">
        <v>53</v>
      </c>
      <c r="I24" s="2" t="s">
        <v>54</v>
      </c>
      <c r="J24" s="2">
        <v>36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>
        <v>2</v>
      </c>
      <c r="O24" s="2" t="s">
        <v>122</v>
      </c>
      <c r="P24" s="2" t="s">
        <v>1915</v>
      </c>
    </row>
    <row r="25" spans="1:16" x14ac:dyDescent="0.25">
      <c r="A25" s="17" t="s">
        <v>1279</v>
      </c>
      <c r="B25" s="2" t="s">
        <v>1198</v>
      </c>
      <c r="C25" s="27" t="s">
        <v>9</v>
      </c>
      <c r="D25" s="2" t="str">
        <f>VLOOKUP($C25,Sheet1!$A$2:$D$10,2,0)</f>
        <v>141120-14600</v>
      </c>
      <c r="E25" s="8" t="s">
        <v>60</v>
      </c>
      <c r="F25" s="12">
        <v>46047</v>
      </c>
      <c r="G25" s="13">
        <v>0.39583333333333331</v>
      </c>
      <c r="H25" s="2" t="s">
        <v>53</v>
      </c>
      <c r="I25" s="2" t="s">
        <v>54</v>
      </c>
      <c r="J25" s="2">
        <v>36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3"/>
      <c r="O25" s="2" t="s">
        <v>122</v>
      </c>
      <c r="P25" s="2" t="s">
        <v>1915</v>
      </c>
    </row>
    <row r="26" spans="1:16" x14ac:dyDescent="0.25">
      <c r="A26" s="17" t="s">
        <v>1279</v>
      </c>
      <c r="B26" s="2" t="s">
        <v>1208</v>
      </c>
      <c r="C26" s="27" t="s">
        <v>12</v>
      </c>
      <c r="D26" s="2" t="str">
        <f>VLOOKUP($C26,Sheet1!$A$2:$D$10,2,0)</f>
        <v>141185-74670</v>
      </c>
      <c r="E26" s="8" t="s">
        <v>66</v>
      </c>
      <c r="F26" s="12">
        <v>46047</v>
      </c>
      <c r="G26" s="13">
        <v>0.39583333333333331</v>
      </c>
      <c r="H26" s="2" t="s">
        <v>53</v>
      </c>
      <c r="I26" s="2" t="s">
        <v>54</v>
      </c>
      <c r="J26" s="2">
        <v>40</v>
      </c>
      <c r="K26" s="14">
        <f>VLOOKUP($C26,Sheet1!$A$2:$D$10,4,0)</f>
        <v>40</v>
      </c>
      <c r="L26" s="14" t="str">
        <f>VLOOKUP($C26,Sheet1!$A$2:$E$10,5,0)</f>
        <v>Trolley</v>
      </c>
      <c r="M26" s="14"/>
      <c r="N26" s="2">
        <f>J26/K26</f>
        <v>1</v>
      </c>
      <c r="O26" s="2" t="s">
        <v>122</v>
      </c>
      <c r="P26" s="2">
        <v>910107170</v>
      </c>
    </row>
    <row r="27" spans="1:16" x14ac:dyDescent="0.25">
      <c r="A27" s="17" t="s">
        <v>1279</v>
      </c>
      <c r="B27" s="2" t="s">
        <v>1218</v>
      </c>
      <c r="C27" s="27" t="s">
        <v>16</v>
      </c>
      <c r="D27" s="2" t="str">
        <f>VLOOKUP($C27,Sheet1!$A$2:$D$10,2,0)</f>
        <v>141140-91211</v>
      </c>
      <c r="E27" s="8" t="s">
        <v>70</v>
      </c>
      <c r="F27" s="12">
        <v>46047</v>
      </c>
      <c r="G27" s="13">
        <v>0.39583333333333331</v>
      </c>
      <c r="H27" s="2" t="s">
        <v>71</v>
      </c>
      <c r="I27" s="2" t="s">
        <v>54</v>
      </c>
      <c r="J27" s="2">
        <v>28</v>
      </c>
      <c r="K27" s="14">
        <f>VLOOKUP($C27,Sheet1!$A$2:$D$10,4,0)</f>
        <v>2</v>
      </c>
      <c r="L27" s="14" t="str">
        <f>VLOOKUP($C27,Sheet1!$A$2:$E$10,5,0)</f>
        <v>Bin</v>
      </c>
      <c r="M27" s="14">
        <f t="shared" ref="M27:M28" si="2">J27/K27</f>
        <v>14</v>
      </c>
      <c r="N27" s="2"/>
      <c r="O27" s="2" t="s">
        <v>122</v>
      </c>
      <c r="P27" s="2" t="s">
        <v>1910</v>
      </c>
    </row>
    <row r="28" spans="1:16" x14ac:dyDescent="0.25">
      <c r="A28" s="17" t="s">
        <v>1279</v>
      </c>
      <c r="B28" s="2" t="s">
        <v>1228</v>
      </c>
      <c r="C28" s="27" t="s">
        <v>20</v>
      </c>
      <c r="D28" s="2" t="str">
        <f>VLOOKUP($C28,Sheet1!$A$2:$D$10,2,0)</f>
        <v>141150-91211</v>
      </c>
      <c r="E28" s="8" t="s">
        <v>78</v>
      </c>
      <c r="F28" s="12">
        <v>46047</v>
      </c>
      <c r="G28" s="13">
        <v>0.39583333333333331</v>
      </c>
      <c r="H28" s="2" t="s">
        <v>71</v>
      </c>
      <c r="I28" s="2" t="s">
        <v>54</v>
      </c>
      <c r="J28" s="2">
        <v>28</v>
      </c>
      <c r="K28" s="14">
        <f>VLOOKUP($C28,Sheet1!$A$2:$D$10,4,0)</f>
        <v>2</v>
      </c>
      <c r="L28" s="14" t="str">
        <f>VLOOKUP($C28,Sheet1!$A$2:$E$10,5,0)</f>
        <v>Bin</v>
      </c>
      <c r="M28" s="14">
        <f t="shared" si="2"/>
        <v>14</v>
      </c>
      <c r="N28" s="2"/>
      <c r="O28" s="2" t="s">
        <v>122</v>
      </c>
      <c r="P28" s="2" t="s">
        <v>1910</v>
      </c>
    </row>
    <row r="29" spans="1:16" x14ac:dyDescent="0.25">
      <c r="A29" s="17" t="s">
        <v>1279</v>
      </c>
      <c r="B29" s="2" t="s">
        <v>1238</v>
      </c>
      <c r="C29" s="27" t="s">
        <v>23</v>
      </c>
      <c r="D29" s="2" t="str">
        <f>VLOOKUP($C29,Sheet1!$A$2:$D$10,2,0)</f>
        <v>141186-74360</v>
      </c>
      <c r="E29" s="8" t="s">
        <v>85</v>
      </c>
      <c r="F29" s="12">
        <v>46047</v>
      </c>
      <c r="G29" s="13">
        <v>0.39583333333333331</v>
      </c>
      <c r="H29" s="2" t="s">
        <v>71</v>
      </c>
      <c r="I29" s="2" t="s">
        <v>54</v>
      </c>
      <c r="J29" s="2">
        <v>40</v>
      </c>
      <c r="K29" s="14">
        <f>VLOOKUP($C29,Sheet1!$A$2:$D$10,4,0)</f>
        <v>40</v>
      </c>
      <c r="L29" s="14" t="str">
        <f>VLOOKUP($C29,Sheet1!$A$2:$E$10,5,0)</f>
        <v>Trolley</v>
      </c>
      <c r="M29" s="14"/>
      <c r="N29" s="2">
        <f>J29/K29</f>
        <v>1</v>
      </c>
      <c r="O29" s="2" t="s">
        <v>122</v>
      </c>
      <c r="P29" s="2" t="s">
        <v>1917</v>
      </c>
    </row>
    <row r="30" spans="1:16" x14ac:dyDescent="0.25">
      <c r="A30" s="17" t="s">
        <v>1280</v>
      </c>
      <c r="B30" s="2" t="s">
        <v>1248</v>
      </c>
      <c r="C30" s="27" t="s">
        <v>26</v>
      </c>
      <c r="D30" s="2" t="str">
        <f>VLOOKUP($C30,Sheet1!$A$2:$D$10,2,0)</f>
        <v>116040-92240</v>
      </c>
      <c r="E30" s="8" t="s">
        <v>90</v>
      </c>
      <c r="F30" s="12">
        <v>46047</v>
      </c>
      <c r="G30" s="13">
        <v>0.39583333333333331</v>
      </c>
      <c r="H30" s="2" t="s">
        <v>91</v>
      </c>
      <c r="I30" s="2" t="s">
        <v>54</v>
      </c>
      <c r="J30" s="2">
        <v>30</v>
      </c>
      <c r="K30" s="14">
        <f>VLOOKUP($C30,Sheet1!$A$2:$D$10,4,0)</f>
        <v>6</v>
      </c>
      <c r="L30" s="14" t="str">
        <f>VLOOKUP($C30,Sheet1!$A$2:$E$10,5,0)</f>
        <v>Bin</v>
      </c>
      <c r="M30" s="14">
        <f t="shared" ref="M30:M32" si="3">J30/K30</f>
        <v>5</v>
      </c>
      <c r="N30" s="2"/>
      <c r="O30" s="2" t="s">
        <v>122</v>
      </c>
      <c r="P30" s="2" t="s">
        <v>1912</v>
      </c>
    </row>
    <row r="31" spans="1:16" x14ac:dyDescent="0.25">
      <c r="A31" s="17" t="s">
        <v>1280</v>
      </c>
      <c r="B31" s="2" t="s">
        <v>1258</v>
      </c>
      <c r="C31" s="27" t="s">
        <v>32</v>
      </c>
      <c r="D31" s="2" t="str">
        <f>VLOOKUP($C31,Sheet1!$A$2:$D$10,2,0)</f>
        <v>114010-50820</v>
      </c>
      <c r="E31" s="8" t="s">
        <v>98</v>
      </c>
      <c r="F31" s="12">
        <v>46047</v>
      </c>
      <c r="G31" s="13">
        <v>0.39583333333333331</v>
      </c>
      <c r="H31" s="2" t="s">
        <v>91</v>
      </c>
      <c r="I31" s="2" t="s">
        <v>54</v>
      </c>
      <c r="J31" s="2">
        <v>14</v>
      </c>
      <c r="K31" s="14">
        <f>VLOOKUP($C31,Sheet1!$A$2:$D$10,4,0)</f>
        <v>1</v>
      </c>
      <c r="L31" s="14" t="str">
        <f>VLOOKUP($C31,Sheet1!$A$2:$E$10,5,0)</f>
        <v>Bin</v>
      </c>
      <c r="M31" s="14">
        <f t="shared" si="3"/>
        <v>14</v>
      </c>
      <c r="N31" s="2"/>
      <c r="O31" s="2" t="s">
        <v>122</v>
      </c>
      <c r="P31" s="2" t="s">
        <v>739</v>
      </c>
    </row>
    <row r="32" spans="1:16" x14ac:dyDescent="0.25">
      <c r="A32" s="17" t="s">
        <v>1280</v>
      </c>
      <c r="B32" s="2" t="s">
        <v>1267</v>
      </c>
      <c r="C32" s="27" t="s">
        <v>29</v>
      </c>
      <c r="D32" s="2" t="str">
        <f>VLOOKUP($C32,Sheet1!$A$2:$D$10,2,0)</f>
        <v>114010-50830</v>
      </c>
      <c r="E32" s="8" t="s">
        <v>98</v>
      </c>
      <c r="F32" s="12">
        <v>46047</v>
      </c>
      <c r="G32" s="13">
        <v>0.39583333333333331</v>
      </c>
      <c r="H32" s="2" t="s">
        <v>91</v>
      </c>
      <c r="I32" s="2" t="s">
        <v>54</v>
      </c>
      <c r="J32" s="2">
        <v>14</v>
      </c>
      <c r="K32" s="14">
        <f>VLOOKUP($C32,Sheet1!$A$2:$D$10,4,0)</f>
        <v>1</v>
      </c>
      <c r="L32" s="14" t="str">
        <f>VLOOKUP($C32,Sheet1!$A$2:$E$10,5,0)</f>
        <v>Bin</v>
      </c>
      <c r="M32" s="14">
        <f t="shared" si="3"/>
        <v>14</v>
      </c>
      <c r="N32" s="2"/>
      <c r="O32" s="2" t="s">
        <v>122</v>
      </c>
      <c r="P32" s="2" t="s">
        <v>1893</v>
      </c>
    </row>
    <row r="33" spans="1:16" s="11" customForma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>
        <v>61</v>
      </c>
      <c r="N33" s="10">
        <v>4</v>
      </c>
      <c r="O33" s="10"/>
      <c r="P33" s="10"/>
    </row>
    <row r="34" spans="1:16" x14ac:dyDescent="0.25">
      <c r="A34" s="17" t="s">
        <v>1281</v>
      </c>
      <c r="B34" s="2" t="s">
        <v>1189</v>
      </c>
      <c r="C34" s="27" t="s">
        <v>5</v>
      </c>
      <c r="D34" s="2" t="str">
        <f>VLOOKUP($C34,Sheet1!$A$2:$D$10,2,0)</f>
        <v>141110-14600</v>
      </c>
      <c r="E34" s="8" t="s">
        <v>52</v>
      </c>
      <c r="F34" s="12">
        <v>46047</v>
      </c>
      <c r="G34" s="13">
        <v>0.47916666666666669</v>
      </c>
      <c r="H34" s="2" t="s">
        <v>53</v>
      </c>
      <c r="I34" s="2" t="s">
        <v>54</v>
      </c>
      <c r="J34" s="2">
        <v>36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2">
        <v>2</v>
      </c>
      <c r="O34" s="2" t="s">
        <v>119</v>
      </c>
      <c r="P34" s="2" t="s">
        <v>1915</v>
      </c>
    </row>
    <row r="35" spans="1:16" x14ac:dyDescent="0.25">
      <c r="A35" s="17" t="s">
        <v>1281</v>
      </c>
      <c r="B35" s="2" t="s">
        <v>1199</v>
      </c>
      <c r="C35" s="27" t="s">
        <v>9</v>
      </c>
      <c r="D35" s="2" t="str">
        <f>VLOOKUP($C35,Sheet1!$A$2:$D$10,2,0)</f>
        <v>141120-14600</v>
      </c>
      <c r="E35" s="8" t="s">
        <v>60</v>
      </c>
      <c r="F35" s="12">
        <v>46047</v>
      </c>
      <c r="G35" s="13">
        <v>0.47916666666666669</v>
      </c>
      <c r="H35" s="2" t="s">
        <v>53</v>
      </c>
      <c r="I35" s="2" t="s">
        <v>54</v>
      </c>
      <c r="J35" s="2">
        <v>36</v>
      </c>
      <c r="K35" s="14">
        <f>VLOOKUP($C35,Sheet1!$A$2:$D$10,4,0)</f>
        <v>18</v>
      </c>
      <c r="L35" s="14" t="str">
        <f>VLOOKUP($C35,Sheet1!$A$2:$E$10,5,0)</f>
        <v>Trolley (H)</v>
      </c>
      <c r="M35" s="14"/>
      <c r="N35" s="53"/>
      <c r="O35" s="2" t="s">
        <v>119</v>
      </c>
      <c r="P35" s="2" t="s">
        <v>1915</v>
      </c>
    </row>
    <row r="36" spans="1:16" x14ac:dyDescent="0.25">
      <c r="A36" s="17" t="s">
        <v>1281</v>
      </c>
      <c r="B36" s="2" t="s">
        <v>1209</v>
      </c>
      <c r="C36" s="27" t="s">
        <v>12</v>
      </c>
      <c r="D36" s="2" t="str">
        <f>VLOOKUP($C36,Sheet1!$A$2:$D$10,2,0)</f>
        <v>141185-74670</v>
      </c>
      <c r="E36" s="8" t="s">
        <v>66</v>
      </c>
      <c r="F36" s="12">
        <v>46047</v>
      </c>
      <c r="G36" s="13">
        <v>0.47916666666666669</v>
      </c>
      <c r="H36" s="2" t="s">
        <v>53</v>
      </c>
      <c r="I36" s="2" t="s">
        <v>54</v>
      </c>
      <c r="J36" s="2">
        <v>80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2</v>
      </c>
      <c r="O36" s="2" t="s">
        <v>119</v>
      </c>
      <c r="P36" s="2">
        <v>910107170</v>
      </c>
    </row>
    <row r="37" spans="1:16" x14ac:dyDescent="0.25">
      <c r="A37" s="17" t="s">
        <v>1281</v>
      </c>
      <c r="B37" s="2" t="s">
        <v>1219</v>
      </c>
      <c r="C37" s="27" t="s">
        <v>16</v>
      </c>
      <c r="D37" s="2" t="str">
        <f>VLOOKUP($C37,Sheet1!$A$2:$D$10,2,0)</f>
        <v>141140-91211</v>
      </c>
      <c r="E37" s="8" t="s">
        <v>70</v>
      </c>
      <c r="F37" s="12">
        <v>46047</v>
      </c>
      <c r="G37" s="13">
        <v>0.47916666666666669</v>
      </c>
      <c r="H37" s="2" t="s">
        <v>71</v>
      </c>
      <c r="I37" s="2" t="s">
        <v>54</v>
      </c>
      <c r="J37" s="2">
        <v>28</v>
      </c>
      <c r="K37" s="14">
        <f>VLOOKUP($C37,Sheet1!$A$2:$D$10,4,0)</f>
        <v>2</v>
      </c>
      <c r="L37" s="14" t="str">
        <f>VLOOKUP($C37,Sheet1!$A$2:$E$10,5,0)</f>
        <v>Bin</v>
      </c>
      <c r="M37" s="14">
        <f t="shared" ref="M37:M38" si="4">J37/K37</f>
        <v>14</v>
      </c>
      <c r="N37" s="2"/>
      <c r="O37" s="2" t="s">
        <v>119</v>
      </c>
      <c r="P37" s="2" t="s">
        <v>1910</v>
      </c>
    </row>
    <row r="38" spans="1:16" x14ac:dyDescent="0.25">
      <c r="A38" s="17" t="s">
        <v>1281</v>
      </c>
      <c r="B38" s="2" t="s">
        <v>1229</v>
      </c>
      <c r="C38" s="27" t="s">
        <v>20</v>
      </c>
      <c r="D38" s="2" t="str">
        <f>VLOOKUP($C38,Sheet1!$A$2:$D$10,2,0)</f>
        <v>141150-91211</v>
      </c>
      <c r="E38" s="8" t="s">
        <v>78</v>
      </c>
      <c r="F38" s="12">
        <v>46047</v>
      </c>
      <c r="G38" s="13">
        <v>0.47916666666666669</v>
      </c>
      <c r="H38" s="2" t="s">
        <v>71</v>
      </c>
      <c r="I38" s="2" t="s">
        <v>54</v>
      </c>
      <c r="J38" s="2">
        <v>28</v>
      </c>
      <c r="K38" s="14">
        <f>VLOOKUP($C38,Sheet1!$A$2:$D$10,4,0)</f>
        <v>2</v>
      </c>
      <c r="L38" s="14" t="str">
        <f>VLOOKUP($C38,Sheet1!$A$2:$E$10,5,0)</f>
        <v>Bin</v>
      </c>
      <c r="M38" s="14">
        <f t="shared" si="4"/>
        <v>14</v>
      </c>
      <c r="N38" s="2"/>
      <c r="O38" s="2" t="s">
        <v>119</v>
      </c>
      <c r="P38" s="2" t="s">
        <v>1910</v>
      </c>
    </row>
    <row r="39" spans="1:16" x14ac:dyDescent="0.25">
      <c r="A39" s="17" t="s">
        <v>1281</v>
      </c>
      <c r="B39" s="2" t="s">
        <v>1239</v>
      </c>
      <c r="C39" s="27" t="s">
        <v>23</v>
      </c>
      <c r="D39" s="2" t="str">
        <f>VLOOKUP($C39,Sheet1!$A$2:$D$10,2,0)</f>
        <v>141186-74360</v>
      </c>
      <c r="E39" s="8" t="s">
        <v>85</v>
      </c>
      <c r="F39" s="12">
        <v>46047</v>
      </c>
      <c r="G39" s="13">
        <v>0.47916666666666669</v>
      </c>
      <c r="H39" s="2" t="s">
        <v>71</v>
      </c>
      <c r="I39" s="2" t="s">
        <v>54</v>
      </c>
      <c r="J39" s="2">
        <v>80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>J39/K39</f>
        <v>2</v>
      </c>
      <c r="O39" s="2" t="s">
        <v>119</v>
      </c>
      <c r="P39" s="2">
        <v>910106976</v>
      </c>
    </row>
    <row r="40" spans="1:16" x14ac:dyDescent="0.25">
      <c r="A40" s="17" t="s">
        <v>1282</v>
      </c>
      <c r="B40" s="2" t="s">
        <v>1249</v>
      </c>
      <c r="C40" s="27" t="s">
        <v>26</v>
      </c>
      <c r="D40" s="2" t="str">
        <f>VLOOKUP($C40,Sheet1!$A$2:$D$10,2,0)</f>
        <v>116040-92240</v>
      </c>
      <c r="E40" s="8" t="s">
        <v>90</v>
      </c>
      <c r="F40" s="12">
        <v>46047</v>
      </c>
      <c r="G40" s="13">
        <v>0.47916666666666669</v>
      </c>
      <c r="H40" s="2" t="s">
        <v>91</v>
      </c>
      <c r="I40" s="2" t="s">
        <v>54</v>
      </c>
      <c r="J40" s="2">
        <v>24</v>
      </c>
      <c r="K40" s="14">
        <f>VLOOKUP($C40,Sheet1!$A$2:$D$10,4,0)</f>
        <v>6</v>
      </c>
      <c r="L40" s="14" t="str">
        <f>VLOOKUP($C40,Sheet1!$A$2:$E$10,5,0)</f>
        <v>Bin</v>
      </c>
      <c r="M40" s="14">
        <f t="shared" ref="M40:M42" si="5">J40/K40</f>
        <v>4</v>
      </c>
      <c r="N40" s="2"/>
      <c r="O40" s="2" t="s">
        <v>119</v>
      </c>
      <c r="P40" s="2" t="s">
        <v>1912</v>
      </c>
    </row>
    <row r="41" spans="1:16" x14ac:dyDescent="0.25">
      <c r="A41" s="17" t="s">
        <v>1282</v>
      </c>
      <c r="B41" s="2" t="s">
        <v>1259</v>
      </c>
      <c r="C41" s="27" t="s">
        <v>32</v>
      </c>
      <c r="D41" s="2" t="str">
        <f>VLOOKUP($C41,Sheet1!$A$2:$D$10,2,0)</f>
        <v>114010-50820</v>
      </c>
      <c r="E41" s="8" t="s">
        <v>98</v>
      </c>
      <c r="F41" s="12">
        <v>46047</v>
      </c>
      <c r="G41" s="13">
        <v>0.47916666666666669</v>
      </c>
      <c r="H41" s="2" t="s">
        <v>91</v>
      </c>
      <c r="I41" s="2" t="s">
        <v>54</v>
      </c>
      <c r="J41" s="2">
        <v>18</v>
      </c>
      <c r="K41" s="14">
        <f>VLOOKUP($C41,Sheet1!$A$2:$D$10,4,0)</f>
        <v>1</v>
      </c>
      <c r="L41" s="14" t="str">
        <f>VLOOKUP($C41,Sheet1!$A$2:$E$10,5,0)</f>
        <v>Bin</v>
      </c>
      <c r="M41" s="14">
        <f t="shared" si="5"/>
        <v>18</v>
      </c>
      <c r="N41" s="2"/>
      <c r="O41" s="2" t="s">
        <v>119</v>
      </c>
      <c r="P41" s="2" t="s">
        <v>739</v>
      </c>
    </row>
    <row r="42" spans="1:16" x14ac:dyDescent="0.25">
      <c r="A42" s="17" t="s">
        <v>1282</v>
      </c>
      <c r="B42" s="2" t="s">
        <v>1268</v>
      </c>
      <c r="C42" s="27" t="s">
        <v>29</v>
      </c>
      <c r="D42" s="2" t="str">
        <f>VLOOKUP($C42,Sheet1!$A$2:$D$10,2,0)</f>
        <v>114010-50830</v>
      </c>
      <c r="E42" s="8" t="s">
        <v>98</v>
      </c>
      <c r="F42" s="12">
        <v>46047</v>
      </c>
      <c r="G42" s="13">
        <v>0.47916666666666669</v>
      </c>
      <c r="H42" s="2" t="s">
        <v>91</v>
      </c>
      <c r="I42" s="2" t="s">
        <v>54</v>
      </c>
      <c r="J42" s="2">
        <v>10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si="5"/>
        <v>10</v>
      </c>
      <c r="N42" s="2"/>
      <c r="O42" s="2" t="s">
        <v>119</v>
      </c>
      <c r="P42" s="2" t="s">
        <v>1893</v>
      </c>
    </row>
    <row r="43" spans="1:16" s="11" customForma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>
        <v>60</v>
      </c>
      <c r="N43" s="10">
        <v>6</v>
      </c>
      <c r="O43" s="10"/>
      <c r="P43" s="10"/>
    </row>
    <row r="44" spans="1:16" x14ac:dyDescent="0.25">
      <c r="A44" s="17" t="s">
        <v>1283</v>
      </c>
      <c r="B44" s="2" t="s">
        <v>1190</v>
      </c>
      <c r="C44" s="27" t="s">
        <v>5</v>
      </c>
      <c r="D44" s="2" t="str">
        <f>VLOOKUP($C44,Sheet1!$A$2:$D$10,2,0)</f>
        <v>141110-14600</v>
      </c>
      <c r="E44" s="8" t="s">
        <v>52</v>
      </c>
      <c r="F44" s="12">
        <v>46047</v>
      </c>
      <c r="G44" s="13">
        <v>0.5625</v>
      </c>
      <c r="H44" s="2" t="s">
        <v>53</v>
      </c>
      <c r="I44" s="2" t="s">
        <v>54</v>
      </c>
      <c r="J44" s="2">
        <v>36</v>
      </c>
      <c r="K44" s="14">
        <f>VLOOKUP($C44,Sheet1!$A$2:$D$10,4,0)</f>
        <v>18</v>
      </c>
      <c r="L44" s="14" t="str">
        <f>VLOOKUP($C44,Sheet1!$A$2:$E$10,5,0)</f>
        <v>Trolley (H)</v>
      </c>
      <c r="M44" s="14"/>
      <c r="N44" s="52">
        <v>2</v>
      </c>
      <c r="O44" s="2" t="s">
        <v>359</v>
      </c>
      <c r="P44" s="2" t="s">
        <v>1915</v>
      </c>
    </row>
    <row r="45" spans="1:16" x14ac:dyDescent="0.25">
      <c r="A45" s="17" t="s">
        <v>1283</v>
      </c>
      <c r="B45" s="2" t="s">
        <v>1200</v>
      </c>
      <c r="C45" s="27" t="s">
        <v>9</v>
      </c>
      <c r="D45" s="2" t="str">
        <f>VLOOKUP($C45,Sheet1!$A$2:$D$10,2,0)</f>
        <v>141120-14600</v>
      </c>
      <c r="E45" s="8" t="s">
        <v>60</v>
      </c>
      <c r="F45" s="12">
        <v>46047</v>
      </c>
      <c r="G45" s="13">
        <v>0.5625</v>
      </c>
      <c r="H45" s="2" t="s">
        <v>53</v>
      </c>
      <c r="I45" s="2" t="s">
        <v>54</v>
      </c>
      <c r="J45" s="2">
        <v>36</v>
      </c>
      <c r="K45" s="14">
        <f>VLOOKUP($C45,Sheet1!$A$2:$D$10,4,0)</f>
        <v>18</v>
      </c>
      <c r="L45" s="14" t="str">
        <f>VLOOKUP($C45,Sheet1!$A$2:$E$10,5,0)</f>
        <v>Trolley (H)</v>
      </c>
      <c r="M45" s="14"/>
      <c r="N45" s="53"/>
      <c r="O45" s="2" t="s">
        <v>359</v>
      </c>
      <c r="P45" s="2" t="s">
        <v>1915</v>
      </c>
    </row>
    <row r="46" spans="1:16" x14ac:dyDescent="0.25">
      <c r="A46" s="17" t="s">
        <v>1283</v>
      </c>
      <c r="B46" s="2" t="s">
        <v>1210</v>
      </c>
      <c r="C46" s="27" t="s">
        <v>12</v>
      </c>
      <c r="D46" s="2" t="str">
        <f>VLOOKUP($C46,Sheet1!$A$2:$D$10,2,0)</f>
        <v>141185-74670</v>
      </c>
      <c r="E46" s="8" t="s">
        <v>66</v>
      </c>
      <c r="F46" s="12">
        <v>46047</v>
      </c>
      <c r="G46" s="13">
        <v>0.5625</v>
      </c>
      <c r="H46" s="2" t="s">
        <v>53</v>
      </c>
      <c r="I46" s="2" t="s">
        <v>54</v>
      </c>
      <c r="J46" s="2">
        <v>80</v>
      </c>
      <c r="K46" s="14">
        <f>VLOOKUP($C46,Sheet1!$A$2:$D$10,4,0)</f>
        <v>40</v>
      </c>
      <c r="L46" s="14" t="str">
        <f>VLOOKUP($C46,Sheet1!$A$2:$E$10,5,0)</f>
        <v>Trolley</v>
      </c>
      <c r="M46" s="14"/>
      <c r="N46" s="2">
        <f>J46/K46</f>
        <v>2</v>
      </c>
      <c r="O46" s="2" t="s">
        <v>359</v>
      </c>
      <c r="P46" s="2">
        <v>910107170</v>
      </c>
    </row>
    <row r="47" spans="1:16" x14ac:dyDescent="0.25">
      <c r="A47" s="17" t="s">
        <v>1283</v>
      </c>
      <c r="B47" s="2" t="s">
        <v>1220</v>
      </c>
      <c r="C47" s="27" t="s">
        <v>16</v>
      </c>
      <c r="D47" s="2" t="str">
        <f>VLOOKUP($C47,Sheet1!$A$2:$D$10,2,0)</f>
        <v>141140-91211</v>
      </c>
      <c r="E47" s="8" t="s">
        <v>70</v>
      </c>
      <c r="F47" s="12">
        <v>46047</v>
      </c>
      <c r="G47" s="13">
        <v>0.5625</v>
      </c>
      <c r="H47" s="2" t="s">
        <v>71</v>
      </c>
      <c r="I47" s="2" t="s">
        <v>54</v>
      </c>
      <c r="J47" s="2">
        <v>42</v>
      </c>
      <c r="K47" s="14">
        <f>VLOOKUP($C47,Sheet1!$A$2:$D$10,4,0)</f>
        <v>2</v>
      </c>
      <c r="L47" s="14" t="str">
        <f>VLOOKUP($C47,Sheet1!$A$2:$E$10,5,0)</f>
        <v>Bin</v>
      </c>
      <c r="M47" s="14">
        <f t="shared" ref="M47:M48" si="6">J47/K47</f>
        <v>21</v>
      </c>
      <c r="N47" s="2"/>
      <c r="O47" s="2" t="s">
        <v>359</v>
      </c>
      <c r="P47" s="2" t="s">
        <v>1910</v>
      </c>
    </row>
    <row r="48" spans="1:16" x14ac:dyDescent="0.25">
      <c r="A48" s="17" t="s">
        <v>1283</v>
      </c>
      <c r="B48" s="2" t="s">
        <v>1230</v>
      </c>
      <c r="C48" s="27" t="s">
        <v>20</v>
      </c>
      <c r="D48" s="2" t="str">
        <f>VLOOKUP($C48,Sheet1!$A$2:$D$10,2,0)</f>
        <v>141150-91211</v>
      </c>
      <c r="E48" s="8" t="s">
        <v>78</v>
      </c>
      <c r="F48" s="12">
        <v>46047</v>
      </c>
      <c r="G48" s="13">
        <v>0.5625</v>
      </c>
      <c r="H48" s="2" t="s">
        <v>71</v>
      </c>
      <c r="I48" s="2" t="s">
        <v>54</v>
      </c>
      <c r="J48" s="2">
        <v>42</v>
      </c>
      <c r="K48" s="14">
        <f>VLOOKUP($C48,Sheet1!$A$2:$D$10,4,0)</f>
        <v>2</v>
      </c>
      <c r="L48" s="14" t="str">
        <f>VLOOKUP($C48,Sheet1!$A$2:$E$10,5,0)</f>
        <v>Bin</v>
      </c>
      <c r="M48" s="14">
        <f t="shared" si="6"/>
        <v>21</v>
      </c>
      <c r="N48" s="2"/>
      <c r="O48" s="2" t="s">
        <v>359</v>
      </c>
      <c r="P48" s="2" t="s">
        <v>1910</v>
      </c>
    </row>
    <row r="49" spans="1:16" x14ac:dyDescent="0.25">
      <c r="A49" s="17" t="s">
        <v>1283</v>
      </c>
      <c r="B49" s="2" t="s">
        <v>1240</v>
      </c>
      <c r="C49" s="27" t="s">
        <v>23</v>
      </c>
      <c r="D49" s="2" t="str">
        <f>VLOOKUP($C49,Sheet1!$A$2:$D$10,2,0)</f>
        <v>141186-74360</v>
      </c>
      <c r="E49" s="8" t="s">
        <v>85</v>
      </c>
      <c r="F49" s="12">
        <v>46047</v>
      </c>
      <c r="G49" s="13">
        <v>0.5625</v>
      </c>
      <c r="H49" s="2" t="s">
        <v>71</v>
      </c>
      <c r="I49" s="2" t="s">
        <v>54</v>
      </c>
      <c r="J49" s="2">
        <v>80</v>
      </c>
      <c r="K49" s="14">
        <f>VLOOKUP($C49,Sheet1!$A$2:$D$10,4,0)</f>
        <v>40</v>
      </c>
      <c r="L49" s="14" t="str">
        <f>VLOOKUP($C49,Sheet1!$A$2:$E$10,5,0)</f>
        <v>Trolley</v>
      </c>
      <c r="M49" s="14"/>
      <c r="N49" s="2">
        <f>J49/K49</f>
        <v>2</v>
      </c>
      <c r="O49" s="2" t="s">
        <v>359</v>
      </c>
      <c r="P49" s="2">
        <v>910106976</v>
      </c>
    </row>
    <row r="50" spans="1:16" x14ac:dyDescent="0.25">
      <c r="A50" s="17" t="s">
        <v>1284</v>
      </c>
      <c r="B50" s="2" t="s">
        <v>1250</v>
      </c>
      <c r="C50" s="27" t="s">
        <v>26</v>
      </c>
      <c r="D50" s="2" t="str">
        <f>VLOOKUP($C50,Sheet1!$A$2:$D$10,2,0)</f>
        <v>116040-92240</v>
      </c>
      <c r="E50" s="8" t="s">
        <v>90</v>
      </c>
      <c r="F50" s="12">
        <v>46047</v>
      </c>
      <c r="G50" s="13">
        <v>0.5625</v>
      </c>
      <c r="H50" s="2" t="s">
        <v>91</v>
      </c>
      <c r="I50" s="2" t="s">
        <v>54</v>
      </c>
      <c r="J50" s="2">
        <v>42</v>
      </c>
      <c r="K50" s="14">
        <f>VLOOKUP($C50,Sheet1!$A$2:$D$10,4,0)</f>
        <v>6</v>
      </c>
      <c r="L50" s="14" t="str">
        <f>VLOOKUP($C50,Sheet1!$A$2:$E$10,5,0)</f>
        <v>Bin</v>
      </c>
      <c r="M50" s="14">
        <f t="shared" ref="M50:M52" si="7">J50/K50</f>
        <v>7</v>
      </c>
      <c r="N50" s="2"/>
      <c r="O50" s="2" t="s">
        <v>359</v>
      </c>
      <c r="P50" s="2" t="s">
        <v>1912</v>
      </c>
    </row>
    <row r="51" spans="1:16" x14ac:dyDescent="0.25">
      <c r="A51" s="17" t="s">
        <v>1284</v>
      </c>
      <c r="B51" s="2" t="s">
        <v>1260</v>
      </c>
      <c r="C51" s="27" t="s">
        <v>32</v>
      </c>
      <c r="D51" s="2" t="str">
        <f>VLOOKUP($C51,Sheet1!$A$2:$D$10,2,0)</f>
        <v>114010-50820</v>
      </c>
      <c r="E51" s="8" t="s">
        <v>98</v>
      </c>
      <c r="F51" s="12">
        <v>46047</v>
      </c>
      <c r="G51" s="13">
        <v>0.5625</v>
      </c>
      <c r="H51" s="2" t="s">
        <v>91</v>
      </c>
      <c r="I51" s="2" t="s">
        <v>54</v>
      </c>
      <c r="J51" s="2">
        <v>24</v>
      </c>
      <c r="K51" s="14">
        <f>VLOOKUP($C51,Sheet1!$A$2:$D$10,4,0)</f>
        <v>1</v>
      </c>
      <c r="L51" s="14" t="str">
        <f>VLOOKUP($C51,Sheet1!$A$2:$E$10,5,0)</f>
        <v>Bin</v>
      </c>
      <c r="M51" s="14">
        <f t="shared" si="7"/>
        <v>24</v>
      </c>
      <c r="N51" s="2"/>
      <c r="O51" s="2" t="s">
        <v>359</v>
      </c>
      <c r="P51" s="2" t="s">
        <v>739</v>
      </c>
    </row>
    <row r="52" spans="1:16" x14ac:dyDescent="0.25">
      <c r="A52" s="17" t="s">
        <v>1284</v>
      </c>
      <c r="B52" s="2" t="s">
        <v>1269</v>
      </c>
      <c r="C52" s="27" t="s">
        <v>29</v>
      </c>
      <c r="D52" s="2" t="str">
        <f>VLOOKUP($C52,Sheet1!$A$2:$D$10,2,0)</f>
        <v>114010-50830</v>
      </c>
      <c r="E52" s="8" t="s">
        <v>98</v>
      </c>
      <c r="F52" s="12">
        <v>46047</v>
      </c>
      <c r="G52" s="13">
        <v>0.5625</v>
      </c>
      <c r="H52" s="2" t="s">
        <v>91</v>
      </c>
      <c r="I52" s="2" t="s">
        <v>54</v>
      </c>
      <c r="J52" s="2">
        <v>18</v>
      </c>
      <c r="K52" s="14">
        <f>VLOOKUP($C52,Sheet1!$A$2:$D$10,4,0)</f>
        <v>1</v>
      </c>
      <c r="L52" s="14" t="str">
        <f>VLOOKUP($C52,Sheet1!$A$2:$E$10,5,0)</f>
        <v>Bin</v>
      </c>
      <c r="M52" s="14">
        <f t="shared" si="7"/>
        <v>18</v>
      </c>
      <c r="N52" s="2"/>
      <c r="O52" s="2" t="s">
        <v>359</v>
      </c>
      <c r="P52" s="2" t="s">
        <v>1893</v>
      </c>
    </row>
    <row r="53" spans="1:16" s="11" customForma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>
        <v>91</v>
      </c>
      <c r="N53" s="10">
        <v>6</v>
      </c>
      <c r="O53" s="10"/>
      <c r="P53" s="10"/>
    </row>
    <row r="54" spans="1:16" x14ac:dyDescent="0.25">
      <c r="A54" s="17" t="s">
        <v>1285</v>
      </c>
      <c r="B54" s="2" t="s">
        <v>1191</v>
      </c>
      <c r="C54" s="27" t="s">
        <v>5</v>
      </c>
      <c r="D54" s="2" t="str">
        <f>VLOOKUP($C54,Sheet1!$A$2:$D$10,2,0)</f>
        <v>141110-14600</v>
      </c>
      <c r="E54" s="8" t="s">
        <v>52</v>
      </c>
      <c r="F54" s="12">
        <v>46047</v>
      </c>
      <c r="G54" s="13">
        <v>0.6875</v>
      </c>
      <c r="H54" s="2" t="s">
        <v>53</v>
      </c>
      <c r="I54" s="2" t="s">
        <v>54</v>
      </c>
      <c r="J54" s="2">
        <v>36</v>
      </c>
      <c r="K54" s="14">
        <f>VLOOKUP($C54,Sheet1!$A$2:$D$10,4,0)</f>
        <v>18</v>
      </c>
      <c r="L54" s="14" t="str">
        <f>VLOOKUP($C54,Sheet1!$A$2:$E$10,5,0)</f>
        <v>Trolley (H)</v>
      </c>
      <c r="M54" s="14"/>
      <c r="N54" s="52">
        <v>2</v>
      </c>
      <c r="O54" s="2" t="s">
        <v>121</v>
      </c>
      <c r="P54" s="2" t="s">
        <v>1915</v>
      </c>
    </row>
    <row r="55" spans="1:16" x14ac:dyDescent="0.25">
      <c r="A55" s="17" t="s">
        <v>1285</v>
      </c>
      <c r="B55" s="2" t="s">
        <v>1201</v>
      </c>
      <c r="C55" s="27" t="s">
        <v>9</v>
      </c>
      <c r="D55" s="2" t="str">
        <f>VLOOKUP($C55,Sheet1!$A$2:$D$10,2,0)</f>
        <v>141120-14600</v>
      </c>
      <c r="E55" s="8" t="s">
        <v>60</v>
      </c>
      <c r="F55" s="12">
        <v>46047</v>
      </c>
      <c r="G55" s="13">
        <v>0.6875</v>
      </c>
      <c r="H55" s="2" t="s">
        <v>53</v>
      </c>
      <c r="I55" s="2" t="s">
        <v>54</v>
      </c>
      <c r="J55" s="2">
        <v>36</v>
      </c>
      <c r="K55" s="14">
        <f>VLOOKUP($C55,Sheet1!$A$2:$D$10,4,0)</f>
        <v>18</v>
      </c>
      <c r="L55" s="14" t="str">
        <f>VLOOKUP($C55,Sheet1!$A$2:$E$10,5,0)</f>
        <v>Trolley (H)</v>
      </c>
      <c r="M55" s="14"/>
      <c r="N55" s="53"/>
      <c r="O55" s="2" t="s">
        <v>121</v>
      </c>
      <c r="P55" s="2" t="s">
        <v>1915</v>
      </c>
    </row>
    <row r="56" spans="1:16" x14ac:dyDescent="0.25">
      <c r="A56" s="17" t="s">
        <v>1285</v>
      </c>
      <c r="B56" s="2" t="s">
        <v>1211</v>
      </c>
      <c r="C56" s="27" t="s">
        <v>12</v>
      </c>
      <c r="D56" s="2" t="str">
        <f>VLOOKUP($C56,Sheet1!$A$2:$D$10,2,0)</f>
        <v>141185-74670</v>
      </c>
      <c r="E56" s="8" t="s">
        <v>66</v>
      </c>
      <c r="F56" s="12">
        <v>46047</v>
      </c>
      <c r="G56" s="13">
        <v>0.6875</v>
      </c>
      <c r="H56" s="2" t="s">
        <v>53</v>
      </c>
      <c r="I56" s="2" t="s">
        <v>54</v>
      </c>
      <c r="J56" s="2">
        <v>80</v>
      </c>
      <c r="K56" s="14">
        <f>VLOOKUP($C56,Sheet1!$A$2:$D$10,4,0)</f>
        <v>40</v>
      </c>
      <c r="L56" s="14" t="str">
        <f>VLOOKUP($C56,Sheet1!$A$2:$E$10,5,0)</f>
        <v>Trolley</v>
      </c>
      <c r="M56" s="14"/>
      <c r="N56" s="2">
        <f>J56/K56</f>
        <v>2</v>
      </c>
      <c r="O56" s="2" t="s">
        <v>121</v>
      </c>
      <c r="P56" s="2">
        <v>910107170</v>
      </c>
    </row>
    <row r="57" spans="1:16" x14ac:dyDescent="0.25">
      <c r="A57" s="17" t="s">
        <v>1285</v>
      </c>
      <c r="B57" s="2" t="s">
        <v>1221</v>
      </c>
      <c r="C57" s="27" t="s">
        <v>16</v>
      </c>
      <c r="D57" s="2" t="str">
        <f>VLOOKUP($C57,Sheet1!$A$2:$D$10,2,0)</f>
        <v>141140-91211</v>
      </c>
      <c r="E57" s="8" t="s">
        <v>70</v>
      </c>
      <c r="F57" s="12">
        <v>46047</v>
      </c>
      <c r="G57" s="13">
        <v>0.6875</v>
      </c>
      <c r="H57" s="2" t="s">
        <v>71</v>
      </c>
      <c r="I57" s="2" t="s">
        <v>54</v>
      </c>
      <c r="J57" s="2">
        <v>42</v>
      </c>
      <c r="K57" s="14">
        <f>VLOOKUP($C57,Sheet1!$A$2:$D$10,4,0)</f>
        <v>2</v>
      </c>
      <c r="L57" s="14" t="str">
        <f>VLOOKUP($C57,Sheet1!$A$2:$E$10,5,0)</f>
        <v>Bin</v>
      </c>
      <c r="M57" s="14">
        <f t="shared" ref="M57:M58" si="8">J57/K57</f>
        <v>21</v>
      </c>
      <c r="N57" s="2"/>
      <c r="O57" s="2" t="s">
        <v>121</v>
      </c>
      <c r="P57" s="2" t="s">
        <v>1910</v>
      </c>
    </row>
    <row r="58" spans="1:16" x14ac:dyDescent="0.25">
      <c r="A58" s="17" t="s">
        <v>1285</v>
      </c>
      <c r="B58" s="2" t="s">
        <v>1231</v>
      </c>
      <c r="C58" s="27" t="s">
        <v>20</v>
      </c>
      <c r="D58" s="2" t="str">
        <f>VLOOKUP($C58,Sheet1!$A$2:$D$10,2,0)</f>
        <v>141150-91211</v>
      </c>
      <c r="E58" s="8" t="s">
        <v>78</v>
      </c>
      <c r="F58" s="12">
        <v>46047</v>
      </c>
      <c r="G58" s="13">
        <v>0.6875</v>
      </c>
      <c r="H58" s="2" t="s">
        <v>71</v>
      </c>
      <c r="I58" s="2" t="s">
        <v>54</v>
      </c>
      <c r="J58" s="2">
        <v>42</v>
      </c>
      <c r="K58" s="14">
        <f>VLOOKUP($C58,Sheet1!$A$2:$D$10,4,0)</f>
        <v>2</v>
      </c>
      <c r="L58" s="14" t="str">
        <f>VLOOKUP($C58,Sheet1!$A$2:$E$10,5,0)</f>
        <v>Bin</v>
      </c>
      <c r="M58" s="14">
        <f t="shared" si="8"/>
        <v>21</v>
      </c>
      <c r="N58" s="2"/>
      <c r="O58" s="2" t="s">
        <v>121</v>
      </c>
      <c r="P58" s="2" t="s">
        <v>1910</v>
      </c>
    </row>
    <row r="59" spans="1:16" x14ac:dyDescent="0.25">
      <c r="A59" s="17" t="s">
        <v>1285</v>
      </c>
      <c r="B59" s="2" t="s">
        <v>1241</v>
      </c>
      <c r="C59" s="27" t="s">
        <v>23</v>
      </c>
      <c r="D59" s="2" t="str">
        <f>VLOOKUP($C59,Sheet1!$A$2:$D$10,2,0)</f>
        <v>141186-74360</v>
      </c>
      <c r="E59" s="8" t="s">
        <v>85</v>
      </c>
      <c r="F59" s="12">
        <v>46047</v>
      </c>
      <c r="G59" s="13">
        <v>0.6875</v>
      </c>
      <c r="H59" s="2" t="s">
        <v>71</v>
      </c>
      <c r="I59" s="2" t="s">
        <v>54</v>
      </c>
      <c r="J59" s="2">
        <v>80</v>
      </c>
      <c r="K59" s="14">
        <f>VLOOKUP($C59,Sheet1!$A$2:$D$10,4,0)</f>
        <v>40</v>
      </c>
      <c r="L59" s="14" t="str">
        <f>VLOOKUP($C59,Sheet1!$A$2:$E$10,5,0)</f>
        <v>Trolley</v>
      </c>
      <c r="M59" s="14"/>
      <c r="N59" s="2">
        <f>J59/K59</f>
        <v>2</v>
      </c>
      <c r="O59" s="2" t="s">
        <v>121</v>
      </c>
      <c r="P59" s="2">
        <v>910106976</v>
      </c>
    </row>
    <row r="60" spans="1:16" x14ac:dyDescent="0.25">
      <c r="A60" s="17" t="s">
        <v>1286</v>
      </c>
      <c r="B60" s="2" t="s">
        <v>1251</v>
      </c>
      <c r="C60" s="27" t="s">
        <v>26</v>
      </c>
      <c r="D60" s="2" t="str">
        <f>VLOOKUP($C60,Sheet1!$A$2:$D$10,2,0)</f>
        <v>116040-92240</v>
      </c>
      <c r="E60" s="8" t="s">
        <v>90</v>
      </c>
      <c r="F60" s="12">
        <v>46047</v>
      </c>
      <c r="G60" s="13">
        <v>0.6875</v>
      </c>
      <c r="H60" s="2" t="s">
        <v>91</v>
      </c>
      <c r="I60" s="2" t="s">
        <v>54</v>
      </c>
      <c r="J60" s="2">
        <v>42</v>
      </c>
      <c r="K60" s="14">
        <f>VLOOKUP($C60,Sheet1!$A$2:$D$10,4,0)</f>
        <v>6</v>
      </c>
      <c r="L60" s="14" t="str">
        <f>VLOOKUP($C60,Sheet1!$A$2:$E$10,5,0)</f>
        <v>Bin</v>
      </c>
      <c r="M60" s="14">
        <f t="shared" ref="M60:M62" si="9">J60/K60</f>
        <v>7</v>
      </c>
      <c r="N60" s="2"/>
      <c r="O60" s="2" t="s">
        <v>121</v>
      </c>
      <c r="P60" s="2" t="s">
        <v>1912</v>
      </c>
    </row>
    <row r="61" spans="1:16" x14ac:dyDescent="0.25">
      <c r="A61" s="17" t="s">
        <v>1286</v>
      </c>
      <c r="B61" s="2" t="s">
        <v>1261</v>
      </c>
      <c r="C61" s="27" t="s">
        <v>32</v>
      </c>
      <c r="D61" s="2" t="str">
        <f>VLOOKUP($C61,Sheet1!$A$2:$D$10,2,0)</f>
        <v>114010-50820</v>
      </c>
      <c r="E61" s="8" t="s">
        <v>98</v>
      </c>
      <c r="F61" s="12">
        <v>46047</v>
      </c>
      <c r="G61" s="13">
        <v>0.6875</v>
      </c>
      <c r="H61" s="2" t="s">
        <v>91</v>
      </c>
      <c r="I61" s="2" t="s">
        <v>54</v>
      </c>
      <c r="J61" s="2">
        <v>23</v>
      </c>
      <c r="K61" s="14">
        <f>VLOOKUP($C61,Sheet1!$A$2:$D$10,4,0)</f>
        <v>1</v>
      </c>
      <c r="L61" s="14" t="str">
        <f>VLOOKUP($C61,Sheet1!$A$2:$E$10,5,0)</f>
        <v>Bin</v>
      </c>
      <c r="M61" s="14">
        <f t="shared" si="9"/>
        <v>23</v>
      </c>
      <c r="N61" s="2"/>
      <c r="O61" s="2" t="s">
        <v>121</v>
      </c>
      <c r="P61" s="2" t="s">
        <v>739</v>
      </c>
    </row>
    <row r="62" spans="1:16" x14ac:dyDescent="0.25">
      <c r="A62" s="17" t="s">
        <v>1286</v>
      </c>
      <c r="B62" s="2" t="s">
        <v>1270</v>
      </c>
      <c r="C62" s="27" t="s">
        <v>29</v>
      </c>
      <c r="D62" s="2" t="str">
        <f>VLOOKUP($C62,Sheet1!$A$2:$D$10,2,0)</f>
        <v>114010-50830</v>
      </c>
      <c r="E62" s="8" t="s">
        <v>98</v>
      </c>
      <c r="F62" s="12">
        <v>46047</v>
      </c>
      <c r="G62" s="13">
        <v>0.6875</v>
      </c>
      <c r="H62" s="2" t="s">
        <v>91</v>
      </c>
      <c r="I62" s="2" t="s">
        <v>54</v>
      </c>
      <c r="J62" s="2">
        <v>19</v>
      </c>
      <c r="K62" s="14">
        <f>VLOOKUP($C62,Sheet1!$A$2:$D$10,4,0)</f>
        <v>1</v>
      </c>
      <c r="L62" s="14" t="str">
        <f>VLOOKUP($C62,Sheet1!$A$2:$E$10,5,0)</f>
        <v>Bin</v>
      </c>
      <c r="M62" s="14">
        <f t="shared" si="9"/>
        <v>19</v>
      </c>
      <c r="N62" s="2"/>
      <c r="O62" s="2" t="s">
        <v>121</v>
      </c>
      <c r="P62" s="2" t="s">
        <v>1893</v>
      </c>
    </row>
    <row r="63" spans="1:16" s="11" customForma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>
        <v>91</v>
      </c>
      <c r="N63" s="10">
        <v>6</v>
      </c>
      <c r="O63" s="10"/>
      <c r="P63" s="10"/>
    </row>
    <row r="64" spans="1:16" x14ac:dyDescent="0.25">
      <c r="A64" s="17" t="s">
        <v>1287</v>
      </c>
      <c r="B64" s="2" t="s">
        <v>1192</v>
      </c>
      <c r="C64" s="27" t="s">
        <v>5</v>
      </c>
      <c r="D64" s="2" t="str">
        <f>VLOOKUP($C64,Sheet1!$A$2:$D$10,2,0)</f>
        <v>141110-14600</v>
      </c>
      <c r="E64" s="8" t="s">
        <v>52</v>
      </c>
      <c r="F64" s="12">
        <v>46047</v>
      </c>
      <c r="G64" s="13">
        <v>0.8125</v>
      </c>
      <c r="H64" s="2" t="s">
        <v>53</v>
      </c>
      <c r="I64" s="2" t="s">
        <v>54</v>
      </c>
      <c r="J64" s="2">
        <v>36</v>
      </c>
      <c r="K64" s="14">
        <f>VLOOKUP($C64,Sheet1!$A$2:$D$10,4,0)</f>
        <v>18</v>
      </c>
      <c r="L64" s="14" t="str">
        <f>VLOOKUP($C64,Sheet1!$A$2:$E$10,5,0)</f>
        <v>Trolley (H)</v>
      </c>
      <c r="M64" s="14"/>
      <c r="N64" s="52">
        <v>2</v>
      </c>
      <c r="O64" s="2" t="s">
        <v>122</v>
      </c>
      <c r="P64" s="2" t="s">
        <v>1915</v>
      </c>
    </row>
    <row r="65" spans="1:16" x14ac:dyDescent="0.25">
      <c r="A65" s="17" t="s">
        <v>1287</v>
      </c>
      <c r="B65" s="2" t="s">
        <v>1202</v>
      </c>
      <c r="C65" s="27" t="s">
        <v>9</v>
      </c>
      <c r="D65" s="2" t="str">
        <f>VLOOKUP($C65,Sheet1!$A$2:$D$10,2,0)</f>
        <v>141120-14600</v>
      </c>
      <c r="E65" s="8" t="s">
        <v>60</v>
      </c>
      <c r="F65" s="12">
        <v>46047</v>
      </c>
      <c r="G65" s="13">
        <v>0.8125</v>
      </c>
      <c r="H65" s="2" t="s">
        <v>53</v>
      </c>
      <c r="I65" s="2" t="s">
        <v>54</v>
      </c>
      <c r="J65" s="2">
        <v>36</v>
      </c>
      <c r="K65" s="14">
        <f>VLOOKUP($C65,Sheet1!$A$2:$D$10,4,0)</f>
        <v>18</v>
      </c>
      <c r="L65" s="14" t="str">
        <f>VLOOKUP($C65,Sheet1!$A$2:$E$10,5,0)</f>
        <v>Trolley (H)</v>
      </c>
      <c r="M65" s="14"/>
      <c r="N65" s="53"/>
      <c r="O65" s="2" t="s">
        <v>122</v>
      </c>
      <c r="P65" s="2" t="s">
        <v>1915</v>
      </c>
    </row>
    <row r="66" spans="1:16" x14ac:dyDescent="0.25">
      <c r="A66" s="17" t="s">
        <v>1287</v>
      </c>
      <c r="B66" s="2" t="s">
        <v>1212</v>
      </c>
      <c r="C66" s="27" t="s">
        <v>12</v>
      </c>
      <c r="D66" s="2" t="str">
        <f>VLOOKUP($C66,Sheet1!$A$2:$D$10,2,0)</f>
        <v>141185-74670</v>
      </c>
      <c r="E66" s="8" t="s">
        <v>66</v>
      </c>
      <c r="F66" s="12">
        <v>46047</v>
      </c>
      <c r="G66" s="13">
        <v>0.8125</v>
      </c>
      <c r="H66" s="2" t="s">
        <v>53</v>
      </c>
      <c r="I66" s="2" t="s">
        <v>54</v>
      </c>
      <c r="J66" s="2">
        <v>40</v>
      </c>
      <c r="K66" s="14">
        <f>VLOOKUP($C66,Sheet1!$A$2:$D$10,4,0)</f>
        <v>40</v>
      </c>
      <c r="L66" s="14" t="str">
        <f>VLOOKUP($C66,Sheet1!$A$2:$E$10,5,0)</f>
        <v>Trolley</v>
      </c>
      <c r="M66" s="14"/>
      <c r="N66" s="2">
        <f>J66/K66</f>
        <v>1</v>
      </c>
      <c r="O66" s="2" t="s">
        <v>122</v>
      </c>
      <c r="P66" s="2">
        <v>910107170</v>
      </c>
    </row>
    <row r="67" spans="1:16" x14ac:dyDescent="0.25">
      <c r="A67" s="17" t="s">
        <v>1287</v>
      </c>
      <c r="B67" s="2" t="s">
        <v>1222</v>
      </c>
      <c r="C67" s="27" t="s">
        <v>16</v>
      </c>
      <c r="D67" s="2" t="str">
        <f>VLOOKUP($C67,Sheet1!$A$2:$D$10,2,0)</f>
        <v>141140-91211</v>
      </c>
      <c r="E67" s="8" t="s">
        <v>70</v>
      </c>
      <c r="F67" s="12">
        <v>46047</v>
      </c>
      <c r="G67" s="13">
        <v>0.8125</v>
      </c>
      <c r="H67" s="2" t="s">
        <v>71</v>
      </c>
      <c r="I67" s="2" t="s">
        <v>54</v>
      </c>
      <c r="J67" s="2">
        <v>36</v>
      </c>
      <c r="K67" s="14">
        <f>VLOOKUP($C67,Sheet1!$A$2:$D$10,4,0)</f>
        <v>2</v>
      </c>
      <c r="L67" s="14" t="str">
        <f>VLOOKUP($C67,Sheet1!$A$2:$E$10,5,0)</f>
        <v>Bin</v>
      </c>
      <c r="M67" s="14">
        <f t="shared" ref="M67:M68" si="10">J67/K67</f>
        <v>18</v>
      </c>
      <c r="N67" s="2"/>
      <c r="O67" s="2" t="s">
        <v>122</v>
      </c>
      <c r="P67" s="2" t="s">
        <v>1910</v>
      </c>
    </row>
    <row r="68" spans="1:16" x14ac:dyDescent="0.25">
      <c r="A68" s="17" t="s">
        <v>1287</v>
      </c>
      <c r="B68" s="2" t="s">
        <v>1232</v>
      </c>
      <c r="C68" s="27" t="s">
        <v>20</v>
      </c>
      <c r="D68" s="2" t="str">
        <f>VLOOKUP($C68,Sheet1!$A$2:$D$10,2,0)</f>
        <v>141150-91211</v>
      </c>
      <c r="E68" s="8" t="s">
        <v>78</v>
      </c>
      <c r="F68" s="12">
        <v>46047</v>
      </c>
      <c r="G68" s="13">
        <v>0.8125</v>
      </c>
      <c r="H68" s="2" t="s">
        <v>71</v>
      </c>
      <c r="I68" s="2" t="s">
        <v>54</v>
      </c>
      <c r="J68" s="2">
        <v>36</v>
      </c>
      <c r="K68" s="14">
        <f>VLOOKUP($C68,Sheet1!$A$2:$D$10,4,0)</f>
        <v>2</v>
      </c>
      <c r="L68" s="14" t="str">
        <f>VLOOKUP($C68,Sheet1!$A$2:$E$10,5,0)</f>
        <v>Bin</v>
      </c>
      <c r="M68" s="14">
        <f t="shared" si="10"/>
        <v>18</v>
      </c>
      <c r="N68" s="2"/>
      <c r="O68" s="2" t="s">
        <v>122</v>
      </c>
      <c r="P68" s="2" t="s">
        <v>1910</v>
      </c>
    </row>
    <row r="69" spans="1:16" x14ac:dyDescent="0.25">
      <c r="A69" s="17" t="s">
        <v>1287</v>
      </c>
      <c r="B69" s="2" t="s">
        <v>1242</v>
      </c>
      <c r="C69" s="27" t="s">
        <v>23</v>
      </c>
      <c r="D69" s="2" t="str">
        <f>VLOOKUP($C69,Sheet1!$A$2:$D$10,2,0)</f>
        <v>141186-74360</v>
      </c>
      <c r="E69" s="8" t="s">
        <v>85</v>
      </c>
      <c r="F69" s="12">
        <v>46047</v>
      </c>
      <c r="G69" s="13">
        <v>0.8125</v>
      </c>
      <c r="H69" s="2" t="s">
        <v>71</v>
      </c>
      <c r="I69" s="2" t="s">
        <v>54</v>
      </c>
      <c r="J69" s="2">
        <v>80</v>
      </c>
      <c r="K69" s="14">
        <f>VLOOKUP($C69,Sheet1!$A$2:$D$10,4,0)</f>
        <v>40</v>
      </c>
      <c r="L69" s="14" t="str">
        <f>VLOOKUP($C69,Sheet1!$A$2:$E$10,5,0)</f>
        <v>Trolley</v>
      </c>
      <c r="M69" s="14"/>
      <c r="N69" s="2">
        <f>J69/K69</f>
        <v>2</v>
      </c>
      <c r="O69" s="2" t="s">
        <v>122</v>
      </c>
      <c r="P69" s="2">
        <v>910107171</v>
      </c>
    </row>
    <row r="70" spans="1:16" x14ac:dyDescent="0.25">
      <c r="A70" s="17" t="s">
        <v>1288</v>
      </c>
      <c r="B70" s="2" t="s">
        <v>1252</v>
      </c>
      <c r="C70" s="27" t="s">
        <v>26</v>
      </c>
      <c r="D70" s="2" t="str">
        <f>VLOOKUP($C70,Sheet1!$A$2:$D$10,2,0)</f>
        <v>116040-92240</v>
      </c>
      <c r="E70" s="8" t="s">
        <v>90</v>
      </c>
      <c r="F70" s="12">
        <v>46047</v>
      </c>
      <c r="G70" s="13">
        <v>0.8125</v>
      </c>
      <c r="H70" s="2" t="s">
        <v>91</v>
      </c>
      <c r="I70" s="2" t="s">
        <v>54</v>
      </c>
      <c r="J70" s="2">
        <v>36</v>
      </c>
      <c r="K70" s="14">
        <f>VLOOKUP($C70,Sheet1!$A$2:$D$10,4,0)</f>
        <v>6</v>
      </c>
      <c r="L70" s="14" t="str">
        <f>VLOOKUP($C70,Sheet1!$A$2:$E$10,5,0)</f>
        <v>Bin</v>
      </c>
      <c r="M70" s="14">
        <f t="shared" ref="M70:M72" si="11">J70/K70</f>
        <v>6</v>
      </c>
      <c r="N70" s="2"/>
      <c r="O70" s="2" t="s">
        <v>122</v>
      </c>
      <c r="P70" s="2" t="s">
        <v>1912</v>
      </c>
    </row>
    <row r="71" spans="1:16" x14ac:dyDescent="0.25">
      <c r="A71" s="17" t="s">
        <v>1288</v>
      </c>
      <c r="B71" s="2" t="s">
        <v>1262</v>
      </c>
      <c r="C71" s="27" t="s">
        <v>32</v>
      </c>
      <c r="D71" s="2" t="str">
        <f>VLOOKUP($C71,Sheet1!$A$2:$D$10,2,0)</f>
        <v>114010-50820</v>
      </c>
      <c r="E71" s="8" t="s">
        <v>98</v>
      </c>
      <c r="F71" s="12">
        <v>46047</v>
      </c>
      <c r="G71" s="13">
        <v>0.8125</v>
      </c>
      <c r="H71" s="2" t="s">
        <v>91</v>
      </c>
      <c r="I71" s="2" t="s">
        <v>54</v>
      </c>
      <c r="J71" s="2">
        <v>11</v>
      </c>
      <c r="K71" s="14">
        <f>VLOOKUP($C71,Sheet1!$A$2:$D$10,4,0)</f>
        <v>1</v>
      </c>
      <c r="L71" s="14" t="str">
        <f>VLOOKUP($C71,Sheet1!$A$2:$E$10,5,0)</f>
        <v>Bin</v>
      </c>
      <c r="M71" s="14">
        <f t="shared" si="11"/>
        <v>11</v>
      </c>
      <c r="N71" s="2"/>
      <c r="O71" s="2" t="s">
        <v>122</v>
      </c>
      <c r="P71" s="2" t="s">
        <v>420</v>
      </c>
    </row>
    <row r="72" spans="1:16" x14ac:dyDescent="0.25">
      <c r="A72" s="17" t="s">
        <v>1288</v>
      </c>
      <c r="B72" s="2" t="s">
        <v>1271</v>
      </c>
      <c r="C72" s="27" t="s">
        <v>29</v>
      </c>
      <c r="D72" s="2" t="str">
        <f>VLOOKUP($C72,Sheet1!$A$2:$D$10,2,0)</f>
        <v>114010-50830</v>
      </c>
      <c r="E72" s="8" t="s">
        <v>98</v>
      </c>
      <c r="F72" s="12">
        <v>46047</v>
      </c>
      <c r="G72" s="13">
        <v>0.8125</v>
      </c>
      <c r="H72" s="2" t="s">
        <v>91</v>
      </c>
      <c r="I72" s="2" t="s">
        <v>54</v>
      </c>
      <c r="J72" s="2">
        <v>24</v>
      </c>
      <c r="K72" s="14">
        <f>VLOOKUP($C72,Sheet1!$A$2:$D$10,4,0)</f>
        <v>1</v>
      </c>
      <c r="L72" s="14" t="str">
        <f>VLOOKUP($C72,Sheet1!$A$2:$E$10,5,0)</f>
        <v>Bin</v>
      </c>
      <c r="M72" s="14">
        <f t="shared" si="11"/>
        <v>24</v>
      </c>
      <c r="N72" s="2"/>
      <c r="O72" s="2" t="s">
        <v>122</v>
      </c>
      <c r="P72" s="2" t="s">
        <v>1893</v>
      </c>
    </row>
    <row r="73" spans="1:16" s="11" customForma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>
        <v>77</v>
      </c>
      <c r="N73" s="10">
        <v>5</v>
      </c>
      <c r="O73" s="10"/>
      <c r="P73" s="10"/>
    </row>
    <row r="74" spans="1:16" x14ac:dyDescent="0.25">
      <c r="A74" s="17" t="s">
        <v>1289</v>
      </c>
      <c r="B74" s="2" t="s">
        <v>1193</v>
      </c>
      <c r="C74" s="27" t="s">
        <v>5</v>
      </c>
      <c r="D74" s="2" t="str">
        <f>VLOOKUP($C74,Sheet1!$A$2:$D$10,2,0)</f>
        <v>141110-14600</v>
      </c>
      <c r="E74" s="8" t="s">
        <v>52</v>
      </c>
      <c r="F74" s="12">
        <v>46047</v>
      </c>
      <c r="G74" s="13">
        <v>0.9375</v>
      </c>
      <c r="H74" s="2" t="s">
        <v>53</v>
      </c>
      <c r="I74" s="2" t="s">
        <v>54</v>
      </c>
      <c r="J74" s="2">
        <v>18</v>
      </c>
      <c r="K74" s="14">
        <f>VLOOKUP($C74,Sheet1!$A$2:$D$10,4,0)</f>
        <v>18</v>
      </c>
      <c r="L74" s="14" t="str">
        <f>VLOOKUP($C74,Sheet1!$A$2:$E$10,5,0)</f>
        <v>Trolley (H)</v>
      </c>
      <c r="M74" s="14"/>
      <c r="N74" s="52">
        <v>1</v>
      </c>
      <c r="O74" s="2" t="s">
        <v>119</v>
      </c>
      <c r="P74" s="2" t="s">
        <v>1915</v>
      </c>
    </row>
    <row r="75" spans="1:16" x14ac:dyDescent="0.25">
      <c r="A75" s="17" t="s">
        <v>1289</v>
      </c>
      <c r="B75" s="2" t="s">
        <v>1203</v>
      </c>
      <c r="C75" s="27" t="s">
        <v>9</v>
      </c>
      <c r="D75" s="2" t="str">
        <f>VLOOKUP($C75,Sheet1!$A$2:$D$10,2,0)</f>
        <v>141120-14600</v>
      </c>
      <c r="E75" s="8" t="s">
        <v>60</v>
      </c>
      <c r="F75" s="12">
        <v>46047</v>
      </c>
      <c r="G75" s="13">
        <v>0.9375</v>
      </c>
      <c r="H75" s="2" t="s">
        <v>53</v>
      </c>
      <c r="I75" s="2" t="s">
        <v>54</v>
      </c>
      <c r="J75" s="2">
        <v>18</v>
      </c>
      <c r="K75" s="14">
        <f>VLOOKUP($C75,Sheet1!$A$2:$D$10,4,0)</f>
        <v>18</v>
      </c>
      <c r="L75" s="14" t="str">
        <f>VLOOKUP($C75,Sheet1!$A$2:$E$10,5,0)</f>
        <v>Trolley (H)</v>
      </c>
      <c r="M75" s="14"/>
      <c r="N75" s="53"/>
      <c r="O75" s="2" t="s">
        <v>119</v>
      </c>
      <c r="P75" s="2" t="s">
        <v>1915</v>
      </c>
    </row>
    <row r="76" spans="1:16" x14ac:dyDescent="0.25">
      <c r="A76" s="17" t="s">
        <v>1289</v>
      </c>
      <c r="B76" s="2" t="s">
        <v>1213</v>
      </c>
      <c r="C76" s="27" t="s">
        <v>12</v>
      </c>
      <c r="D76" s="2" t="str">
        <f>VLOOKUP($C76,Sheet1!$A$2:$D$10,2,0)</f>
        <v>141185-74670</v>
      </c>
      <c r="E76" s="8" t="s">
        <v>66</v>
      </c>
      <c r="F76" s="12">
        <v>46047</v>
      </c>
      <c r="G76" s="13">
        <v>0.9375</v>
      </c>
      <c r="H76" s="2" t="s">
        <v>53</v>
      </c>
      <c r="I76" s="2" t="s">
        <v>54</v>
      </c>
      <c r="J76" s="2">
        <v>80</v>
      </c>
      <c r="K76" s="14">
        <f>VLOOKUP($C76,Sheet1!$A$2:$D$10,4,0)</f>
        <v>40</v>
      </c>
      <c r="L76" s="14" t="str">
        <f>VLOOKUP($C76,Sheet1!$A$2:$E$10,5,0)</f>
        <v>Trolley</v>
      </c>
      <c r="M76" s="14"/>
      <c r="N76" s="2">
        <f>J76/K76</f>
        <v>2</v>
      </c>
      <c r="O76" s="2" t="s">
        <v>119</v>
      </c>
      <c r="P76" s="2">
        <v>910107170</v>
      </c>
    </row>
    <row r="77" spans="1:16" x14ac:dyDescent="0.25">
      <c r="A77" s="17" t="s">
        <v>1289</v>
      </c>
      <c r="B77" s="2" t="s">
        <v>1223</v>
      </c>
      <c r="C77" s="27" t="s">
        <v>16</v>
      </c>
      <c r="D77" s="2" t="str">
        <f>VLOOKUP($C77,Sheet1!$A$2:$D$10,2,0)</f>
        <v>141140-91211</v>
      </c>
      <c r="E77" s="8" t="s">
        <v>70</v>
      </c>
      <c r="F77" s="12">
        <v>46047</v>
      </c>
      <c r="G77" s="13">
        <v>0.9375</v>
      </c>
      <c r="H77" s="2" t="s">
        <v>71</v>
      </c>
      <c r="I77" s="2" t="s">
        <v>54</v>
      </c>
      <c r="J77" s="2">
        <v>22</v>
      </c>
      <c r="K77" s="14">
        <f>VLOOKUP($C77,Sheet1!$A$2:$D$10,4,0)</f>
        <v>2</v>
      </c>
      <c r="L77" s="14" t="str">
        <f>VLOOKUP($C77,Sheet1!$A$2:$E$10,5,0)</f>
        <v>Bin</v>
      </c>
      <c r="M77" s="14">
        <f t="shared" ref="M77:M78" si="12">J77/K77</f>
        <v>11</v>
      </c>
      <c r="N77" s="2"/>
      <c r="O77" s="2" t="s">
        <v>119</v>
      </c>
      <c r="P77" s="2" t="s">
        <v>1910</v>
      </c>
    </row>
    <row r="78" spans="1:16" x14ac:dyDescent="0.25">
      <c r="A78" s="17" t="s">
        <v>1289</v>
      </c>
      <c r="B78" s="2" t="s">
        <v>1233</v>
      </c>
      <c r="C78" s="27" t="s">
        <v>20</v>
      </c>
      <c r="D78" s="2" t="str">
        <f>VLOOKUP($C78,Sheet1!$A$2:$D$10,2,0)</f>
        <v>141150-91211</v>
      </c>
      <c r="E78" s="8" t="s">
        <v>78</v>
      </c>
      <c r="F78" s="12">
        <v>46047</v>
      </c>
      <c r="G78" s="13">
        <v>0.9375</v>
      </c>
      <c r="H78" s="2" t="s">
        <v>71</v>
      </c>
      <c r="I78" s="2" t="s">
        <v>54</v>
      </c>
      <c r="J78" s="2">
        <v>22</v>
      </c>
      <c r="K78" s="14">
        <f>VLOOKUP($C78,Sheet1!$A$2:$D$10,4,0)</f>
        <v>2</v>
      </c>
      <c r="L78" s="14" t="str">
        <f>VLOOKUP($C78,Sheet1!$A$2:$E$10,5,0)</f>
        <v>Bin</v>
      </c>
      <c r="M78" s="14">
        <f t="shared" si="12"/>
        <v>11</v>
      </c>
      <c r="N78" s="2"/>
      <c r="O78" s="2" t="s">
        <v>119</v>
      </c>
      <c r="P78" s="2" t="s">
        <v>1910</v>
      </c>
    </row>
    <row r="79" spans="1:16" x14ac:dyDescent="0.25">
      <c r="A79" s="17" t="s">
        <v>1289</v>
      </c>
      <c r="B79" s="2" t="s">
        <v>1243</v>
      </c>
      <c r="C79" s="27" t="s">
        <v>23</v>
      </c>
      <c r="D79" s="2" t="str">
        <f>VLOOKUP($C79,Sheet1!$A$2:$D$10,2,0)</f>
        <v>141186-74360</v>
      </c>
      <c r="E79" s="8" t="s">
        <v>85</v>
      </c>
      <c r="F79" s="12">
        <v>46047</v>
      </c>
      <c r="G79" s="13">
        <v>0.9375</v>
      </c>
      <c r="H79" s="2" t="s">
        <v>71</v>
      </c>
      <c r="I79" s="2" t="s">
        <v>54</v>
      </c>
      <c r="J79" s="2">
        <v>40</v>
      </c>
      <c r="K79" s="14">
        <f>VLOOKUP($C79,Sheet1!$A$2:$D$10,4,0)</f>
        <v>40</v>
      </c>
      <c r="L79" s="14" t="str">
        <f>VLOOKUP($C79,Sheet1!$A$2:$E$10,5,0)</f>
        <v>Trolley</v>
      </c>
      <c r="M79" s="14"/>
      <c r="N79" s="2">
        <f>J79/K79</f>
        <v>1</v>
      </c>
      <c r="O79" s="2" t="s">
        <v>119</v>
      </c>
      <c r="P79" s="2">
        <v>910107171</v>
      </c>
    </row>
    <row r="80" spans="1:16" x14ac:dyDescent="0.25">
      <c r="A80" s="17" t="s">
        <v>1290</v>
      </c>
      <c r="B80" s="2" t="s">
        <v>1253</v>
      </c>
      <c r="C80" s="27" t="s">
        <v>26</v>
      </c>
      <c r="D80" s="2" t="str">
        <f>VLOOKUP($C80,Sheet1!$A$2:$D$10,2,0)</f>
        <v>116040-92240</v>
      </c>
      <c r="E80" s="8" t="s">
        <v>90</v>
      </c>
      <c r="F80" s="12">
        <v>46047</v>
      </c>
      <c r="G80" s="13">
        <v>0.9375</v>
      </c>
      <c r="H80" s="2" t="s">
        <v>91</v>
      </c>
      <c r="I80" s="2" t="s">
        <v>54</v>
      </c>
      <c r="J80" s="2">
        <v>24</v>
      </c>
      <c r="K80" s="14">
        <f>VLOOKUP($C80,Sheet1!$A$2:$D$10,4,0)</f>
        <v>6</v>
      </c>
      <c r="L80" s="14" t="str">
        <f>VLOOKUP($C80,Sheet1!$A$2:$E$10,5,0)</f>
        <v>Bin</v>
      </c>
      <c r="M80" s="14">
        <f t="shared" ref="M80:M82" si="13">J80/K80</f>
        <v>4</v>
      </c>
      <c r="N80" s="2"/>
      <c r="O80" s="2" t="s">
        <v>119</v>
      </c>
      <c r="P80" s="2" t="s">
        <v>1912</v>
      </c>
    </row>
    <row r="81" spans="1:16" x14ac:dyDescent="0.25">
      <c r="A81" s="17" t="s">
        <v>1290</v>
      </c>
      <c r="B81" s="2" t="s">
        <v>1263</v>
      </c>
      <c r="C81" s="27" t="s">
        <v>32</v>
      </c>
      <c r="D81" s="2" t="str">
        <f>VLOOKUP($C81,Sheet1!$A$2:$D$10,2,0)</f>
        <v>114010-50820</v>
      </c>
      <c r="E81" s="8" t="s">
        <v>98</v>
      </c>
      <c r="F81" s="12">
        <v>46047</v>
      </c>
      <c r="G81" s="13">
        <v>0.9375</v>
      </c>
      <c r="H81" s="2" t="s">
        <v>91</v>
      </c>
      <c r="I81" s="2" t="s">
        <v>54</v>
      </c>
      <c r="J81" s="2">
        <v>11</v>
      </c>
      <c r="K81" s="14">
        <f>VLOOKUP($C81,Sheet1!$A$2:$D$10,4,0)</f>
        <v>1</v>
      </c>
      <c r="L81" s="14" t="str">
        <f>VLOOKUP($C81,Sheet1!$A$2:$E$10,5,0)</f>
        <v>Bin</v>
      </c>
      <c r="M81" s="14">
        <f t="shared" si="13"/>
        <v>11</v>
      </c>
      <c r="N81" s="2"/>
      <c r="O81" s="2" t="s">
        <v>119</v>
      </c>
      <c r="P81" s="2" t="s">
        <v>420</v>
      </c>
    </row>
    <row r="82" spans="1:16" x14ac:dyDescent="0.25">
      <c r="A82" s="17" t="s">
        <v>1290</v>
      </c>
      <c r="B82" s="2" t="s">
        <v>1272</v>
      </c>
      <c r="C82" s="27" t="s">
        <v>29</v>
      </c>
      <c r="D82" s="2" t="str">
        <f>VLOOKUP($C82,Sheet1!$A$2:$D$10,2,0)</f>
        <v>114010-50830</v>
      </c>
      <c r="E82" s="8" t="s">
        <v>98</v>
      </c>
      <c r="F82" s="12">
        <v>46047</v>
      </c>
      <c r="G82" s="13">
        <v>0.9375</v>
      </c>
      <c r="H82" s="2" t="s">
        <v>91</v>
      </c>
      <c r="I82" s="2" t="s">
        <v>54</v>
      </c>
      <c r="J82" s="2">
        <v>12</v>
      </c>
      <c r="K82" s="14">
        <f>VLOOKUP($C82,Sheet1!$A$2:$D$10,4,0)</f>
        <v>1</v>
      </c>
      <c r="L82" s="14" t="str">
        <f>VLOOKUP($C82,Sheet1!$A$2:$E$10,5,0)</f>
        <v>Bin</v>
      </c>
      <c r="M82" s="14">
        <f t="shared" si="13"/>
        <v>12</v>
      </c>
      <c r="N82" s="2"/>
      <c r="O82" s="2" t="s">
        <v>119</v>
      </c>
      <c r="P82" s="2" t="s">
        <v>1893</v>
      </c>
    </row>
    <row r="83" spans="1:16" s="11" customForma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>
        <v>49</v>
      </c>
      <c r="N83" s="10">
        <v>4</v>
      </c>
      <c r="O83" s="10"/>
      <c r="P83" s="10"/>
    </row>
    <row r="84" spans="1:16" x14ac:dyDescent="0.25">
      <c r="A84" s="17" t="s">
        <v>1291</v>
      </c>
      <c r="B84" s="2" t="s">
        <v>1194</v>
      </c>
      <c r="C84" s="27" t="s">
        <v>5</v>
      </c>
      <c r="D84" s="2" t="str">
        <f>VLOOKUP($C84,Sheet1!$A$2:$D$10,2,0)</f>
        <v>141110-14600</v>
      </c>
      <c r="E84" s="8" t="s">
        <v>52</v>
      </c>
      <c r="F84" s="12">
        <v>46048</v>
      </c>
      <c r="G84" s="13">
        <v>2.0833333333333332E-2</v>
      </c>
      <c r="H84" s="2" t="s">
        <v>53</v>
      </c>
      <c r="I84" s="2" t="s">
        <v>54</v>
      </c>
      <c r="J84" s="2">
        <v>36</v>
      </c>
      <c r="K84" s="14">
        <f>VLOOKUP($C84,Sheet1!$A$2:$D$10,4,0)</f>
        <v>18</v>
      </c>
      <c r="L84" s="14" t="str">
        <f>VLOOKUP($C84,Sheet1!$A$2:$E$10,5,0)</f>
        <v>Trolley (H)</v>
      </c>
      <c r="M84" s="14"/>
      <c r="N84" s="52">
        <v>2</v>
      </c>
      <c r="O84" s="2" t="s">
        <v>359</v>
      </c>
      <c r="P84" s="2" t="s">
        <v>1915</v>
      </c>
    </row>
    <row r="85" spans="1:16" x14ac:dyDescent="0.25">
      <c r="A85" s="17" t="s">
        <v>1291</v>
      </c>
      <c r="B85" s="2" t="s">
        <v>1204</v>
      </c>
      <c r="C85" s="27" t="s">
        <v>9</v>
      </c>
      <c r="D85" s="2" t="str">
        <f>VLOOKUP($C85,Sheet1!$A$2:$D$10,2,0)</f>
        <v>141120-14600</v>
      </c>
      <c r="E85" s="8" t="s">
        <v>60</v>
      </c>
      <c r="F85" s="12">
        <v>46048</v>
      </c>
      <c r="G85" s="13">
        <v>2.0833333333333332E-2</v>
      </c>
      <c r="H85" s="2" t="s">
        <v>53</v>
      </c>
      <c r="I85" s="2" t="s">
        <v>54</v>
      </c>
      <c r="J85" s="2">
        <v>36</v>
      </c>
      <c r="K85" s="14">
        <f>VLOOKUP($C85,Sheet1!$A$2:$D$10,4,0)</f>
        <v>18</v>
      </c>
      <c r="L85" s="14" t="str">
        <f>VLOOKUP($C85,Sheet1!$A$2:$E$10,5,0)</f>
        <v>Trolley (H)</v>
      </c>
      <c r="M85" s="14"/>
      <c r="N85" s="53"/>
      <c r="O85" s="2" t="s">
        <v>359</v>
      </c>
      <c r="P85" s="2" t="s">
        <v>1915</v>
      </c>
    </row>
    <row r="86" spans="1:16" x14ac:dyDescent="0.25">
      <c r="A86" s="17" t="s">
        <v>1291</v>
      </c>
      <c r="B86" s="2" t="s">
        <v>1214</v>
      </c>
      <c r="C86" s="27" t="s">
        <v>12</v>
      </c>
      <c r="D86" s="2" t="str">
        <f>VLOOKUP($C86,Sheet1!$A$2:$D$10,2,0)</f>
        <v>141185-74670</v>
      </c>
      <c r="E86" s="8" t="s">
        <v>66</v>
      </c>
      <c r="F86" s="12">
        <v>46048</v>
      </c>
      <c r="G86" s="13">
        <v>2.0833333333333332E-2</v>
      </c>
      <c r="H86" s="2" t="s">
        <v>53</v>
      </c>
      <c r="I86" s="2" t="s">
        <v>54</v>
      </c>
      <c r="J86" s="2">
        <v>40</v>
      </c>
      <c r="K86" s="14">
        <f>VLOOKUP($C86,Sheet1!$A$2:$D$10,4,0)</f>
        <v>40</v>
      </c>
      <c r="L86" s="14" t="str">
        <f>VLOOKUP($C86,Sheet1!$A$2:$E$10,5,0)</f>
        <v>Trolley</v>
      </c>
      <c r="M86" s="14"/>
      <c r="N86" s="2">
        <f>J86/K86</f>
        <v>1</v>
      </c>
      <c r="O86" s="2" t="s">
        <v>359</v>
      </c>
      <c r="P86" s="2">
        <v>910107170</v>
      </c>
    </row>
    <row r="87" spans="1:16" x14ac:dyDescent="0.25">
      <c r="A87" s="17" t="s">
        <v>1291</v>
      </c>
      <c r="B87" s="2" t="s">
        <v>1224</v>
      </c>
      <c r="C87" s="27" t="s">
        <v>16</v>
      </c>
      <c r="D87" s="2" t="str">
        <f>VLOOKUP($C87,Sheet1!$A$2:$D$10,2,0)</f>
        <v>141140-91211</v>
      </c>
      <c r="E87" s="8" t="s">
        <v>70</v>
      </c>
      <c r="F87" s="12">
        <v>46048</v>
      </c>
      <c r="G87" s="13">
        <v>2.0833333333333332E-2</v>
      </c>
      <c r="H87" s="2" t="s">
        <v>71</v>
      </c>
      <c r="I87" s="2" t="s">
        <v>54</v>
      </c>
      <c r="J87" s="2">
        <v>36</v>
      </c>
      <c r="K87" s="14">
        <f>VLOOKUP($C87,Sheet1!$A$2:$D$10,4,0)</f>
        <v>2</v>
      </c>
      <c r="L87" s="14" t="str">
        <f>VLOOKUP($C87,Sheet1!$A$2:$E$10,5,0)</f>
        <v>Bin</v>
      </c>
      <c r="M87" s="14">
        <f t="shared" ref="M87:M88" si="14">J87/K87</f>
        <v>18</v>
      </c>
      <c r="N87" s="2"/>
      <c r="O87" s="2" t="s">
        <v>359</v>
      </c>
      <c r="P87" s="2" t="s">
        <v>1910</v>
      </c>
    </row>
    <row r="88" spans="1:16" x14ac:dyDescent="0.25">
      <c r="A88" s="17" t="s">
        <v>1291</v>
      </c>
      <c r="B88" s="2" t="s">
        <v>1234</v>
      </c>
      <c r="C88" s="27" t="s">
        <v>20</v>
      </c>
      <c r="D88" s="2" t="str">
        <f>VLOOKUP($C88,Sheet1!$A$2:$D$10,2,0)</f>
        <v>141150-91211</v>
      </c>
      <c r="E88" s="8" t="s">
        <v>78</v>
      </c>
      <c r="F88" s="12">
        <v>46048</v>
      </c>
      <c r="G88" s="13">
        <v>2.0833333333333332E-2</v>
      </c>
      <c r="H88" s="2" t="s">
        <v>71</v>
      </c>
      <c r="I88" s="2" t="s">
        <v>54</v>
      </c>
      <c r="J88" s="2">
        <v>36</v>
      </c>
      <c r="K88" s="14">
        <f>VLOOKUP($C88,Sheet1!$A$2:$D$10,4,0)</f>
        <v>2</v>
      </c>
      <c r="L88" s="14" t="str">
        <f>VLOOKUP($C88,Sheet1!$A$2:$E$10,5,0)</f>
        <v>Bin</v>
      </c>
      <c r="M88" s="14">
        <f t="shared" si="14"/>
        <v>18</v>
      </c>
      <c r="N88" s="2"/>
      <c r="O88" s="2" t="s">
        <v>359</v>
      </c>
      <c r="P88" s="2" t="s">
        <v>1910</v>
      </c>
    </row>
    <row r="89" spans="1:16" x14ac:dyDescent="0.25">
      <c r="A89" s="17" t="s">
        <v>1291</v>
      </c>
      <c r="B89" s="2" t="s">
        <v>1244</v>
      </c>
      <c r="C89" s="27" t="s">
        <v>23</v>
      </c>
      <c r="D89" s="2" t="str">
        <f>VLOOKUP($C89,Sheet1!$A$2:$D$10,2,0)</f>
        <v>141186-74360</v>
      </c>
      <c r="E89" s="8" t="s">
        <v>85</v>
      </c>
      <c r="F89" s="12">
        <v>46048</v>
      </c>
      <c r="G89" s="13">
        <v>2.0833333333333332E-2</v>
      </c>
      <c r="H89" s="2" t="s">
        <v>71</v>
      </c>
      <c r="I89" s="2" t="s">
        <v>54</v>
      </c>
      <c r="J89" s="2">
        <v>40</v>
      </c>
      <c r="K89" s="14">
        <f>VLOOKUP($C89,Sheet1!$A$2:$D$10,4,0)</f>
        <v>40</v>
      </c>
      <c r="L89" s="14" t="str">
        <f>VLOOKUP($C89,Sheet1!$A$2:$E$10,5,0)</f>
        <v>Trolley</v>
      </c>
      <c r="M89" s="14"/>
      <c r="N89" s="2">
        <f>J89/K89</f>
        <v>1</v>
      </c>
      <c r="O89" s="2" t="s">
        <v>359</v>
      </c>
      <c r="P89" s="2">
        <v>910107171</v>
      </c>
    </row>
    <row r="90" spans="1:16" x14ac:dyDescent="0.25">
      <c r="A90" s="17" t="s">
        <v>1292</v>
      </c>
      <c r="B90" s="2" t="s">
        <v>1254</v>
      </c>
      <c r="C90" s="27" t="s">
        <v>26</v>
      </c>
      <c r="D90" s="2" t="str">
        <f>VLOOKUP($C90,Sheet1!$A$2:$D$10,2,0)</f>
        <v>116040-92240</v>
      </c>
      <c r="E90" s="8" t="s">
        <v>90</v>
      </c>
      <c r="F90" s="12">
        <v>46048</v>
      </c>
      <c r="G90" s="13">
        <v>2.0833333333333332E-2</v>
      </c>
      <c r="H90" s="2" t="s">
        <v>91</v>
      </c>
      <c r="I90" s="2" t="s">
        <v>54</v>
      </c>
      <c r="J90" s="2">
        <v>36</v>
      </c>
      <c r="K90" s="14">
        <f>VLOOKUP($C90,Sheet1!$A$2:$D$10,4,0)</f>
        <v>6</v>
      </c>
      <c r="L90" s="14" t="str">
        <f>VLOOKUP($C90,Sheet1!$A$2:$E$10,5,0)</f>
        <v>Bin</v>
      </c>
      <c r="M90" s="14">
        <f t="shared" ref="M90:M92" si="15">J90/K90</f>
        <v>6</v>
      </c>
      <c r="N90" s="2"/>
      <c r="O90" s="2" t="s">
        <v>359</v>
      </c>
      <c r="P90" s="2" t="s">
        <v>1912</v>
      </c>
    </row>
    <row r="91" spans="1:16" x14ac:dyDescent="0.25">
      <c r="A91" s="17" t="s">
        <v>1292</v>
      </c>
      <c r="B91" s="2" t="s">
        <v>1264</v>
      </c>
      <c r="C91" s="27" t="s">
        <v>32</v>
      </c>
      <c r="D91" s="2" t="str">
        <f>VLOOKUP($C91,Sheet1!$A$2:$D$10,2,0)</f>
        <v>114010-50820</v>
      </c>
      <c r="E91" s="8" t="s">
        <v>98</v>
      </c>
      <c r="F91" s="12">
        <v>46048</v>
      </c>
      <c r="G91" s="13">
        <v>2.0833333333333332E-2</v>
      </c>
      <c r="H91" s="2" t="s">
        <v>91</v>
      </c>
      <c r="I91" s="2" t="s">
        <v>54</v>
      </c>
      <c r="J91" s="2">
        <v>14</v>
      </c>
      <c r="K91" s="14">
        <f>VLOOKUP($C91,Sheet1!$A$2:$D$10,4,0)</f>
        <v>1</v>
      </c>
      <c r="L91" s="14" t="str">
        <f>VLOOKUP($C91,Sheet1!$A$2:$E$10,5,0)</f>
        <v>Bin</v>
      </c>
      <c r="M91" s="14">
        <f t="shared" si="15"/>
        <v>14</v>
      </c>
      <c r="N91" s="2"/>
      <c r="O91" s="2" t="s">
        <v>359</v>
      </c>
      <c r="P91" s="2" t="s">
        <v>420</v>
      </c>
    </row>
    <row r="92" spans="1:16" x14ac:dyDescent="0.25">
      <c r="A92" s="17" t="s">
        <v>1292</v>
      </c>
      <c r="B92" s="2" t="s">
        <v>1273</v>
      </c>
      <c r="C92" s="27" t="s">
        <v>29</v>
      </c>
      <c r="D92" s="2" t="str">
        <f>VLOOKUP($C92,Sheet1!$A$2:$D$10,2,0)</f>
        <v>114010-50830</v>
      </c>
      <c r="E92" s="8" t="s">
        <v>98</v>
      </c>
      <c r="F92" s="12">
        <v>46048</v>
      </c>
      <c r="G92" s="13">
        <v>2.0833333333333332E-2</v>
      </c>
      <c r="H92" s="2" t="s">
        <v>91</v>
      </c>
      <c r="I92" s="2" t="s">
        <v>54</v>
      </c>
      <c r="J92" s="2">
        <v>19</v>
      </c>
      <c r="K92" s="14">
        <f>VLOOKUP($C92,Sheet1!$A$2:$D$10,4,0)</f>
        <v>1</v>
      </c>
      <c r="L92" s="14" t="str">
        <f>VLOOKUP($C92,Sheet1!$A$2:$E$10,5,0)</f>
        <v>Bin</v>
      </c>
      <c r="M92" s="14">
        <f t="shared" si="15"/>
        <v>19</v>
      </c>
      <c r="N92" s="2"/>
      <c r="O92" s="2" t="s">
        <v>359</v>
      </c>
      <c r="P92" s="2" t="s">
        <v>1893</v>
      </c>
    </row>
    <row r="93" spans="1:16" s="11" customForma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>
        <v>75</v>
      </c>
      <c r="N93" s="10">
        <v>4</v>
      </c>
      <c r="O93" s="10"/>
      <c r="P93" s="10"/>
    </row>
    <row r="94" spans="1:16" x14ac:dyDescent="0.25">
      <c r="A94" s="17" t="s">
        <v>1293</v>
      </c>
      <c r="B94" s="2" t="s">
        <v>1195</v>
      </c>
      <c r="C94" s="27" t="s">
        <v>5</v>
      </c>
      <c r="D94" s="2" t="str">
        <f>VLOOKUP($C94,Sheet1!$A$2:$D$10,2,0)</f>
        <v>141110-14600</v>
      </c>
      <c r="E94" s="8" t="s">
        <v>52</v>
      </c>
      <c r="F94" s="12">
        <v>46048</v>
      </c>
      <c r="G94" s="13">
        <v>0.14583333333333334</v>
      </c>
      <c r="H94" s="2" t="s">
        <v>53</v>
      </c>
      <c r="I94" s="2" t="s">
        <v>54</v>
      </c>
      <c r="J94" s="2">
        <v>36</v>
      </c>
      <c r="K94" s="14">
        <f>VLOOKUP($C94,Sheet1!$A$2:$D$10,4,0)</f>
        <v>18</v>
      </c>
      <c r="L94" s="14" t="str">
        <f>VLOOKUP($C94,Sheet1!$A$2:$E$10,5,0)</f>
        <v>Trolley (H)</v>
      </c>
      <c r="M94" s="14"/>
      <c r="N94" s="52">
        <v>2</v>
      </c>
      <c r="O94" s="2" t="s">
        <v>121</v>
      </c>
      <c r="P94" s="2" t="s">
        <v>1918</v>
      </c>
    </row>
    <row r="95" spans="1:16" x14ac:dyDescent="0.25">
      <c r="A95" s="17" t="s">
        <v>1293</v>
      </c>
      <c r="B95" s="2" t="s">
        <v>1205</v>
      </c>
      <c r="C95" s="27" t="s">
        <v>9</v>
      </c>
      <c r="D95" s="2" t="str">
        <f>VLOOKUP($C95,Sheet1!$A$2:$D$10,2,0)</f>
        <v>141120-14600</v>
      </c>
      <c r="E95" s="8" t="s">
        <v>60</v>
      </c>
      <c r="F95" s="12">
        <v>46048</v>
      </c>
      <c r="G95" s="13">
        <v>0.14583333333333334</v>
      </c>
      <c r="H95" s="2" t="s">
        <v>53</v>
      </c>
      <c r="I95" s="2" t="s">
        <v>54</v>
      </c>
      <c r="J95" s="2">
        <v>36</v>
      </c>
      <c r="K95" s="14">
        <f>VLOOKUP($C95,Sheet1!$A$2:$D$10,4,0)</f>
        <v>18</v>
      </c>
      <c r="L95" s="14" t="str">
        <f>VLOOKUP($C95,Sheet1!$A$2:$E$10,5,0)</f>
        <v>Trolley (H)</v>
      </c>
      <c r="M95" s="14"/>
      <c r="N95" s="53"/>
      <c r="O95" s="2" t="s">
        <v>121</v>
      </c>
      <c r="P95" s="2" t="s">
        <v>1919</v>
      </c>
    </row>
    <row r="96" spans="1:16" x14ac:dyDescent="0.25">
      <c r="A96" s="17" t="s">
        <v>1293</v>
      </c>
      <c r="B96" s="2" t="s">
        <v>1215</v>
      </c>
      <c r="C96" s="27" t="s">
        <v>12</v>
      </c>
      <c r="D96" s="2" t="str">
        <f>VLOOKUP($C96,Sheet1!$A$2:$D$10,2,0)</f>
        <v>141185-74670</v>
      </c>
      <c r="E96" s="8" t="s">
        <v>66</v>
      </c>
      <c r="F96" s="12">
        <v>46048</v>
      </c>
      <c r="G96" s="13">
        <v>0.14583333333333334</v>
      </c>
      <c r="H96" s="2" t="s">
        <v>53</v>
      </c>
      <c r="I96" s="2" t="s">
        <v>54</v>
      </c>
      <c r="J96" s="2">
        <v>40</v>
      </c>
      <c r="K96" s="14">
        <f>VLOOKUP($C96,Sheet1!$A$2:$D$10,4,0)</f>
        <v>40</v>
      </c>
      <c r="L96" s="14" t="str">
        <f>VLOOKUP($C96,Sheet1!$A$2:$E$10,5,0)</f>
        <v>Trolley</v>
      </c>
      <c r="M96" s="14"/>
      <c r="N96" s="2">
        <f>J96/K96</f>
        <v>1</v>
      </c>
      <c r="O96" s="2" t="s">
        <v>121</v>
      </c>
      <c r="P96" s="2">
        <v>910107170</v>
      </c>
    </row>
    <row r="97" spans="1:16" x14ac:dyDescent="0.25">
      <c r="A97" s="17" t="s">
        <v>1293</v>
      </c>
      <c r="B97" s="2" t="s">
        <v>1225</v>
      </c>
      <c r="C97" s="27" t="s">
        <v>16</v>
      </c>
      <c r="D97" s="2" t="str">
        <f>VLOOKUP($C97,Sheet1!$A$2:$D$10,2,0)</f>
        <v>141140-91211</v>
      </c>
      <c r="E97" s="8" t="s">
        <v>70</v>
      </c>
      <c r="F97" s="12">
        <v>46048</v>
      </c>
      <c r="G97" s="13">
        <v>0.14583333333333334</v>
      </c>
      <c r="H97" s="2" t="s">
        <v>71</v>
      </c>
      <c r="I97" s="2" t="s">
        <v>54</v>
      </c>
      <c r="J97" s="2">
        <v>22</v>
      </c>
      <c r="K97" s="14">
        <f>VLOOKUP($C97,Sheet1!$A$2:$D$10,4,0)</f>
        <v>2</v>
      </c>
      <c r="L97" s="14" t="str">
        <f>VLOOKUP($C97,Sheet1!$A$2:$E$10,5,0)</f>
        <v>Bin</v>
      </c>
      <c r="M97" s="14">
        <f t="shared" ref="M97:M98" si="16">J97/K97</f>
        <v>11</v>
      </c>
      <c r="N97" s="2"/>
      <c r="O97" s="2" t="s">
        <v>121</v>
      </c>
      <c r="P97" s="2" t="s">
        <v>1910</v>
      </c>
    </row>
    <row r="98" spans="1:16" x14ac:dyDescent="0.25">
      <c r="A98" s="17" t="s">
        <v>1293</v>
      </c>
      <c r="B98" s="2" t="s">
        <v>1235</v>
      </c>
      <c r="C98" s="27" t="s">
        <v>20</v>
      </c>
      <c r="D98" s="2" t="str">
        <f>VLOOKUP($C98,Sheet1!$A$2:$D$10,2,0)</f>
        <v>141150-91211</v>
      </c>
      <c r="E98" s="8" t="s">
        <v>78</v>
      </c>
      <c r="F98" s="12">
        <v>46048</v>
      </c>
      <c r="G98" s="13">
        <v>0.14583333333333334</v>
      </c>
      <c r="H98" s="2" t="s">
        <v>71</v>
      </c>
      <c r="I98" s="2" t="s">
        <v>54</v>
      </c>
      <c r="J98" s="2">
        <v>22</v>
      </c>
      <c r="K98" s="14">
        <f>VLOOKUP($C98,Sheet1!$A$2:$D$10,4,0)</f>
        <v>2</v>
      </c>
      <c r="L98" s="14" t="str">
        <f>VLOOKUP($C98,Sheet1!$A$2:$E$10,5,0)</f>
        <v>Bin</v>
      </c>
      <c r="M98" s="14">
        <f t="shared" si="16"/>
        <v>11</v>
      </c>
      <c r="N98" s="2"/>
      <c r="O98" s="2" t="s">
        <v>121</v>
      </c>
      <c r="P98" s="2" t="s">
        <v>1910</v>
      </c>
    </row>
    <row r="99" spans="1:16" x14ac:dyDescent="0.25">
      <c r="A99" s="17" t="s">
        <v>1293</v>
      </c>
      <c r="B99" s="2" t="s">
        <v>1245</v>
      </c>
      <c r="C99" s="27" t="s">
        <v>23</v>
      </c>
      <c r="D99" s="2" t="str">
        <f>VLOOKUP($C99,Sheet1!$A$2:$D$10,2,0)</f>
        <v>141186-74360</v>
      </c>
      <c r="E99" s="8" t="s">
        <v>85</v>
      </c>
      <c r="F99" s="12">
        <v>46048</v>
      </c>
      <c r="G99" s="13">
        <v>0.14583333333333334</v>
      </c>
      <c r="H99" s="2" t="s">
        <v>71</v>
      </c>
      <c r="I99" s="2" t="s">
        <v>54</v>
      </c>
      <c r="J99" s="2">
        <v>80</v>
      </c>
      <c r="K99" s="14">
        <f>VLOOKUP($C99,Sheet1!$A$2:$D$10,4,0)</f>
        <v>40</v>
      </c>
      <c r="L99" s="14" t="str">
        <f>VLOOKUP($C99,Sheet1!$A$2:$E$10,5,0)</f>
        <v>Trolley</v>
      </c>
      <c r="M99" s="14"/>
      <c r="N99" s="2">
        <f>J99/K99</f>
        <v>2</v>
      </c>
      <c r="O99" s="2" t="s">
        <v>121</v>
      </c>
      <c r="P99" s="2">
        <v>910107171</v>
      </c>
    </row>
    <row r="100" spans="1:16" x14ac:dyDescent="0.25">
      <c r="A100" s="17" t="s">
        <v>1294</v>
      </c>
      <c r="B100" s="2" t="s">
        <v>1255</v>
      </c>
      <c r="C100" s="27" t="s">
        <v>26</v>
      </c>
      <c r="D100" s="2" t="str">
        <f>VLOOKUP($C100,Sheet1!$A$2:$D$10,2,0)</f>
        <v>116040-92240</v>
      </c>
      <c r="E100" s="8" t="s">
        <v>90</v>
      </c>
      <c r="F100" s="12">
        <v>46048</v>
      </c>
      <c r="G100" s="13">
        <v>0.14583333333333334</v>
      </c>
      <c r="H100" s="2" t="s">
        <v>91</v>
      </c>
      <c r="I100" s="2" t="s">
        <v>54</v>
      </c>
      <c r="J100" s="2">
        <v>18</v>
      </c>
      <c r="K100" s="14">
        <f>VLOOKUP($C100,Sheet1!$A$2:$D$10,4,0)</f>
        <v>6</v>
      </c>
      <c r="L100" s="14" t="str">
        <f>VLOOKUP($C100,Sheet1!$A$2:$E$10,5,0)</f>
        <v>Bin</v>
      </c>
      <c r="M100" s="14">
        <f t="shared" ref="M100:M101" si="17">J100/K100</f>
        <v>3</v>
      </c>
      <c r="N100" s="2"/>
      <c r="O100" s="2" t="s">
        <v>121</v>
      </c>
      <c r="P100" s="2" t="s">
        <v>1912</v>
      </c>
    </row>
    <row r="101" spans="1:16" x14ac:dyDescent="0.25">
      <c r="A101" s="17" t="s">
        <v>1294</v>
      </c>
      <c r="B101" s="2" t="s">
        <v>1274</v>
      </c>
      <c r="C101" s="27" t="s">
        <v>29</v>
      </c>
      <c r="D101" s="2" t="str">
        <f>VLOOKUP($C101,Sheet1!$A$2:$D$10,2,0)</f>
        <v>114010-50830</v>
      </c>
      <c r="E101" s="8" t="s">
        <v>98</v>
      </c>
      <c r="F101" s="12">
        <v>46048</v>
      </c>
      <c r="G101" s="13">
        <v>0.14583333333333334</v>
      </c>
      <c r="H101" s="2" t="s">
        <v>91</v>
      </c>
      <c r="I101" s="2" t="s">
        <v>54</v>
      </c>
      <c r="J101" s="2">
        <v>23</v>
      </c>
      <c r="K101" s="14">
        <f>VLOOKUP($C101,Sheet1!$A$2:$D$10,4,0)</f>
        <v>1</v>
      </c>
      <c r="L101" s="14" t="str">
        <f>VLOOKUP($C101,Sheet1!$A$2:$E$10,5,0)</f>
        <v>Bin</v>
      </c>
      <c r="M101" s="14">
        <f t="shared" si="17"/>
        <v>23</v>
      </c>
      <c r="N101" s="2"/>
      <c r="O101" s="2" t="s">
        <v>121</v>
      </c>
      <c r="P101" s="2" t="s">
        <v>1912</v>
      </c>
    </row>
    <row r="102" spans="1:16" s="11" customForma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>
        <v>48</v>
      </c>
      <c r="N102" s="10">
        <v>5</v>
      </c>
      <c r="O102" s="10"/>
      <c r="P102" s="10"/>
    </row>
    <row r="108" spans="1:16" x14ac:dyDescent="0.25">
      <c r="E108" s="46"/>
    </row>
  </sheetData>
  <mergeCells count="13">
    <mergeCell ref="N94:N95"/>
    <mergeCell ref="A1:F1"/>
    <mergeCell ref="J1:N1"/>
    <mergeCell ref="L2:N2"/>
    <mergeCell ref="N4:N5"/>
    <mergeCell ref="N14:N15"/>
    <mergeCell ref="N24:N25"/>
    <mergeCell ref="N34:N35"/>
    <mergeCell ref="N44:N45"/>
    <mergeCell ref="N54:N55"/>
    <mergeCell ref="N64:N65"/>
    <mergeCell ref="N74:N75"/>
    <mergeCell ref="N84:N85"/>
  </mergeCells>
  <conditionalFormatting sqref="B2">
    <cfRule type="duplicateValues" dxfId="36" priority="2"/>
    <cfRule type="duplicateValues" dxfId="35" priority="3"/>
  </conditionalFormatting>
  <conditionalFormatting sqref="B4:B12 B14:B22 B24:B32 B34:B42 B44:B52 B54:B62 B64:B72 B74:B82 B84:B92 B94:B101">
    <cfRule type="duplicateValues" dxfId="34" priority="1"/>
  </conditionalFormatting>
  <conditionalFormatting sqref="C2:D2">
    <cfRule type="duplicateValues" dxfId="33" priority="4"/>
    <cfRule type="duplicateValues" dxfId="32" priority="5"/>
  </conditionalFormatting>
  <pageMargins left="0.17" right="0.17" top="0.17" bottom="0.17" header="0.17" footer="0.17"/>
  <pageSetup paperSize="9" scale="14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8BBE-F5EC-46A5-93AC-8ACFE1922643}">
  <sheetPr>
    <pageSetUpPr fitToPage="1"/>
  </sheetPr>
  <dimension ref="A1:P108"/>
  <sheetViews>
    <sheetView topLeftCell="A82" workbookViewId="0">
      <selection activeCell="C105" sqref="C105"/>
    </sheetView>
  </sheetViews>
  <sheetFormatPr defaultColWidth="85.42578125" defaultRowHeight="15" x14ac:dyDescent="0.25"/>
  <cols>
    <col min="1" max="1" width="15.140625" bestFit="1" customWidth="1"/>
    <col min="2" max="2" width="17" bestFit="1" customWidth="1"/>
    <col min="3" max="3" width="14.140625" bestFit="1" customWidth="1"/>
    <col min="4" max="4" width="14.140625" customWidth="1"/>
    <col min="5" max="5" width="32.5703125" bestFit="1" customWidth="1"/>
    <col min="6" max="6" width="12.28515625" bestFit="1" customWidth="1"/>
    <col min="7" max="7" width="7.7109375" bestFit="1" customWidth="1"/>
    <col min="8" max="8" width="12.140625" bestFit="1" customWidth="1"/>
    <col min="9" max="9" width="4.7109375" hidden="1" customWidth="1"/>
    <col min="10" max="10" width="7.42578125" customWidth="1"/>
    <col min="11" max="11" width="9" hidden="1" customWidth="1"/>
    <col min="12" max="12" width="11.140625" hidden="1" customWidth="1"/>
    <col min="13" max="13" width="7.140625" bestFit="1" customWidth="1"/>
    <col min="14" max="14" width="7.85546875" bestFit="1" customWidth="1"/>
    <col min="15" max="15" width="10.7109375" customWidth="1"/>
    <col min="16" max="16" width="44.14062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5.75" x14ac:dyDescent="0.25">
      <c r="A2" s="5" t="s">
        <v>36</v>
      </c>
      <c r="B2" s="6">
        <v>46049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1387</v>
      </c>
      <c r="B4" s="2" t="s">
        <v>1295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46049</v>
      </c>
      <c r="G4" s="13">
        <v>0.3125</v>
      </c>
      <c r="H4" s="2" t="s">
        <v>53</v>
      </c>
      <c r="I4" s="2" t="s">
        <v>54</v>
      </c>
      <c r="J4" s="27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2</v>
      </c>
      <c r="O4" s="2" t="s">
        <v>122</v>
      </c>
      <c r="P4" s="2" t="s">
        <v>1921</v>
      </c>
    </row>
    <row r="5" spans="1:16" x14ac:dyDescent="0.25">
      <c r="A5" s="17" t="s">
        <v>1387</v>
      </c>
      <c r="B5" s="2" t="s">
        <v>1305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46049</v>
      </c>
      <c r="G5" s="13">
        <v>0.3125</v>
      </c>
      <c r="H5" s="2" t="s">
        <v>53</v>
      </c>
      <c r="I5" s="2" t="s">
        <v>54</v>
      </c>
      <c r="J5" s="27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122</v>
      </c>
      <c r="P5" s="2" t="s">
        <v>1920</v>
      </c>
    </row>
    <row r="6" spans="1:16" x14ac:dyDescent="0.25">
      <c r="A6" s="17" t="s">
        <v>1387</v>
      </c>
      <c r="B6" s="2" t="s">
        <v>1296</v>
      </c>
      <c r="C6" s="27" t="s">
        <v>5</v>
      </c>
      <c r="D6" s="2" t="str">
        <f>VLOOKUP($C6,Sheet1!$A$2:$D$10,2,0)</f>
        <v>141110-14600</v>
      </c>
      <c r="E6" s="8" t="s">
        <v>52</v>
      </c>
      <c r="F6" s="12">
        <v>46049</v>
      </c>
      <c r="G6" s="13">
        <v>0.3125</v>
      </c>
      <c r="H6" s="2" t="s">
        <v>53</v>
      </c>
      <c r="I6" s="2" t="s">
        <v>54</v>
      </c>
      <c r="J6" s="27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2">
        <v>1</v>
      </c>
      <c r="O6" s="2" t="s">
        <v>122</v>
      </c>
      <c r="P6" s="2" t="s">
        <v>1922</v>
      </c>
    </row>
    <row r="7" spans="1:16" x14ac:dyDescent="0.25">
      <c r="A7" s="17" t="s">
        <v>1387</v>
      </c>
      <c r="B7" s="2" t="s">
        <v>1306</v>
      </c>
      <c r="C7" s="27" t="s">
        <v>9</v>
      </c>
      <c r="D7" s="2" t="str">
        <f>VLOOKUP($C7,Sheet1!$A$2:$D$10,2,0)</f>
        <v>141120-14600</v>
      </c>
      <c r="E7" s="8" t="s">
        <v>60</v>
      </c>
      <c r="F7" s="12">
        <v>46049</v>
      </c>
      <c r="G7" s="13">
        <v>0.3125</v>
      </c>
      <c r="H7" s="2" t="s">
        <v>53</v>
      </c>
      <c r="I7" s="2" t="s">
        <v>54</v>
      </c>
      <c r="J7" s="27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3"/>
      <c r="O7" s="2" t="s">
        <v>122</v>
      </c>
      <c r="P7" s="2" t="s">
        <v>1922</v>
      </c>
    </row>
    <row r="8" spans="1:16" x14ac:dyDescent="0.25">
      <c r="A8" s="17" t="s">
        <v>1387</v>
      </c>
      <c r="B8" s="2" t="s">
        <v>1315</v>
      </c>
      <c r="C8" s="27" t="s">
        <v>12</v>
      </c>
      <c r="D8" s="2" t="str">
        <f>VLOOKUP($C8,Sheet1!$A$2:$D$10,2,0)</f>
        <v>141185-74670</v>
      </c>
      <c r="E8" s="8" t="s">
        <v>66</v>
      </c>
      <c r="F8" s="12">
        <v>46049</v>
      </c>
      <c r="G8" s="13">
        <v>0.3125</v>
      </c>
      <c r="H8" s="2" t="s">
        <v>53</v>
      </c>
      <c r="I8" s="2" t="s">
        <v>54</v>
      </c>
      <c r="J8" s="27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122</v>
      </c>
      <c r="P8" s="2">
        <v>910107070</v>
      </c>
    </row>
    <row r="9" spans="1:16" x14ac:dyDescent="0.25">
      <c r="A9" s="17" t="s">
        <v>1387</v>
      </c>
      <c r="B9" s="2" t="s">
        <v>1316</v>
      </c>
      <c r="C9" s="27" t="s">
        <v>12</v>
      </c>
      <c r="D9" s="2" t="str">
        <f>VLOOKUP($C9,Sheet1!$A$2:$D$10,2,0)</f>
        <v>141185-74670</v>
      </c>
      <c r="E9" s="8" t="s">
        <v>66</v>
      </c>
      <c r="F9" s="12">
        <v>46049</v>
      </c>
      <c r="G9" s="13">
        <v>0.3125</v>
      </c>
      <c r="H9" s="2" t="s">
        <v>53</v>
      </c>
      <c r="I9" s="2" t="s">
        <v>54</v>
      </c>
      <c r="J9" s="27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122</v>
      </c>
      <c r="P9" s="2">
        <v>910107170</v>
      </c>
    </row>
    <row r="10" spans="1:16" x14ac:dyDescent="0.25">
      <c r="A10" s="17" t="s">
        <v>1387</v>
      </c>
      <c r="B10" s="2" t="s">
        <v>1325</v>
      </c>
      <c r="C10" s="27" t="s">
        <v>16</v>
      </c>
      <c r="D10" s="2" t="str">
        <f>VLOOKUP($C10,Sheet1!$A$2:$D$10,2,0)</f>
        <v>141140-91211</v>
      </c>
      <c r="E10" s="8" t="s">
        <v>70</v>
      </c>
      <c r="F10" s="12">
        <v>46049</v>
      </c>
      <c r="G10" s="13">
        <v>0.3125</v>
      </c>
      <c r="H10" s="2" t="s">
        <v>71</v>
      </c>
      <c r="I10" s="2" t="s">
        <v>54</v>
      </c>
      <c r="J10" s="27">
        <v>36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18</v>
      </c>
      <c r="N10" s="2"/>
      <c r="O10" s="2" t="s">
        <v>122</v>
      </c>
      <c r="P10" s="2" t="s">
        <v>1923</v>
      </c>
    </row>
    <row r="11" spans="1:16" x14ac:dyDescent="0.25">
      <c r="A11" s="17" t="s">
        <v>1387</v>
      </c>
      <c r="B11" s="2" t="s">
        <v>1326</v>
      </c>
      <c r="C11" s="27" t="s">
        <v>16</v>
      </c>
      <c r="D11" s="2" t="str">
        <f>VLOOKUP($C11,Sheet1!$A$2:$D$10,2,0)</f>
        <v>141140-91211</v>
      </c>
      <c r="E11" s="8" t="s">
        <v>70</v>
      </c>
      <c r="F11" s="12">
        <v>46049</v>
      </c>
      <c r="G11" s="13">
        <v>0.3125</v>
      </c>
      <c r="H11" s="2" t="s">
        <v>71</v>
      </c>
      <c r="I11" s="2" t="s">
        <v>54</v>
      </c>
      <c r="J11" s="27">
        <v>18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ref="M11:M13" si="0">J11/K11</f>
        <v>9</v>
      </c>
      <c r="N11" s="2"/>
      <c r="O11" s="2" t="s">
        <v>122</v>
      </c>
      <c r="P11" s="2" t="s">
        <v>1924</v>
      </c>
    </row>
    <row r="12" spans="1:16" x14ac:dyDescent="0.25">
      <c r="A12" s="17" t="s">
        <v>1387</v>
      </c>
      <c r="B12" s="2" t="s">
        <v>1335</v>
      </c>
      <c r="C12" s="27" t="s">
        <v>20</v>
      </c>
      <c r="D12" s="2" t="str">
        <f>VLOOKUP($C12,Sheet1!$A$2:$D$10,2,0)</f>
        <v>141150-91211</v>
      </c>
      <c r="E12" s="8" t="s">
        <v>78</v>
      </c>
      <c r="F12" s="12">
        <v>46049</v>
      </c>
      <c r="G12" s="13">
        <v>0.3125</v>
      </c>
      <c r="H12" s="2" t="s">
        <v>71</v>
      </c>
      <c r="I12" s="2" t="s">
        <v>54</v>
      </c>
      <c r="J12" s="27">
        <v>36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18</v>
      </c>
      <c r="N12" s="2"/>
      <c r="O12" s="2" t="s">
        <v>122</v>
      </c>
      <c r="P12" s="2" t="s">
        <v>1910</v>
      </c>
    </row>
    <row r="13" spans="1:16" x14ac:dyDescent="0.25">
      <c r="A13" s="17" t="s">
        <v>1387</v>
      </c>
      <c r="B13" s="2" t="s">
        <v>1336</v>
      </c>
      <c r="C13" s="27" t="s">
        <v>20</v>
      </c>
      <c r="D13" s="2" t="str">
        <f>VLOOKUP($C13,Sheet1!$A$2:$D$10,2,0)</f>
        <v>141150-91211</v>
      </c>
      <c r="E13" s="8" t="s">
        <v>78</v>
      </c>
      <c r="F13" s="12">
        <v>46049</v>
      </c>
      <c r="G13" s="13">
        <v>0.3125</v>
      </c>
      <c r="H13" s="2" t="s">
        <v>71</v>
      </c>
      <c r="I13" s="2" t="s">
        <v>54</v>
      </c>
      <c r="J13" s="27">
        <v>18</v>
      </c>
      <c r="K13" s="14">
        <f>VLOOKUP($C13,Sheet1!$A$2:$D$10,4,0)</f>
        <v>2</v>
      </c>
      <c r="L13" s="14" t="str">
        <f>VLOOKUP($C13,Sheet1!$A$2:$E$10,5,0)</f>
        <v>Bin</v>
      </c>
      <c r="M13" s="14">
        <f t="shared" si="0"/>
        <v>9</v>
      </c>
      <c r="N13" s="2"/>
      <c r="O13" s="2" t="s">
        <v>122</v>
      </c>
      <c r="P13" s="2" t="s">
        <v>1910</v>
      </c>
    </row>
    <row r="14" spans="1:16" x14ac:dyDescent="0.25">
      <c r="A14" s="17" t="s">
        <v>1387</v>
      </c>
      <c r="B14" s="2" t="s">
        <v>1345</v>
      </c>
      <c r="C14" s="27" t="s">
        <v>23</v>
      </c>
      <c r="D14" s="2" t="str">
        <f>VLOOKUP($C14,Sheet1!$A$2:$D$10,2,0)</f>
        <v>141186-74360</v>
      </c>
      <c r="E14" s="8" t="s">
        <v>85</v>
      </c>
      <c r="F14" s="12">
        <v>46049</v>
      </c>
      <c r="G14" s="13">
        <v>0.3125</v>
      </c>
      <c r="H14" s="2" t="s">
        <v>71</v>
      </c>
      <c r="I14" s="2" t="s">
        <v>54</v>
      </c>
      <c r="J14" s="27">
        <v>80</v>
      </c>
      <c r="K14" s="14">
        <f>VLOOKUP($C14,Sheet1!$A$2:$D$10,4,0)</f>
        <v>40</v>
      </c>
      <c r="L14" s="14" t="str">
        <f>VLOOKUP($C14,Sheet1!$A$2:$E$10,5,0)</f>
        <v>Trolley</v>
      </c>
      <c r="M14" s="14"/>
      <c r="N14" s="2">
        <f t="shared" ref="N14:N15" si="1">J14/K14</f>
        <v>2</v>
      </c>
      <c r="O14" s="2" t="s">
        <v>122</v>
      </c>
      <c r="P14" s="2">
        <v>910107171</v>
      </c>
    </row>
    <row r="15" spans="1:16" x14ac:dyDescent="0.25">
      <c r="A15" s="17" t="s">
        <v>1387</v>
      </c>
      <c r="B15" s="2" t="s">
        <v>1346</v>
      </c>
      <c r="C15" s="27" t="s">
        <v>23</v>
      </c>
      <c r="D15" s="2" t="str">
        <f>VLOOKUP($C15,Sheet1!$A$2:$D$10,2,0)</f>
        <v>141186-74360</v>
      </c>
      <c r="E15" s="8" t="s">
        <v>85</v>
      </c>
      <c r="F15" s="12">
        <v>46049</v>
      </c>
      <c r="G15" s="13">
        <v>0.3125</v>
      </c>
      <c r="H15" s="2" t="s">
        <v>71</v>
      </c>
      <c r="I15" s="2" t="s">
        <v>54</v>
      </c>
      <c r="J15" s="27">
        <v>40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 t="shared" si="1"/>
        <v>1</v>
      </c>
      <c r="O15" s="2" t="s">
        <v>122</v>
      </c>
      <c r="P15" s="2">
        <v>910107171</v>
      </c>
    </row>
    <row r="16" spans="1:16" x14ac:dyDescent="0.25">
      <c r="A16" s="17" t="s">
        <v>1386</v>
      </c>
      <c r="B16" s="2" t="s">
        <v>1355</v>
      </c>
      <c r="C16" s="27" t="s">
        <v>26</v>
      </c>
      <c r="D16" s="2" t="str">
        <f>VLOOKUP($C16,Sheet1!$A$2:$D$10,2,0)</f>
        <v>116040-92240</v>
      </c>
      <c r="E16" s="8" t="s">
        <v>90</v>
      </c>
      <c r="F16" s="12">
        <v>46049</v>
      </c>
      <c r="G16" s="13">
        <v>0.3125</v>
      </c>
      <c r="H16" s="2" t="s">
        <v>91</v>
      </c>
      <c r="I16" s="2" t="s">
        <v>54</v>
      </c>
      <c r="J16" s="2">
        <v>36</v>
      </c>
      <c r="K16" s="14">
        <f>VLOOKUP($C16,Sheet1!$A$2:$D$10,4,0)</f>
        <v>6</v>
      </c>
      <c r="L16" s="14" t="str">
        <f>VLOOKUP($C16,Sheet1!$A$2:$E$10,5,0)</f>
        <v>Bin</v>
      </c>
      <c r="M16" s="14">
        <f t="shared" ref="M16:M23" si="2">J16/K16</f>
        <v>6</v>
      </c>
      <c r="N16" s="2"/>
      <c r="O16" s="2" t="s">
        <v>122</v>
      </c>
      <c r="P16" s="2" t="s">
        <v>1912</v>
      </c>
    </row>
    <row r="17" spans="1:16" x14ac:dyDescent="0.25">
      <c r="A17" s="17" t="s">
        <v>1386</v>
      </c>
      <c r="B17" s="2" t="s">
        <v>1356</v>
      </c>
      <c r="C17" s="27" t="s">
        <v>26</v>
      </c>
      <c r="D17" s="2" t="str">
        <f>VLOOKUP($C17,Sheet1!$A$2:$D$10,2,0)</f>
        <v>116040-92240</v>
      </c>
      <c r="E17" s="8" t="s">
        <v>90</v>
      </c>
      <c r="F17" s="12">
        <v>46049</v>
      </c>
      <c r="G17" s="13">
        <v>0.3125</v>
      </c>
      <c r="H17" s="2" t="s">
        <v>91</v>
      </c>
      <c r="I17" s="2" t="s">
        <v>54</v>
      </c>
      <c r="J17" s="2">
        <v>6</v>
      </c>
      <c r="K17" s="14">
        <f>VLOOKUP($C17,Sheet1!$A$2:$D$10,4,0)</f>
        <v>6</v>
      </c>
      <c r="L17" s="14" t="str">
        <f>VLOOKUP($C17,Sheet1!$A$2:$E$10,5,0)</f>
        <v>Bin</v>
      </c>
      <c r="M17" s="14">
        <f t="shared" si="2"/>
        <v>1</v>
      </c>
      <c r="N17" s="2"/>
      <c r="O17" s="2" t="s">
        <v>122</v>
      </c>
      <c r="P17" s="2" t="s">
        <v>1912</v>
      </c>
    </row>
    <row r="18" spans="1:16" x14ac:dyDescent="0.25">
      <c r="A18" s="17" t="s">
        <v>1386</v>
      </c>
      <c r="B18" s="2" t="s">
        <v>1365</v>
      </c>
      <c r="C18" s="27" t="s">
        <v>32</v>
      </c>
      <c r="D18" s="2" t="str">
        <f>VLOOKUP($C18,Sheet1!$A$2:$D$10,2,0)</f>
        <v>114010-50820</v>
      </c>
      <c r="E18" s="8" t="s">
        <v>98</v>
      </c>
      <c r="F18" s="12">
        <v>46049</v>
      </c>
      <c r="G18" s="13">
        <v>0.3125</v>
      </c>
      <c r="H18" s="2" t="s">
        <v>91</v>
      </c>
      <c r="I18" s="2" t="s">
        <v>54</v>
      </c>
      <c r="J18" s="2">
        <v>18</v>
      </c>
      <c r="K18" s="14">
        <f>VLOOKUP($C18,Sheet1!$A$2:$D$10,4,0)</f>
        <v>1</v>
      </c>
      <c r="L18" s="14" t="str">
        <f>VLOOKUP($C18,Sheet1!$A$2:$E$10,5,0)</f>
        <v>Bin</v>
      </c>
      <c r="M18" s="14">
        <f>J18/K18</f>
        <v>18</v>
      </c>
      <c r="N18" s="2"/>
      <c r="O18" s="2" t="s">
        <v>122</v>
      </c>
      <c r="P18" s="2" t="s">
        <v>420</v>
      </c>
    </row>
    <row r="19" spans="1:16" x14ac:dyDescent="0.25">
      <c r="A19" s="17" t="s">
        <v>1386</v>
      </c>
      <c r="B19" s="2" t="s">
        <v>1366</v>
      </c>
      <c r="C19" s="27" t="s">
        <v>32</v>
      </c>
      <c r="D19" s="2" t="str">
        <f>VLOOKUP($C19,Sheet1!$A$2:$D$10,2,0)</f>
        <v>114010-50820</v>
      </c>
      <c r="E19" s="8" t="s">
        <v>98</v>
      </c>
      <c r="F19" s="12">
        <v>46049</v>
      </c>
      <c r="G19" s="13">
        <v>0.3125</v>
      </c>
      <c r="H19" s="2" t="s">
        <v>91</v>
      </c>
      <c r="I19" s="2" t="s">
        <v>54</v>
      </c>
      <c r="J19" s="2">
        <v>6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ref="M19" si="3">J19/K19</f>
        <v>6</v>
      </c>
      <c r="N19" s="2"/>
      <c r="O19" s="2" t="s">
        <v>122</v>
      </c>
      <c r="P19" s="2" t="s">
        <v>420</v>
      </c>
    </row>
    <row r="20" spans="1:16" x14ac:dyDescent="0.25">
      <c r="A20" s="17" t="s">
        <v>1386</v>
      </c>
      <c r="B20" s="2" t="s">
        <v>1375</v>
      </c>
      <c r="C20" s="27" t="s">
        <v>29</v>
      </c>
      <c r="D20" s="2" t="str">
        <f>VLOOKUP($C20,Sheet1!$A$2:$D$10,2,0)</f>
        <v>114010-50830</v>
      </c>
      <c r="E20" s="8" t="s">
        <v>98</v>
      </c>
      <c r="F20" s="12">
        <v>46049</v>
      </c>
      <c r="G20" s="13">
        <v>0.3125</v>
      </c>
      <c r="H20" s="2" t="s">
        <v>91</v>
      </c>
      <c r="I20" s="2" t="s">
        <v>54</v>
      </c>
      <c r="J20" s="2">
        <v>16</v>
      </c>
      <c r="K20" s="14">
        <f>VLOOKUP($C20,Sheet1!$A$2:$D$10,4,0)</f>
        <v>1</v>
      </c>
      <c r="L20" s="14" t="str">
        <f>VLOOKUP($C20,Sheet1!$A$2:$E$10,5,0)</f>
        <v>Bin</v>
      </c>
      <c r="M20" s="14">
        <f>J20/K20</f>
        <v>16</v>
      </c>
      <c r="N20" s="2"/>
      <c r="O20" s="2" t="s">
        <v>122</v>
      </c>
      <c r="P20" s="2" t="s">
        <v>1912</v>
      </c>
    </row>
    <row r="21" spans="1:16" x14ac:dyDescent="0.25">
      <c r="A21" s="17" t="s">
        <v>1386</v>
      </c>
      <c r="B21" s="2" t="s">
        <v>1376</v>
      </c>
      <c r="C21" s="27" t="s">
        <v>29</v>
      </c>
      <c r="D21" s="2" t="str">
        <f>VLOOKUP($C21,Sheet1!$A$2:$D$10,2,0)</f>
        <v>114010-50830</v>
      </c>
      <c r="E21" s="8" t="s">
        <v>98</v>
      </c>
      <c r="F21" s="12">
        <v>46049</v>
      </c>
      <c r="G21" s="13">
        <v>0.3125</v>
      </c>
      <c r="H21" s="2" t="s">
        <v>91</v>
      </c>
      <c r="I21" s="2" t="s">
        <v>54</v>
      </c>
      <c r="J21" s="2">
        <v>2</v>
      </c>
      <c r="K21" s="14">
        <f>VLOOKUP($C21,Sheet1!$A$2:$D$10,4,0)</f>
        <v>1</v>
      </c>
      <c r="L21" s="14" t="str">
        <f>VLOOKUP($C21,Sheet1!$A$2:$E$10,5,0)</f>
        <v>Bin</v>
      </c>
      <c r="M21" s="14">
        <f>J21/K21</f>
        <v>2</v>
      </c>
      <c r="N21" s="2"/>
      <c r="O21" s="2" t="s">
        <v>122</v>
      </c>
      <c r="P21" s="2" t="s">
        <v>1912</v>
      </c>
    </row>
    <row r="22" spans="1:16" x14ac:dyDescent="0.25">
      <c r="A22" s="17" t="s">
        <v>1388</v>
      </c>
      <c r="B22" s="2" t="s">
        <v>1356</v>
      </c>
      <c r="C22" s="27" t="s">
        <v>26</v>
      </c>
      <c r="D22" s="2" t="str">
        <f>VLOOKUP($C22,Sheet1!$A$2:$D$10,2,0)</f>
        <v>116040-92240</v>
      </c>
      <c r="E22" s="8" t="s">
        <v>90</v>
      </c>
      <c r="F22" s="12">
        <v>46049</v>
      </c>
      <c r="G22" s="13">
        <v>0.3125</v>
      </c>
      <c r="H22" s="2" t="s">
        <v>91</v>
      </c>
      <c r="I22" s="2" t="s">
        <v>54</v>
      </c>
      <c r="J22" s="2">
        <v>6</v>
      </c>
      <c r="K22" s="14">
        <f>VLOOKUP($C22,Sheet1!$A$2:$D$10,4,0)</f>
        <v>6</v>
      </c>
      <c r="L22" s="14" t="str">
        <f>VLOOKUP($C22,Sheet1!$A$2:$E$10,5,0)</f>
        <v>Bin</v>
      </c>
      <c r="M22" s="14">
        <f t="shared" ref="M22" si="4">J22/K22</f>
        <v>1</v>
      </c>
      <c r="N22" s="2"/>
      <c r="O22" s="2" t="s">
        <v>122</v>
      </c>
      <c r="P22" s="2" t="s">
        <v>1912</v>
      </c>
    </row>
    <row r="23" spans="1:16" x14ac:dyDescent="0.25">
      <c r="A23" s="17" t="s">
        <v>1388</v>
      </c>
      <c r="B23" s="2" t="s">
        <v>1366</v>
      </c>
      <c r="C23" s="27" t="s">
        <v>32</v>
      </c>
      <c r="D23" s="2" t="str">
        <f>VLOOKUP($C23,Sheet1!$A$2:$D$10,2,0)</f>
        <v>114010-50820</v>
      </c>
      <c r="E23" s="8" t="s">
        <v>98</v>
      </c>
      <c r="F23" s="12">
        <v>46049</v>
      </c>
      <c r="G23" s="13">
        <v>0.3125</v>
      </c>
      <c r="H23" s="2" t="s">
        <v>91</v>
      </c>
      <c r="I23" s="2" t="s">
        <v>54</v>
      </c>
      <c r="J23" s="47">
        <v>9</v>
      </c>
      <c r="K23" s="14">
        <f>VLOOKUP($C23,Sheet1!$A$2:$D$10,4,0)</f>
        <v>1</v>
      </c>
      <c r="L23" s="14" t="str">
        <f>VLOOKUP($C23,Sheet1!$A$2:$E$10,5,0)</f>
        <v>Bin</v>
      </c>
      <c r="M23" s="14">
        <f t="shared" si="2"/>
        <v>9</v>
      </c>
      <c r="N23" s="2"/>
      <c r="O23" s="2" t="s">
        <v>122</v>
      </c>
      <c r="P23" s="2" t="s">
        <v>420</v>
      </c>
    </row>
    <row r="24" spans="1:16" s="11" customForma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>
        <v>113</v>
      </c>
      <c r="N24" s="10">
        <v>9</v>
      </c>
      <c r="O24" s="10"/>
      <c r="P24" s="10"/>
    </row>
    <row r="25" spans="1:16" x14ac:dyDescent="0.25">
      <c r="A25" s="17" t="s">
        <v>1389</v>
      </c>
      <c r="B25" s="2" t="s">
        <v>1297</v>
      </c>
      <c r="C25" s="27" t="s">
        <v>5</v>
      </c>
      <c r="D25" s="2" t="str">
        <f>VLOOKUP($C25,Sheet1!$A$2:$D$10,2,0)</f>
        <v>141110-14600</v>
      </c>
      <c r="E25" s="8" t="s">
        <v>52</v>
      </c>
      <c r="F25" s="12">
        <v>46049</v>
      </c>
      <c r="G25" s="13">
        <v>0.39583333333333331</v>
      </c>
      <c r="H25" s="2" t="s">
        <v>53</v>
      </c>
      <c r="I25" s="2" t="s">
        <v>54</v>
      </c>
      <c r="J25" s="2">
        <v>36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2">
        <v>2</v>
      </c>
      <c r="O25" s="2" t="s">
        <v>119</v>
      </c>
      <c r="P25" s="2" t="s">
        <v>1922</v>
      </c>
    </row>
    <row r="26" spans="1:16" x14ac:dyDescent="0.25">
      <c r="A26" s="17" t="s">
        <v>1389</v>
      </c>
      <c r="B26" s="2" t="s">
        <v>1307</v>
      </c>
      <c r="C26" s="27" t="s">
        <v>9</v>
      </c>
      <c r="D26" s="2" t="str">
        <f>VLOOKUP($C26,Sheet1!$A$2:$D$10,2,0)</f>
        <v>141120-14600</v>
      </c>
      <c r="E26" s="8" t="s">
        <v>60</v>
      </c>
      <c r="F26" s="12">
        <v>46049</v>
      </c>
      <c r="G26" s="13">
        <v>0.39583333333333331</v>
      </c>
      <c r="H26" s="2" t="s">
        <v>53</v>
      </c>
      <c r="I26" s="2" t="s">
        <v>54</v>
      </c>
      <c r="J26" s="2">
        <v>36</v>
      </c>
      <c r="K26" s="14">
        <f>VLOOKUP($C26,Sheet1!$A$2:$D$10,4,0)</f>
        <v>18</v>
      </c>
      <c r="L26" s="14" t="str">
        <f>VLOOKUP($C26,Sheet1!$A$2:$E$10,5,0)</f>
        <v>Trolley (H)</v>
      </c>
      <c r="M26" s="14"/>
      <c r="N26" s="53"/>
      <c r="O26" s="2" t="s">
        <v>119</v>
      </c>
      <c r="P26" s="2" t="s">
        <v>1922</v>
      </c>
    </row>
    <row r="27" spans="1:16" x14ac:dyDescent="0.25">
      <c r="A27" s="17" t="s">
        <v>1389</v>
      </c>
      <c r="B27" s="2" t="s">
        <v>1317</v>
      </c>
      <c r="C27" s="27" t="s">
        <v>12</v>
      </c>
      <c r="D27" s="2" t="str">
        <f>VLOOKUP($C27,Sheet1!$A$2:$D$10,2,0)</f>
        <v>141185-74670</v>
      </c>
      <c r="E27" s="8" t="s">
        <v>66</v>
      </c>
      <c r="F27" s="12">
        <v>46049</v>
      </c>
      <c r="G27" s="13">
        <v>0.39583333333333331</v>
      </c>
      <c r="H27" s="2" t="s">
        <v>53</v>
      </c>
      <c r="I27" s="2" t="s">
        <v>54</v>
      </c>
      <c r="J27" s="2">
        <v>40</v>
      </c>
      <c r="K27" s="14">
        <f>VLOOKUP($C27,Sheet1!$A$2:$D$10,4,0)</f>
        <v>40</v>
      </c>
      <c r="L27" s="14" t="str">
        <f>VLOOKUP($C27,Sheet1!$A$2:$E$10,5,0)</f>
        <v>Trolley</v>
      </c>
      <c r="M27" s="14"/>
      <c r="N27" s="2">
        <f>J27/K27</f>
        <v>1</v>
      </c>
      <c r="O27" s="2" t="s">
        <v>119</v>
      </c>
      <c r="P27" s="2" t="s">
        <v>1925</v>
      </c>
    </row>
    <row r="28" spans="1:16" x14ac:dyDescent="0.25">
      <c r="A28" s="17" t="s">
        <v>1389</v>
      </c>
      <c r="B28" s="2" t="s">
        <v>1327</v>
      </c>
      <c r="C28" s="27" t="s">
        <v>16</v>
      </c>
      <c r="D28" s="2" t="str">
        <f>VLOOKUP($C28,Sheet1!$A$2:$D$10,2,0)</f>
        <v>141140-91211</v>
      </c>
      <c r="E28" s="8" t="s">
        <v>70</v>
      </c>
      <c r="F28" s="12">
        <v>46049</v>
      </c>
      <c r="G28" s="13">
        <v>0.39583333333333331</v>
      </c>
      <c r="H28" s="2" t="s">
        <v>71</v>
      </c>
      <c r="I28" s="2" t="s">
        <v>54</v>
      </c>
      <c r="J28" s="2">
        <v>30</v>
      </c>
      <c r="K28" s="14">
        <f>VLOOKUP($C28,Sheet1!$A$2:$D$10,4,0)</f>
        <v>2</v>
      </c>
      <c r="L28" s="14" t="str">
        <f>VLOOKUP($C28,Sheet1!$A$2:$E$10,5,0)</f>
        <v>Bin</v>
      </c>
      <c r="M28" s="14">
        <f t="shared" ref="M28:M29" si="5">J28/K28</f>
        <v>15</v>
      </c>
      <c r="N28" s="2"/>
      <c r="O28" s="2" t="s">
        <v>119</v>
      </c>
      <c r="P28" s="2" t="s">
        <v>1926</v>
      </c>
    </row>
    <row r="29" spans="1:16" x14ac:dyDescent="0.25">
      <c r="A29" s="17" t="s">
        <v>1389</v>
      </c>
      <c r="B29" s="2" t="s">
        <v>1337</v>
      </c>
      <c r="C29" s="27" t="s">
        <v>20</v>
      </c>
      <c r="D29" s="2" t="str">
        <f>VLOOKUP($C29,Sheet1!$A$2:$D$10,2,0)</f>
        <v>141150-91211</v>
      </c>
      <c r="E29" s="8" t="s">
        <v>78</v>
      </c>
      <c r="F29" s="12">
        <v>46049</v>
      </c>
      <c r="G29" s="13">
        <v>0.39583333333333331</v>
      </c>
      <c r="H29" s="2" t="s">
        <v>71</v>
      </c>
      <c r="I29" s="2" t="s">
        <v>54</v>
      </c>
      <c r="J29" s="2">
        <v>30</v>
      </c>
      <c r="K29" s="14">
        <f>VLOOKUP($C29,Sheet1!$A$2:$D$10,4,0)</f>
        <v>2</v>
      </c>
      <c r="L29" s="14" t="str">
        <f>VLOOKUP($C29,Sheet1!$A$2:$E$10,5,0)</f>
        <v>Bin</v>
      </c>
      <c r="M29" s="14">
        <f t="shared" si="5"/>
        <v>15</v>
      </c>
      <c r="N29" s="2"/>
      <c r="O29" s="2" t="s">
        <v>119</v>
      </c>
      <c r="P29" s="2" t="s">
        <v>1910</v>
      </c>
    </row>
    <row r="30" spans="1:16" x14ac:dyDescent="0.25">
      <c r="A30" s="17" t="s">
        <v>1389</v>
      </c>
      <c r="B30" s="2" t="s">
        <v>1347</v>
      </c>
      <c r="C30" s="27" t="s">
        <v>23</v>
      </c>
      <c r="D30" s="2" t="str">
        <f>VLOOKUP($C30,Sheet1!$A$2:$D$10,2,0)</f>
        <v>141186-74360</v>
      </c>
      <c r="E30" s="8" t="s">
        <v>85</v>
      </c>
      <c r="F30" s="12">
        <v>46049</v>
      </c>
      <c r="G30" s="13">
        <v>0.39583333333333331</v>
      </c>
      <c r="H30" s="2" t="s">
        <v>71</v>
      </c>
      <c r="I30" s="2" t="s">
        <v>54</v>
      </c>
      <c r="J30" s="2">
        <v>40</v>
      </c>
      <c r="K30" s="14">
        <f>VLOOKUP($C30,Sheet1!$A$2:$D$10,4,0)</f>
        <v>40</v>
      </c>
      <c r="L30" s="14" t="str">
        <f>VLOOKUP($C30,Sheet1!$A$2:$E$10,5,0)</f>
        <v>Trolley</v>
      </c>
      <c r="M30" s="14"/>
      <c r="N30" s="2">
        <f>J30/K30</f>
        <v>1</v>
      </c>
      <c r="O30" s="2" t="s">
        <v>119</v>
      </c>
      <c r="P30" s="2">
        <v>910107171</v>
      </c>
    </row>
    <row r="31" spans="1:16" x14ac:dyDescent="0.25">
      <c r="A31" s="17" t="s">
        <v>1390</v>
      </c>
      <c r="B31" s="2" t="s">
        <v>1357</v>
      </c>
      <c r="C31" s="27" t="s">
        <v>26</v>
      </c>
      <c r="D31" s="2" t="str">
        <f>VLOOKUP($C31,Sheet1!$A$2:$D$10,2,0)</f>
        <v>116040-92240</v>
      </c>
      <c r="E31" s="8" t="s">
        <v>90</v>
      </c>
      <c r="F31" s="12">
        <v>46049</v>
      </c>
      <c r="G31" s="13">
        <v>0.39583333333333331</v>
      </c>
      <c r="H31" s="2" t="s">
        <v>91</v>
      </c>
      <c r="I31" s="2" t="s">
        <v>54</v>
      </c>
      <c r="J31" s="2">
        <v>30</v>
      </c>
      <c r="K31" s="14">
        <f>VLOOKUP($C31,Sheet1!$A$2:$D$10,4,0)</f>
        <v>6</v>
      </c>
      <c r="L31" s="14" t="str">
        <f>VLOOKUP($C31,Sheet1!$A$2:$E$10,5,0)</f>
        <v>Bin</v>
      </c>
      <c r="M31" s="14">
        <f t="shared" ref="M31:M33" si="6">J31/K31</f>
        <v>5</v>
      </c>
      <c r="N31" s="2"/>
      <c r="O31" s="2" t="s">
        <v>119</v>
      </c>
      <c r="P31" s="2" t="s">
        <v>1912</v>
      </c>
    </row>
    <row r="32" spans="1:16" x14ac:dyDescent="0.25">
      <c r="A32" s="17" t="s">
        <v>1390</v>
      </c>
      <c r="B32" s="2" t="s">
        <v>1367</v>
      </c>
      <c r="C32" s="27" t="s">
        <v>32</v>
      </c>
      <c r="D32" s="2" t="str">
        <f>VLOOKUP($C32,Sheet1!$A$2:$D$10,2,0)</f>
        <v>114010-50820</v>
      </c>
      <c r="E32" s="8" t="s">
        <v>98</v>
      </c>
      <c r="F32" s="12">
        <v>46049</v>
      </c>
      <c r="G32" s="13">
        <v>0.39583333333333331</v>
      </c>
      <c r="H32" s="2" t="s">
        <v>91</v>
      </c>
      <c r="I32" s="2" t="s">
        <v>54</v>
      </c>
      <c r="J32" s="2">
        <v>13</v>
      </c>
      <c r="K32" s="14">
        <f>VLOOKUP($C32,Sheet1!$A$2:$D$10,4,0)</f>
        <v>1</v>
      </c>
      <c r="L32" s="14" t="str">
        <f>VLOOKUP($C32,Sheet1!$A$2:$E$10,5,0)</f>
        <v>Bin</v>
      </c>
      <c r="M32" s="14">
        <f t="shared" si="6"/>
        <v>13</v>
      </c>
      <c r="N32" s="2"/>
      <c r="O32" s="2" t="s">
        <v>119</v>
      </c>
      <c r="P32" s="2" t="s">
        <v>420</v>
      </c>
    </row>
    <row r="33" spans="1:16" x14ac:dyDescent="0.25">
      <c r="A33" s="17" t="s">
        <v>1390</v>
      </c>
      <c r="B33" s="2" t="s">
        <v>1377</v>
      </c>
      <c r="C33" s="27" t="s">
        <v>29</v>
      </c>
      <c r="D33" s="2" t="str">
        <f>VLOOKUP($C33,Sheet1!$A$2:$D$10,2,0)</f>
        <v>114010-50830</v>
      </c>
      <c r="E33" s="8" t="s">
        <v>98</v>
      </c>
      <c r="F33" s="12">
        <v>46049</v>
      </c>
      <c r="G33" s="13">
        <v>0.39583333333333331</v>
      </c>
      <c r="H33" s="2" t="s">
        <v>91</v>
      </c>
      <c r="I33" s="2" t="s">
        <v>54</v>
      </c>
      <c r="J33" s="2">
        <v>20</v>
      </c>
      <c r="K33" s="14">
        <f>VLOOKUP($C33,Sheet1!$A$2:$D$10,4,0)</f>
        <v>1</v>
      </c>
      <c r="L33" s="14" t="str">
        <f>VLOOKUP($C33,Sheet1!$A$2:$E$10,5,0)</f>
        <v>Bin</v>
      </c>
      <c r="M33" s="14">
        <f t="shared" si="6"/>
        <v>20</v>
      </c>
      <c r="N33" s="2"/>
      <c r="O33" s="2" t="s">
        <v>119</v>
      </c>
      <c r="P33" s="2" t="s">
        <v>1912</v>
      </c>
    </row>
    <row r="34" spans="1:16" s="11" customForma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68</v>
      </c>
      <c r="N34" s="10">
        <v>4</v>
      </c>
      <c r="O34" s="10"/>
      <c r="P34" s="10"/>
    </row>
    <row r="35" spans="1:16" x14ac:dyDescent="0.25">
      <c r="A35" s="17" t="s">
        <v>1391</v>
      </c>
      <c r="B35" s="2" t="s">
        <v>1298</v>
      </c>
      <c r="C35" s="27" t="s">
        <v>5</v>
      </c>
      <c r="D35" s="2" t="str">
        <f>VLOOKUP($C35,Sheet1!$A$2:$D$10,2,0)</f>
        <v>141110-14600</v>
      </c>
      <c r="E35" s="8" t="s">
        <v>52</v>
      </c>
      <c r="F35" s="12">
        <v>46049</v>
      </c>
      <c r="G35" s="13">
        <v>0.47916666666666669</v>
      </c>
      <c r="H35" s="2" t="s">
        <v>53</v>
      </c>
      <c r="I35" s="2" t="s">
        <v>54</v>
      </c>
      <c r="J35" s="2">
        <v>18</v>
      </c>
      <c r="K35" s="14">
        <f>VLOOKUP($C35,Sheet1!$A$2:$D$10,4,0)</f>
        <v>18</v>
      </c>
      <c r="L35" s="14" t="str">
        <f>VLOOKUP($C35,Sheet1!$A$2:$E$10,5,0)</f>
        <v>Trolley (H)</v>
      </c>
      <c r="M35" s="14"/>
      <c r="N35" s="52">
        <v>1</v>
      </c>
      <c r="O35" s="2" t="s">
        <v>359</v>
      </c>
      <c r="P35" s="2" t="s">
        <v>1922</v>
      </c>
    </row>
    <row r="36" spans="1:16" x14ac:dyDescent="0.25">
      <c r="A36" s="17" t="s">
        <v>1391</v>
      </c>
      <c r="B36" s="2" t="s">
        <v>1308</v>
      </c>
      <c r="C36" s="27" t="s">
        <v>9</v>
      </c>
      <c r="D36" s="2" t="str">
        <f>VLOOKUP($C36,Sheet1!$A$2:$D$10,2,0)</f>
        <v>141120-14600</v>
      </c>
      <c r="E36" s="8" t="s">
        <v>60</v>
      </c>
      <c r="F36" s="12">
        <v>46049</v>
      </c>
      <c r="G36" s="13">
        <v>0.47916666666666669</v>
      </c>
      <c r="H36" s="2" t="s">
        <v>53</v>
      </c>
      <c r="I36" s="2" t="s">
        <v>54</v>
      </c>
      <c r="J36" s="2">
        <v>18</v>
      </c>
      <c r="K36" s="14">
        <f>VLOOKUP($C36,Sheet1!$A$2:$D$10,4,0)</f>
        <v>18</v>
      </c>
      <c r="L36" s="14" t="str">
        <f>VLOOKUP($C36,Sheet1!$A$2:$E$10,5,0)</f>
        <v>Trolley (H)</v>
      </c>
      <c r="M36" s="14"/>
      <c r="N36" s="53"/>
      <c r="O36" s="2" t="s">
        <v>359</v>
      </c>
      <c r="P36" s="2" t="s">
        <v>1922</v>
      </c>
    </row>
    <row r="37" spans="1:16" x14ac:dyDescent="0.25">
      <c r="A37" s="17" t="s">
        <v>1391</v>
      </c>
      <c r="B37" s="2" t="s">
        <v>1318</v>
      </c>
      <c r="C37" s="27" t="s">
        <v>12</v>
      </c>
      <c r="D37" s="2" t="str">
        <f>VLOOKUP($C37,Sheet1!$A$2:$D$10,2,0)</f>
        <v>141185-74670</v>
      </c>
      <c r="E37" s="8" t="s">
        <v>66</v>
      </c>
      <c r="F37" s="12">
        <v>46049</v>
      </c>
      <c r="G37" s="13">
        <v>0.47916666666666669</v>
      </c>
      <c r="H37" s="2" t="s">
        <v>53</v>
      </c>
      <c r="I37" s="2" t="s">
        <v>54</v>
      </c>
      <c r="J37" s="2">
        <v>80</v>
      </c>
      <c r="K37" s="14">
        <f>VLOOKUP($C37,Sheet1!$A$2:$D$10,4,0)</f>
        <v>40</v>
      </c>
      <c r="L37" s="14" t="str">
        <f>VLOOKUP($C37,Sheet1!$A$2:$E$10,5,0)</f>
        <v>Trolley</v>
      </c>
      <c r="M37" s="14"/>
      <c r="N37" s="2">
        <f>J37/K37</f>
        <v>2</v>
      </c>
      <c r="O37" s="2" t="s">
        <v>359</v>
      </c>
      <c r="P37" s="2">
        <v>910107272</v>
      </c>
    </row>
    <row r="38" spans="1:16" x14ac:dyDescent="0.25">
      <c r="A38" s="17" t="s">
        <v>1391</v>
      </c>
      <c r="B38" s="2" t="s">
        <v>1328</v>
      </c>
      <c r="C38" s="27" t="s">
        <v>16</v>
      </c>
      <c r="D38" s="2" t="str">
        <f>VLOOKUP($C38,Sheet1!$A$2:$D$10,2,0)</f>
        <v>141140-91211</v>
      </c>
      <c r="E38" s="8" t="s">
        <v>70</v>
      </c>
      <c r="F38" s="12">
        <v>46049</v>
      </c>
      <c r="G38" s="13">
        <v>0.47916666666666669</v>
      </c>
      <c r="H38" s="2" t="s">
        <v>71</v>
      </c>
      <c r="I38" s="2" t="s">
        <v>54</v>
      </c>
      <c r="J38" s="2">
        <v>28</v>
      </c>
      <c r="K38" s="14">
        <f>VLOOKUP($C38,Sheet1!$A$2:$D$10,4,0)</f>
        <v>2</v>
      </c>
      <c r="L38" s="14" t="str">
        <f>VLOOKUP($C38,Sheet1!$A$2:$E$10,5,0)</f>
        <v>Bin</v>
      </c>
      <c r="M38" s="14">
        <f t="shared" ref="M38:M39" si="7">J38/K38</f>
        <v>14</v>
      </c>
      <c r="N38" s="2"/>
      <c r="O38" s="2" t="s">
        <v>359</v>
      </c>
      <c r="P38" s="2" t="s">
        <v>1910</v>
      </c>
    </row>
    <row r="39" spans="1:16" x14ac:dyDescent="0.25">
      <c r="A39" s="17" t="s">
        <v>1391</v>
      </c>
      <c r="B39" s="2" t="s">
        <v>1338</v>
      </c>
      <c r="C39" s="27" t="s">
        <v>20</v>
      </c>
      <c r="D39" s="2" t="str">
        <f>VLOOKUP($C39,Sheet1!$A$2:$D$10,2,0)</f>
        <v>141150-91211</v>
      </c>
      <c r="E39" s="8" t="s">
        <v>78</v>
      </c>
      <c r="F39" s="12">
        <v>46049</v>
      </c>
      <c r="G39" s="13">
        <v>0.47916666666666669</v>
      </c>
      <c r="H39" s="2" t="s">
        <v>71</v>
      </c>
      <c r="I39" s="2" t="s">
        <v>54</v>
      </c>
      <c r="J39" s="2">
        <v>28</v>
      </c>
      <c r="K39" s="14">
        <f>VLOOKUP($C39,Sheet1!$A$2:$D$10,4,0)</f>
        <v>2</v>
      </c>
      <c r="L39" s="14" t="str">
        <f>VLOOKUP($C39,Sheet1!$A$2:$E$10,5,0)</f>
        <v>Bin</v>
      </c>
      <c r="M39" s="14">
        <f t="shared" si="7"/>
        <v>14</v>
      </c>
      <c r="N39" s="2"/>
      <c r="O39" s="2" t="s">
        <v>359</v>
      </c>
      <c r="P39" s="2" t="s">
        <v>1910</v>
      </c>
    </row>
    <row r="40" spans="1:16" x14ac:dyDescent="0.25">
      <c r="A40" s="17" t="s">
        <v>1391</v>
      </c>
      <c r="B40" s="2" t="s">
        <v>1348</v>
      </c>
      <c r="C40" s="27" t="s">
        <v>23</v>
      </c>
      <c r="D40" s="2" t="str">
        <f>VLOOKUP($C40,Sheet1!$A$2:$D$10,2,0)</f>
        <v>141186-74360</v>
      </c>
      <c r="E40" s="8" t="s">
        <v>85</v>
      </c>
      <c r="F40" s="12">
        <v>46049</v>
      </c>
      <c r="G40" s="13">
        <v>0.47916666666666669</v>
      </c>
      <c r="H40" s="2" t="s">
        <v>71</v>
      </c>
      <c r="I40" s="2" t="s">
        <v>54</v>
      </c>
      <c r="J40" s="2">
        <v>80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>J40/K40</f>
        <v>2</v>
      </c>
      <c r="O40" s="2" t="s">
        <v>359</v>
      </c>
      <c r="P40" s="2">
        <v>910107171</v>
      </c>
    </row>
    <row r="41" spans="1:16" x14ac:dyDescent="0.25">
      <c r="A41" s="17" t="s">
        <v>1392</v>
      </c>
      <c r="B41" s="2" t="s">
        <v>1358</v>
      </c>
      <c r="C41" s="27" t="s">
        <v>26</v>
      </c>
      <c r="D41" s="2" t="str">
        <f>VLOOKUP($C41,Sheet1!$A$2:$D$10,2,0)</f>
        <v>116040-92240</v>
      </c>
      <c r="E41" s="8" t="s">
        <v>90</v>
      </c>
      <c r="F41" s="12">
        <v>46049</v>
      </c>
      <c r="G41" s="13">
        <v>0.47916666666666669</v>
      </c>
      <c r="H41" s="2" t="s">
        <v>91</v>
      </c>
      <c r="I41" s="2" t="s">
        <v>54</v>
      </c>
      <c r="J41" s="2">
        <v>30</v>
      </c>
      <c r="K41" s="14">
        <f>VLOOKUP($C41,Sheet1!$A$2:$D$10,4,0)</f>
        <v>6</v>
      </c>
      <c r="L41" s="14" t="str">
        <f>VLOOKUP($C41,Sheet1!$A$2:$E$10,5,0)</f>
        <v>Bin</v>
      </c>
      <c r="M41" s="14">
        <f t="shared" ref="M41:M43" si="8">J41/K41</f>
        <v>5</v>
      </c>
      <c r="N41" s="2"/>
      <c r="O41" s="2" t="s">
        <v>359</v>
      </c>
      <c r="P41" s="2" t="s">
        <v>1912</v>
      </c>
    </row>
    <row r="42" spans="1:16" x14ac:dyDescent="0.25">
      <c r="A42" s="17" t="s">
        <v>1392</v>
      </c>
      <c r="B42" s="2" t="s">
        <v>1368</v>
      </c>
      <c r="C42" s="27" t="s">
        <v>32</v>
      </c>
      <c r="D42" s="2" t="str">
        <f>VLOOKUP($C42,Sheet1!$A$2:$D$10,2,0)</f>
        <v>114010-50820</v>
      </c>
      <c r="E42" s="8" t="s">
        <v>98</v>
      </c>
      <c r="F42" s="12">
        <v>46049</v>
      </c>
      <c r="G42" s="13">
        <v>0.47916666666666669</v>
      </c>
      <c r="H42" s="2" t="s">
        <v>91</v>
      </c>
      <c r="I42" s="2" t="s">
        <v>54</v>
      </c>
      <c r="J42" s="2">
        <v>13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si="8"/>
        <v>13</v>
      </c>
      <c r="N42" s="2"/>
      <c r="O42" s="2" t="s">
        <v>359</v>
      </c>
      <c r="P42" s="2" t="s">
        <v>420</v>
      </c>
    </row>
    <row r="43" spans="1:16" x14ac:dyDescent="0.25">
      <c r="A43" s="17" t="s">
        <v>1392</v>
      </c>
      <c r="B43" s="2" t="s">
        <v>1378</v>
      </c>
      <c r="C43" s="27" t="s">
        <v>29</v>
      </c>
      <c r="D43" s="2" t="str">
        <f>VLOOKUP($C43,Sheet1!$A$2:$D$10,2,0)</f>
        <v>114010-50830</v>
      </c>
      <c r="E43" s="8" t="s">
        <v>98</v>
      </c>
      <c r="F43" s="12">
        <v>46049</v>
      </c>
      <c r="G43" s="13">
        <v>0.47916666666666669</v>
      </c>
      <c r="H43" s="2" t="s">
        <v>91</v>
      </c>
      <c r="I43" s="2" t="s">
        <v>54</v>
      </c>
      <c r="J43" s="2">
        <v>15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8"/>
        <v>15</v>
      </c>
      <c r="N43" s="2"/>
      <c r="O43" s="2" t="s">
        <v>359</v>
      </c>
      <c r="P43" s="2" t="s">
        <v>1912</v>
      </c>
    </row>
    <row r="44" spans="1:16" s="11" customForma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>
        <v>61</v>
      </c>
      <c r="N44" s="10">
        <v>5</v>
      </c>
      <c r="O44" s="10"/>
      <c r="P44" s="10"/>
    </row>
    <row r="45" spans="1:16" x14ac:dyDescent="0.25">
      <c r="A45" s="17" t="s">
        <v>1393</v>
      </c>
      <c r="B45" s="2" t="s">
        <v>1299</v>
      </c>
      <c r="C45" s="27" t="s">
        <v>5</v>
      </c>
      <c r="D45" s="2" t="str">
        <f>VLOOKUP($C45,Sheet1!$A$2:$D$10,2,0)</f>
        <v>141110-14600</v>
      </c>
      <c r="E45" s="8" t="s">
        <v>52</v>
      </c>
      <c r="F45" s="12">
        <v>46049</v>
      </c>
      <c r="G45" s="13">
        <v>0.5625</v>
      </c>
      <c r="H45" s="2" t="s">
        <v>53</v>
      </c>
      <c r="I45" s="2" t="s">
        <v>54</v>
      </c>
      <c r="J45" s="2">
        <v>54</v>
      </c>
      <c r="K45" s="14">
        <f>VLOOKUP($C45,Sheet1!$A$2:$D$10,4,0)</f>
        <v>18</v>
      </c>
      <c r="L45" s="14" t="str">
        <f>VLOOKUP($C45,Sheet1!$A$2:$E$10,5,0)</f>
        <v>Trolley (H)</v>
      </c>
      <c r="M45" s="14"/>
      <c r="N45" s="52">
        <v>3</v>
      </c>
      <c r="O45" s="2" t="s">
        <v>122</v>
      </c>
      <c r="P45" s="2" t="s">
        <v>1922</v>
      </c>
    </row>
    <row r="46" spans="1:16" x14ac:dyDescent="0.25">
      <c r="A46" s="17" t="s">
        <v>1393</v>
      </c>
      <c r="B46" s="2" t="s">
        <v>1309</v>
      </c>
      <c r="C46" s="27" t="s">
        <v>9</v>
      </c>
      <c r="D46" s="2" t="str">
        <f>VLOOKUP($C46,Sheet1!$A$2:$D$10,2,0)</f>
        <v>141120-14600</v>
      </c>
      <c r="E46" s="8" t="s">
        <v>60</v>
      </c>
      <c r="F46" s="12">
        <v>46049</v>
      </c>
      <c r="G46" s="13">
        <v>0.5625</v>
      </c>
      <c r="H46" s="2" t="s">
        <v>53</v>
      </c>
      <c r="I46" s="2" t="s">
        <v>54</v>
      </c>
      <c r="J46" s="2">
        <v>54</v>
      </c>
      <c r="K46" s="14">
        <f>VLOOKUP($C46,Sheet1!$A$2:$D$10,4,0)</f>
        <v>18</v>
      </c>
      <c r="L46" s="14" t="str">
        <f>VLOOKUP($C46,Sheet1!$A$2:$E$10,5,0)</f>
        <v>Trolley (H)</v>
      </c>
      <c r="M46" s="14"/>
      <c r="N46" s="53"/>
      <c r="O46" s="2" t="s">
        <v>122</v>
      </c>
      <c r="P46" s="2" t="s">
        <v>1922</v>
      </c>
    </row>
    <row r="47" spans="1:16" x14ac:dyDescent="0.25">
      <c r="A47" s="17" t="s">
        <v>1393</v>
      </c>
      <c r="B47" s="2" t="s">
        <v>1319</v>
      </c>
      <c r="C47" s="27" t="s">
        <v>12</v>
      </c>
      <c r="D47" s="2" t="str">
        <f>VLOOKUP($C47,Sheet1!$A$2:$D$10,2,0)</f>
        <v>141185-74670</v>
      </c>
      <c r="E47" s="8" t="s">
        <v>66</v>
      </c>
      <c r="F47" s="12">
        <v>46049</v>
      </c>
      <c r="G47" s="13">
        <v>0.5625</v>
      </c>
      <c r="H47" s="2" t="s">
        <v>53</v>
      </c>
      <c r="I47" s="2" t="s">
        <v>54</v>
      </c>
      <c r="J47" s="2">
        <v>80</v>
      </c>
      <c r="K47" s="14">
        <f>VLOOKUP($C47,Sheet1!$A$2:$D$10,4,0)</f>
        <v>40</v>
      </c>
      <c r="L47" s="14" t="str">
        <f>VLOOKUP($C47,Sheet1!$A$2:$E$10,5,0)</f>
        <v>Trolley</v>
      </c>
      <c r="M47" s="14"/>
      <c r="N47" s="2">
        <f>J47/K47</f>
        <v>2</v>
      </c>
      <c r="O47" s="2" t="s">
        <v>122</v>
      </c>
      <c r="P47" s="2">
        <v>910107272</v>
      </c>
    </row>
    <row r="48" spans="1:16" x14ac:dyDescent="0.25">
      <c r="A48" s="17" t="s">
        <v>1393</v>
      </c>
      <c r="B48" s="2" t="s">
        <v>1329</v>
      </c>
      <c r="C48" s="27" t="s">
        <v>16</v>
      </c>
      <c r="D48" s="2" t="str">
        <f>VLOOKUP($C48,Sheet1!$A$2:$D$10,2,0)</f>
        <v>141140-91211</v>
      </c>
      <c r="E48" s="8" t="s">
        <v>70</v>
      </c>
      <c r="F48" s="12">
        <v>46049</v>
      </c>
      <c r="G48" s="13">
        <v>0.5625</v>
      </c>
      <c r="H48" s="2" t="s">
        <v>71</v>
      </c>
      <c r="I48" s="2" t="s">
        <v>54</v>
      </c>
      <c r="J48" s="2">
        <v>42</v>
      </c>
      <c r="K48" s="14">
        <f>VLOOKUP($C48,Sheet1!$A$2:$D$10,4,0)</f>
        <v>2</v>
      </c>
      <c r="L48" s="14" t="str">
        <f>VLOOKUP($C48,Sheet1!$A$2:$E$10,5,0)</f>
        <v>Bin</v>
      </c>
      <c r="M48" s="14">
        <f t="shared" ref="M48:M49" si="9">J48/K48</f>
        <v>21</v>
      </c>
      <c r="N48" s="2"/>
      <c r="O48" s="2" t="s">
        <v>122</v>
      </c>
      <c r="P48" s="2" t="s">
        <v>724</v>
      </c>
    </row>
    <row r="49" spans="1:16" x14ac:dyDescent="0.25">
      <c r="A49" s="17" t="s">
        <v>1393</v>
      </c>
      <c r="B49" s="2" t="s">
        <v>1339</v>
      </c>
      <c r="C49" s="27" t="s">
        <v>20</v>
      </c>
      <c r="D49" s="2" t="str">
        <f>VLOOKUP($C49,Sheet1!$A$2:$D$10,2,0)</f>
        <v>141150-91211</v>
      </c>
      <c r="E49" s="8" t="s">
        <v>78</v>
      </c>
      <c r="F49" s="12">
        <v>46049</v>
      </c>
      <c r="G49" s="13">
        <v>0.5625</v>
      </c>
      <c r="H49" s="2" t="s">
        <v>71</v>
      </c>
      <c r="I49" s="2" t="s">
        <v>54</v>
      </c>
      <c r="J49" s="2">
        <v>42</v>
      </c>
      <c r="K49" s="14">
        <f>VLOOKUP($C49,Sheet1!$A$2:$D$10,4,0)</f>
        <v>2</v>
      </c>
      <c r="L49" s="14" t="str">
        <f>VLOOKUP($C49,Sheet1!$A$2:$E$10,5,0)</f>
        <v>Bin</v>
      </c>
      <c r="M49" s="14">
        <f t="shared" si="9"/>
        <v>21</v>
      </c>
      <c r="N49" s="2"/>
      <c r="O49" s="2" t="s">
        <v>122</v>
      </c>
      <c r="P49" s="2" t="s">
        <v>1910</v>
      </c>
    </row>
    <row r="50" spans="1:16" x14ac:dyDescent="0.25">
      <c r="A50" s="17" t="s">
        <v>1393</v>
      </c>
      <c r="B50" s="2" t="s">
        <v>1349</v>
      </c>
      <c r="C50" s="27" t="s">
        <v>23</v>
      </c>
      <c r="D50" s="2" t="str">
        <f>VLOOKUP($C50,Sheet1!$A$2:$D$10,2,0)</f>
        <v>141186-74360</v>
      </c>
      <c r="E50" s="8" t="s">
        <v>85</v>
      </c>
      <c r="F50" s="12">
        <v>46049</v>
      </c>
      <c r="G50" s="13">
        <v>0.5625</v>
      </c>
      <c r="H50" s="2" t="s">
        <v>71</v>
      </c>
      <c r="I50" s="2" t="s">
        <v>54</v>
      </c>
      <c r="J50" s="2">
        <v>80</v>
      </c>
      <c r="K50" s="14">
        <f>VLOOKUP($C50,Sheet1!$A$2:$D$10,4,0)</f>
        <v>40</v>
      </c>
      <c r="L50" s="14" t="str">
        <f>VLOOKUP($C50,Sheet1!$A$2:$E$10,5,0)</f>
        <v>Trolley</v>
      </c>
      <c r="M50" s="14"/>
      <c r="N50" s="2">
        <f>J50/K50</f>
        <v>2</v>
      </c>
      <c r="O50" s="2" t="s">
        <v>122</v>
      </c>
      <c r="P50" s="2">
        <v>910107171</v>
      </c>
    </row>
    <row r="51" spans="1:16" x14ac:dyDescent="0.25">
      <c r="A51" s="17" t="s">
        <v>1394</v>
      </c>
      <c r="B51" s="2" t="s">
        <v>1359</v>
      </c>
      <c r="C51" s="27" t="s">
        <v>26</v>
      </c>
      <c r="D51" s="2" t="str">
        <f>VLOOKUP($C51,Sheet1!$A$2:$D$10,2,0)</f>
        <v>116040-92240</v>
      </c>
      <c r="E51" s="8" t="s">
        <v>90</v>
      </c>
      <c r="F51" s="12">
        <v>46049</v>
      </c>
      <c r="G51" s="13">
        <v>0.5625</v>
      </c>
      <c r="H51" s="2" t="s">
        <v>91</v>
      </c>
      <c r="I51" s="2" t="s">
        <v>54</v>
      </c>
      <c r="J51" s="2">
        <v>42</v>
      </c>
      <c r="K51" s="14">
        <f>VLOOKUP($C51,Sheet1!$A$2:$D$10,4,0)</f>
        <v>6</v>
      </c>
      <c r="L51" s="14" t="str">
        <f>VLOOKUP($C51,Sheet1!$A$2:$E$10,5,0)</f>
        <v>Bin</v>
      </c>
      <c r="M51" s="14">
        <f t="shared" ref="M51:M53" si="10">J51/K51</f>
        <v>7</v>
      </c>
      <c r="N51" s="2"/>
      <c r="O51" s="2" t="s">
        <v>122</v>
      </c>
      <c r="P51" s="2" t="s">
        <v>1912</v>
      </c>
    </row>
    <row r="52" spans="1:16" x14ac:dyDescent="0.25">
      <c r="A52" s="17" t="s">
        <v>1394</v>
      </c>
      <c r="B52" s="2" t="s">
        <v>1369</v>
      </c>
      <c r="C52" s="27" t="s">
        <v>32</v>
      </c>
      <c r="D52" s="2" t="str">
        <f>VLOOKUP($C52,Sheet1!$A$2:$D$10,2,0)</f>
        <v>114010-50820</v>
      </c>
      <c r="E52" s="8" t="s">
        <v>98</v>
      </c>
      <c r="F52" s="12">
        <v>46049</v>
      </c>
      <c r="G52" s="13">
        <v>0.5625</v>
      </c>
      <c r="H52" s="2" t="s">
        <v>91</v>
      </c>
      <c r="I52" s="2" t="s">
        <v>54</v>
      </c>
      <c r="J52" s="2">
        <v>29</v>
      </c>
      <c r="K52" s="14">
        <f>VLOOKUP($C52,Sheet1!$A$2:$D$10,4,0)</f>
        <v>1</v>
      </c>
      <c r="L52" s="14" t="str">
        <f>VLOOKUP($C52,Sheet1!$A$2:$E$10,5,0)</f>
        <v>Bin</v>
      </c>
      <c r="M52" s="14">
        <f t="shared" si="10"/>
        <v>29</v>
      </c>
      <c r="N52" s="2"/>
      <c r="O52" s="2" t="s">
        <v>122</v>
      </c>
      <c r="P52" s="2" t="s">
        <v>420</v>
      </c>
    </row>
    <row r="53" spans="1:16" x14ac:dyDescent="0.25">
      <c r="A53" s="17" t="s">
        <v>1394</v>
      </c>
      <c r="B53" s="2" t="s">
        <v>1379</v>
      </c>
      <c r="C53" s="27" t="s">
        <v>29</v>
      </c>
      <c r="D53" s="2" t="str">
        <f>VLOOKUP($C53,Sheet1!$A$2:$D$10,2,0)</f>
        <v>114010-50830</v>
      </c>
      <c r="E53" s="8" t="s">
        <v>98</v>
      </c>
      <c r="F53" s="12">
        <v>46049</v>
      </c>
      <c r="G53" s="13">
        <v>0.5625</v>
      </c>
      <c r="H53" s="2" t="s">
        <v>91</v>
      </c>
      <c r="I53" s="2" t="s">
        <v>54</v>
      </c>
      <c r="J53" s="2">
        <v>13</v>
      </c>
      <c r="K53" s="14">
        <f>VLOOKUP($C53,Sheet1!$A$2:$D$10,4,0)</f>
        <v>1</v>
      </c>
      <c r="L53" s="14" t="str">
        <f>VLOOKUP($C53,Sheet1!$A$2:$E$10,5,0)</f>
        <v>Bin</v>
      </c>
      <c r="M53" s="14">
        <f t="shared" si="10"/>
        <v>13</v>
      </c>
      <c r="N53" s="2"/>
      <c r="O53" s="2" t="s">
        <v>122</v>
      </c>
      <c r="P53" s="2" t="s">
        <v>1912</v>
      </c>
    </row>
    <row r="54" spans="1:16" s="11" customForma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>
        <v>91</v>
      </c>
      <c r="N54" s="10">
        <v>7</v>
      </c>
      <c r="O54" s="10"/>
      <c r="P54" s="10"/>
    </row>
    <row r="55" spans="1:16" x14ac:dyDescent="0.25">
      <c r="A55" s="17" t="s">
        <v>1385</v>
      </c>
      <c r="B55" s="2" t="s">
        <v>1300</v>
      </c>
      <c r="C55" s="27" t="s">
        <v>5</v>
      </c>
      <c r="D55" s="2" t="str">
        <f>VLOOKUP($C55,Sheet1!$A$2:$D$10,2,0)</f>
        <v>141110-14600</v>
      </c>
      <c r="E55" s="8" t="s">
        <v>52</v>
      </c>
      <c r="F55" s="12">
        <v>46049</v>
      </c>
      <c r="G55" s="13">
        <v>0.6875</v>
      </c>
      <c r="H55" s="2" t="s">
        <v>53</v>
      </c>
      <c r="I55" s="2" t="s">
        <v>54</v>
      </c>
      <c r="J55" s="2">
        <v>36</v>
      </c>
      <c r="K55" s="14">
        <f>VLOOKUP($C55,Sheet1!$A$2:$D$10,4,0)</f>
        <v>18</v>
      </c>
      <c r="L55" s="14" t="str">
        <f>VLOOKUP($C55,Sheet1!$A$2:$E$10,5,0)</f>
        <v>Trolley (H)</v>
      </c>
      <c r="M55" s="14"/>
      <c r="N55" s="52">
        <v>2</v>
      </c>
      <c r="O55" s="2" t="s">
        <v>119</v>
      </c>
      <c r="P55" s="2" t="s">
        <v>1922</v>
      </c>
    </row>
    <row r="56" spans="1:16" x14ac:dyDescent="0.25">
      <c r="A56" s="17" t="s">
        <v>1385</v>
      </c>
      <c r="B56" s="2" t="s">
        <v>1310</v>
      </c>
      <c r="C56" s="27" t="s">
        <v>9</v>
      </c>
      <c r="D56" s="2" t="str">
        <f>VLOOKUP($C56,Sheet1!$A$2:$D$10,2,0)</f>
        <v>141120-14600</v>
      </c>
      <c r="E56" s="8" t="s">
        <v>60</v>
      </c>
      <c r="F56" s="12">
        <v>46049</v>
      </c>
      <c r="G56" s="13">
        <v>0.6875</v>
      </c>
      <c r="H56" s="2" t="s">
        <v>53</v>
      </c>
      <c r="I56" s="2" t="s">
        <v>54</v>
      </c>
      <c r="J56" s="2">
        <v>36</v>
      </c>
      <c r="K56" s="14">
        <f>VLOOKUP($C56,Sheet1!$A$2:$D$10,4,0)</f>
        <v>18</v>
      </c>
      <c r="L56" s="14" t="str">
        <f>VLOOKUP($C56,Sheet1!$A$2:$E$10,5,0)</f>
        <v>Trolley (H)</v>
      </c>
      <c r="M56" s="14"/>
      <c r="N56" s="53"/>
      <c r="O56" s="2" t="s">
        <v>119</v>
      </c>
      <c r="P56" s="2" t="s">
        <v>1922</v>
      </c>
    </row>
    <row r="57" spans="1:16" x14ac:dyDescent="0.25">
      <c r="A57" s="17" t="s">
        <v>1385</v>
      </c>
      <c r="B57" s="2" t="s">
        <v>1320</v>
      </c>
      <c r="C57" s="27" t="s">
        <v>12</v>
      </c>
      <c r="D57" s="2" t="str">
        <f>VLOOKUP($C57,Sheet1!$A$2:$D$10,2,0)</f>
        <v>141185-74670</v>
      </c>
      <c r="E57" s="8" t="s">
        <v>66</v>
      </c>
      <c r="F57" s="12">
        <v>46049</v>
      </c>
      <c r="G57" s="13">
        <v>0.6875</v>
      </c>
      <c r="H57" s="2" t="s">
        <v>53</v>
      </c>
      <c r="I57" s="2" t="s">
        <v>54</v>
      </c>
      <c r="J57" s="2">
        <v>80</v>
      </c>
      <c r="K57" s="14">
        <f>VLOOKUP($C57,Sheet1!$A$2:$D$10,4,0)</f>
        <v>40</v>
      </c>
      <c r="L57" s="14" t="str">
        <f>VLOOKUP($C57,Sheet1!$A$2:$E$10,5,0)</f>
        <v>Trolley</v>
      </c>
      <c r="M57" s="14"/>
      <c r="N57" s="2">
        <f>J57/K57</f>
        <v>2</v>
      </c>
      <c r="O57" s="2" t="s">
        <v>119</v>
      </c>
      <c r="P57" s="2">
        <v>910107272</v>
      </c>
    </row>
    <row r="58" spans="1:16" x14ac:dyDescent="0.25">
      <c r="A58" s="17" t="s">
        <v>1385</v>
      </c>
      <c r="B58" s="2" t="s">
        <v>1330</v>
      </c>
      <c r="C58" s="27" t="s">
        <v>16</v>
      </c>
      <c r="D58" s="2" t="str">
        <f>VLOOKUP($C58,Sheet1!$A$2:$D$10,2,0)</f>
        <v>141140-91211</v>
      </c>
      <c r="E58" s="8" t="s">
        <v>70</v>
      </c>
      <c r="F58" s="12">
        <v>46049</v>
      </c>
      <c r="G58" s="13">
        <v>0.6875</v>
      </c>
      <c r="H58" s="2" t="s">
        <v>71</v>
      </c>
      <c r="I58" s="2" t="s">
        <v>54</v>
      </c>
      <c r="J58" s="2">
        <v>42</v>
      </c>
      <c r="K58" s="14">
        <f>VLOOKUP($C58,Sheet1!$A$2:$D$10,4,0)</f>
        <v>2</v>
      </c>
      <c r="L58" s="14" t="str">
        <f>VLOOKUP($C58,Sheet1!$A$2:$E$10,5,0)</f>
        <v>Bin</v>
      </c>
      <c r="M58" s="14">
        <f t="shared" ref="M58:M59" si="11">J58/K58</f>
        <v>21</v>
      </c>
      <c r="N58" s="2"/>
      <c r="O58" s="2" t="s">
        <v>119</v>
      </c>
      <c r="P58" s="2" t="s">
        <v>724</v>
      </c>
    </row>
    <row r="59" spans="1:16" x14ac:dyDescent="0.25">
      <c r="A59" s="17" t="s">
        <v>1385</v>
      </c>
      <c r="B59" s="2" t="s">
        <v>1340</v>
      </c>
      <c r="C59" s="27" t="s">
        <v>20</v>
      </c>
      <c r="D59" s="2" t="str">
        <f>VLOOKUP($C59,Sheet1!$A$2:$D$10,2,0)</f>
        <v>141150-91211</v>
      </c>
      <c r="E59" s="8" t="s">
        <v>78</v>
      </c>
      <c r="F59" s="12">
        <v>46049</v>
      </c>
      <c r="G59" s="13">
        <v>0.6875</v>
      </c>
      <c r="H59" s="2" t="s">
        <v>71</v>
      </c>
      <c r="I59" s="2" t="s">
        <v>54</v>
      </c>
      <c r="J59" s="2">
        <v>42</v>
      </c>
      <c r="K59" s="14">
        <f>VLOOKUP($C59,Sheet1!$A$2:$D$10,4,0)</f>
        <v>2</v>
      </c>
      <c r="L59" s="14" t="str">
        <f>VLOOKUP($C59,Sheet1!$A$2:$E$10,5,0)</f>
        <v>Bin</v>
      </c>
      <c r="M59" s="14">
        <f t="shared" si="11"/>
        <v>21</v>
      </c>
      <c r="N59" s="2"/>
      <c r="O59" s="2" t="s">
        <v>119</v>
      </c>
      <c r="P59" s="2" t="s">
        <v>1910</v>
      </c>
    </row>
    <row r="60" spans="1:16" x14ac:dyDescent="0.25">
      <c r="A60" s="17" t="s">
        <v>1385</v>
      </c>
      <c r="B60" s="2" t="s">
        <v>1350</v>
      </c>
      <c r="C60" s="27" t="s">
        <v>23</v>
      </c>
      <c r="D60" s="2" t="str">
        <f>VLOOKUP($C60,Sheet1!$A$2:$D$10,2,0)</f>
        <v>141186-74360</v>
      </c>
      <c r="E60" s="8" t="s">
        <v>85</v>
      </c>
      <c r="F60" s="12">
        <v>46049</v>
      </c>
      <c r="G60" s="13">
        <v>0.6875</v>
      </c>
      <c r="H60" s="2" t="s">
        <v>71</v>
      </c>
      <c r="I60" s="2" t="s">
        <v>54</v>
      </c>
      <c r="J60" s="2">
        <v>80</v>
      </c>
      <c r="K60" s="14">
        <f>VLOOKUP($C60,Sheet1!$A$2:$D$10,4,0)</f>
        <v>40</v>
      </c>
      <c r="L60" s="14" t="str">
        <f>VLOOKUP($C60,Sheet1!$A$2:$E$10,5,0)</f>
        <v>Trolley</v>
      </c>
      <c r="M60" s="14"/>
      <c r="N60" s="2">
        <f>J60/K60</f>
        <v>2</v>
      </c>
      <c r="O60" s="2" t="s">
        <v>119</v>
      </c>
      <c r="P60" s="2">
        <v>910107171</v>
      </c>
    </row>
    <row r="61" spans="1:16" x14ac:dyDescent="0.25">
      <c r="A61" s="17" t="s">
        <v>1395</v>
      </c>
      <c r="B61" s="2" t="s">
        <v>1360</v>
      </c>
      <c r="C61" s="27" t="s">
        <v>26</v>
      </c>
      <c r="D61" s="2" t="str">
        <f>VLOOKUP($C61,Sheet1!$A$2:$D$10,2,0)</f>
        <v>116040-92240</v>
      </c>
      <c r="E61" s="8" t="s">
        <v>90</v>
      </c>
      <c r="F61" s="12">
        <v>46049</v>
      </c>
      <c r="G61" s="13">
        <v>0.6875</v>
      </c>
      <c r="H61" s="2" t="s">
        <v>91</v>
      </c>
      <c r="I61" s="2" t="s">
        <v>54</v>
      </c>
      <c r="J61" s="2">
        <v>42</v>
      </c>
      <c r="K61" s="14">
        <f>VLOOKUP($C61,Sheet1!$A$2:$D$10,4,0)</f>
        <v>6</v>
      </c>
      <c r="L61" s="14" t="str">
        <f>VLOOKUP($C61,Sheet1!$A$2:$E$10,5,0)</f>
        <v>Bin</v>
      </c>
      <c r="M61" s="14">
        <f t="shared" ref="M61:M63" si="12">J61/K61</f>
        <v>7</v>
      </c>
      <c r="N61" s="2"/>
      <c r="O61" s="2" t="s">
        <v>119</v>
      </c>
      <c r="P61" s="2" t="s">
        <v>1912</v>
      </c>
    </row>
    <row r="62" spans="1:16" x14ac:dyDescent="0.25">
      <c r="A62" s="17" t="s">
        <v>1395</v>
      </c>
      <c r="B62" s="2" t="s">
        <v>1370</v>
      </c>
      <c r="C62" s="27" t="s">
        <v>32</v>
      </c>
      <c r="D62" s="2" t="str">
        <f>VLOOKUP($C62,Sheet1!$A$2:$D$10,2,0)</f>
        <v>114010-50820</v>
      </c>
      <c r="E62" s="8" t="s">
        <v>98</v>
      </c>
      <c r="F62" s="12">
        <v>46049</v>
      </c>
      <c r="G62" s="13">
        <v>0.6875</v>
      </c>
      <c r="H62" s="2" t="s">
        <v>91</v>
      </c>
      <c r="I62" s="2" t="s">
        <v>54</v>
      </c>
      <c r="J62" s="2">
        <v>19</v>
      </c>
      <c r="K62" s="14">
        <f>VLOOKUP($C62,Sheet1!$A$2:$D$10,4,0)</f>
        <v>1</v>
      </c>
      <c r="L62" s="14" t="str">
        <f>VLOOKUP($C62,Sheet1!$A$2:$E$10,5,0)</f>
        <v>Bin</v>
      </c>
      <c r="M62" s="14">
        <f t="shared" si="12"/>
        <v>19</v>
      </c>
      <c r="N62" s="2"/>
      <c r="O62" s="2" t="s">
        <v>119</v>
      </c>
      <c r="P62" s="2" t="s">
        <v>420</v>
      </c>
    </row>
    <row r="63" spans="1:16" x14ac:dyDescent="0.25">
      <c r="A63" s="17" t="s">
        <v>1395</v>
      </c>
      <c r="B63" s="2" t="s">
        <v>1380</v>
      </c>
      <c r="C63" s="27" t="s">
        <v>29</v>
      </c>
      <c r="D63" s="2" t="str">
        <f>VLOOKUP($C63,Sheet1!$A$2:$D$10,2,0)</f>
        <v>114010-50830</v>
      </c>
      <c r="E63" s="8" t="s">
        <v>98</v>
      </c>
      <c r="F63" s="12">
        <v>46049</v>
      </c>
      <c r="G63" s="13">
        <v>0.6875</v>
      </c>
      <c r="H63" s="2" t="s">
        <v>91</v>
      </c>
      <c r="I63" s="2" t="s">
        <v>54</v>
      </c>
      <c r="J63" s="2">
        <v>23</v>
      </c>
      <c r="K63" s="14">
        <f>VLOOKUP($C63,Sheet1!$A$2:$D$10,4,0)</f>
        <v>1</v>
      </c>
      <c r="L63" s="14" t="str">
        <f>VLOOKUP($C63,Sheet1!$A$2:$E$10,5,0)</f>
        <v>Bin</v>
      </c>
      <c r="M63" s="14">
        <f t="shared" si="12"/>
        <v>23</v>
      </c>
      <c r="N63" s="2"/>
      <c r="O63" s="2" t="s">
        <v>119</v>
      </c>
      <c r="P63" s="2" t="s">
        <v>1912</v>
      </c>
    </row>
    <row r="64" spans="1:16" x14ac:dyDescent="0.25">
      <c r="A64" s="17" t="s">
        <v>1416</v>
      </c>
      <c r="B64" s="2" t="s">
        <v>1411</v>
      </c>
      <c r="C64" s="27" t="s">
        <v>5</v>
      </c>
      <c r="D64" s="2" t="str">
        <f>VLOOKUP($C64,Sheet1!$A$2:$D$10,2,0)</f>
        <v>141110-14600</v>
      </c>
      <c r="E64" s="8"/>
      <c r="F64" s="12">
        <v>46049</v>
      </c>
      <c r="G64" s="23" t="s">
        <v>224</v>
      </c>
      <c r="H64" s="2" t="s">
        <v>91</v>
      </c>
      <c r="I64" s="2"/>
      <c r="J64" s="2">
        <v>1</v>
      </c>
      <c r="K64" s="14">
        <v>1</v>
      </c>
      <c r="L64" s="48" t="s">
        <v>1415</v>
      </c>
      <c r="M64" s="14">
        <v>1</v>
      </c>
      <c r="N64" s="2"/>
      <c r="O64" s="2" t="s">
        <v>119</v>
      </c>
      <c r="P64" s="2"/>
    </row>
    <row r="65" spans="1:16" x14ac:dyDescent="0.25">
      <c r="A65" s="17" t="s">
        <v>1416</v>
      </c>
      <c r="B65" s="2" t="s">
        <v>1412</v>
      </c>
      <c r="C65" s="27" t="s">
        <v>9</v>
      </c>
      <c r="D65" s="2" t="str">
        <f>VLOOKUP($C65,Sheet1!$A$2:$D$10,2,0)</f>
        <v>141120-14600</v>
      </c>
      <c r="E65" s="8"/>
      <c r="F65" s="12">
        <v>46049</v>
      </c>
      <c r="G65" s="23" t="s">
        <v>224</v>
      </c>
      <c r="H65" s="2" t="s">
        <v>91</v>
      </c>
      <c r="I65" s="2"/>
      <c r="J65" s="2">
        <v>1</v>
      </c>
      <c r="K65" s="14">
        <v>1</v>
      </c>
      <c r="L65" s="48" t="s">
        <v>1415</v>
      </c>
      <c r="M65" s="14">
        <v>1</v>
      </c>
      <c r="N65" s="2"/>
      <c r="O65" s="2" t="s">
        <v>119</v>
      </c>
      <c r="P65" s="2"/>
    </row>
    <row r="66" spans="1:16" x14ac:dyDescent="0.25">
      <c r="A66" s="17" t="s">
        <v>1416</v>
      </c>
      <c r="B66" s="2" t="s">
        <v>1413</v>
      </c>
      <c r="C66" s="27" t="s">
        <v>12</v>
      </c>
      <c r="D66" s="2" t="str">
        <f>VLOOKUP($C66,Sheet1!$A$2:$D$10,2,0)</f>
        <v>141185-74670</v>
      </c>
      <c r="E66" s="8"/>
      <c r="F66" s="12">
        <v>46049</v>
      </c>
      <c r="G66" s="23" t="s">
        <v>224</v>
      </c>
      <c r="H66" s="2" t="s">
        <v>91</v>
      </c>
      <c r="I66" s="2"/>
      <c r="J66" s="2">
        <v>2</v>
      </c>
      <c r="K66" s="14">
        <v>1</v>
      </c>
      <c r="L66" s="48" t="s">
        <v>1415</v>
      </c>
      <c r="M66" s="14">
        <v>2</v>
      </c>
      <c r="N66" s="2"/>
      <c r="O66" s="2" t="s">
        <v>119</v>
      </c>
      <c r="P66" s="2"/>
    </row>
    <row r="67" spans="1:16" x14ac:dyDescent="0.25">
      <c r="A67" s="17" t="s">
        <v>1416</v>
      </c>
      <c r="B67" s="2" t="s">
        <v>1414</v>
      </c>
      <c r="C67" s="27" t="s">
        <v>23</v>
      </c>
      <c r="D67" s="2" t="str">
        <f>VLOOKUP($C67,Sheet1!$A$2:$D$10,2,0)</f>
        <v>141186-74360</v>
      </c>
      <c r="E67" s="8"/>
      <c r="F67" s="12">
        <v>46049</v>
      </c>
      <c r="G67" s="23" t="s">
        <v>224</v>
      </c>
      <c r="H67" s="2" t="s">
        <v>91</v>
      </c>
      <c r="I67" s="2"/>
      <c r="J67" s="2">
        <v>2</v>
      </c>
      <c r="K67" s="14">
        <v>1</v>
      </c>
      <c r="L67" s="48" t="s">
        <v>1415</v>
      </c>
      <c r="M67" s="14">
        <v>2</v>
      </c>
      <c r="N67" s="2"/>
      <c r="O67" s="2" t="s">
        <v>119</v>
      </c>
      <c r="P67" s="2"/>
    </row>
    <row r="68" spans="1:16" s="11" customForma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91</v>
      </c>
      <c r="N68" s="10">
        <v>6</v>
      </c>
      <c r="O68" s="10"/>
      <c r="P68" s="10"/>
    </row>
    <row r="69" spans="1:16" x14ac:dyDescent="0.25">
      <c r="A69" s="17" t="s">
        <v>1417</v>
      </c>
      <c r="B69" s="2" t="s">
        <v>1301</v>
      </c>
      <c r="C69" s="27" t="s">
        <v>5</v>
      </c>
      <c r="D69" s="2" t="str">
        <f>VLOOKUP($C69,Sheet1!$A$2:$D$10,2,0)</f>
        <v>141110-14600</v>
      </c>
      <c r="E69" s="8" t="s">
        <v>52</v>
      </c>
      <c r="F69" s="12">
        <v>46049</v>
      </c>
      <c r="G69" s="13">
        <v>0.8125</v>
      </c>
      <c r="H69" s="2" t="s">
        <v>53</v>
      </c>
      <c r="I69" s="2" t="s">
        <v>54</v>
      </c>
      <c r="J69" s="2">
        <v>36</v>
      </c>
      <c r="K69" s="14">
        <f>VLOOKUP($C69,Sheet1!$A$2:$D$10,4,0)</f>
        <v>18</v>
      </c>
      <c r="L69" s="14" t="str">
        <f>VLOOKUP($C69,Sheet1!$A$2:$E$10,5,0)</f>
        <v>Trolley (H)</v>
      </c>
      <c r="M69" s="14"/>
      <c r="N69" s="52">
        <v>2</v>
      </c>
      <c r="O69" s="2" t="s">
        <v>121</v>
      </c>
      <c r="P69" s="2" t="s">
        <v>1922</v>
      </c>
    </row>
    <row r="70" spans="1:16" x14ac:dyDescent="0.25">
      <c r="A70" s="17" t="s">
        <v>1417</v>
      </c>
      <c r="B70" s="2" t="s">
        <v>1311</v>
      </c>
      <c r="C70" s="27" t="s">
        <v>9</v>
      </c>
      <c r="D70" s="2" t="str">
        <f>VLOOKUP($C70,Sheet1!$A$2:$D$10,2,0)</f>
        <v>141120-14600</v>
      </c>
      <c r="E70" s="8" t="s">
        <v>60</v>
      </c>
      <c r="F70" s="12">
        <v>46049</v>
      </c>
      <c r="G70" s="13">
        <v>0.8125</v>
      </c>
      <c r="H70" s="2" t="s">
        <v>53</v>
      </c>
      <c r="I70" s="2" t="s">
        <v>54</v>
      </c>
      <c r="J70" s="2">
        <v>36</v>
      </c>
      <c r="K70" s="14">
        <f>VLOOKUP($C70,Sheet1!$A$2:$D$10,4,0)</f>
        <v>18</v>
      </c>
      <c r="L70" s="14" t="str">
        <f>VLOOKUP($C70,Sheet1!$A$2:$E$10,5,0)</f>
        <v>Trolley (H)</v>
      </c>
      <c r="M70" s="14"/>
      <c r="N70" s="53"/>
      <c r="O70" s="2" t="s">
        <v>121</v>
      </c>
      <c r="P70" s="2" t="s">
        <v>1922</v>
      </c>
    </row>
    <row r="71" spans="1:16" x14ac:dyDescent="0.25">
      <c r="A71" s="17" t="s">
        <v>1417</v>
      </c>
      <c r="B71" s="2" t="s">
        <v>1321</v>
      </c>
      <c r="C71" s="27" t="s">
        <v>12</v>
      </c>
      <c r="D71" s="2" t="str">
        <f>VLOOKUP($C71,Sheet1!$A$2:$D$10,2,0)</f>
        <v>141185-74670</v>
      </c>
      <c r="E71" s="8" t="s">
        <v>66</v>
      </c>
      <c r="F71" s="12">
        <v>46049</v>
      </c>
      <c r="G71" s="13">
        <v>0.8125</v>
      </c>
      <c r="H71" s="2" t="s">
        <v>53</v>
      </c>
      <c r="I71" s="2" t="s">
        <v>54</v>
      </c>
      <c r="J71" s="2">
        <v>80</v>
      </c>
      <c r="K71" s="14">
        <f>VLOOKUP($C71,Sheet1!$A$2:$D$10,4,0)</f>
        <v>40</v>
      </c>
      <c r="L71" s="14" t="str">
        <f>VLOOKUP($C71,Sheet1!$A$2:$E$10,5,0)</f>
        <v>Trolley</v>
      </c>
      <c r="M71" s="14"/>
      <c r="N71" s="2">
        <f>J71/K71</f>
        <v>2</v>
      </c>
      <c r="O71" s="2" t="s">
        <v>121</v>
      </c>
      <c r="P71" s="2">
        <v>910107272</v>
      </c>
    </row>
    <row r="72" spans="1:16" x14ac:dyDescent="0.25">
      <c r="A72" s="17" t="s">
        <v>1417</v>
      </c>
      <c r="B72" s="2" t="s">
        <v>1331</v>
      </c>
      <c r="C72" s="27" t="s">
        <v>16</v>
      </c>
      <c r="D72" s="2" t="str">
        <f>VLOOKUP($C72,Sheet1!$A$2:$D$10,2,0)</f>
        <v>141140-91211</v>
      </c>
      <c r="E72" s="8" t="s">
        <v>70</v>
      </c>
      <c r="F72" s="12">
        <v>46049</v>
      </c>
      <c r="G72" s="13">
        <v>0.8125</v>
      </c>
      <c r="H72" s="2" t="s">
        <v>71</v>
      </c>
      <c r="I72" s="2" t="s">
        <v>54</v>
      </c>
      <c r="J72" s="2">
        <v>42</v>
      </c>
      <c r="K72" s="14">
        <f>VLOOKUP($C72,Sheet1!$A$2:$D$10,4,0)</f>
        <v>2</v>
      </c>
      <c r="L72" s="14" t="str">
        <f>VLOOKUP($C72,Sheet1!$A$2:$E$10,5,0)</f>
        <v>Bin</v>
      </c>
      <c r="M72" s="14">
        <f t="shared" ref="M72:M73" si="13">J72/K72</f>
        <v>21</v>
      </c>
      <c r="N72" s="2"/>
      <c r="O72" s="2" t="s">
        <v>121</v>
      </c>
      <c r="P72" s="2" t="s">
        <v>1910</v>
      </c>
    </row>
    <row r="73" spans="1:16" x14ac:dyDescent="0.25">
      <c r="A73" s="17" t="s">
        <v>1417</v>
      </c>
      <c r="B73" s="2" t="s">
        <v>1341</v>
      </c>
      <c r="C73" s="27" t="s">
        <v>20</v>
      </c>
      <c r="D73" s="2" t="str">
        <f>VLOOKUP($C73,Sheet1!$A$2:$D$10,2,0)</f>
        <v>141150-91211</v>
      </c>
      <c r="E73" s="8" t="s">
        <v>78</v>
      </c>
      <c r="F73" s="12">
        <v>46049</v>
      </c>
      <c r="G73" s="13">
        <v>0.8125</v>
      </c>
      <c r="H73" s="2" t="s">
        <v>71</v>
      </c>
      <c r="I73" s="2" t="s">
        <v>54</v>
      </c>
      <c r="J73" s="2">
        <v>42</v>
      </c>
      <c r="K73" s="14">
        <f>VLOOKUP($C73,Sheet1!$A$2:$D$10,4,0)</f>
        <v>2</v>
      </c>
      <c r="L73" s="14" t="str">
        <f>VLOOKUP($C73,Sheet1!$A$2:$E$10,5,0)</f>
        <v>Bin</v>
      </c>
      <c r="M73" s="14">
        <f t="shared" si="13"/>
        <v>21</v>
      </c>
      <c r="N73" s="2"/>
      <c r="O73" s="2" t="s">
        <v>121</v>
      </c>
      <c r="P73" s="2" t="s">
        <v>724</v>
      </c>
    </row>
    <row r="74" spans="1:16" x14ac:dyDescent="0.25">
      <c r="A74" s="17" t="s">
        <v>1417</v>
      </c>
      <c r="B74" s="2" t="s">
        <v>1351</v>
      </c>
      <c r="C74" s="27" t="s">
        <v>23</v>
      </c>
      <c r="D74" s="2" t="str">
        <f>VLOOKUP($C74,Sheet1!$A$2:$D$10,2,0)</f>
        <v>141186-74360</v>
      </c>
      <c r="E74" s="8" t="s">
        <v>85</v>
      </c>
      <c r="F74" s="12">
        <v>46049</v>
      </c>
      <c r="G74" s="13">
        <v>0.8125</v>
      </c>
      <c r="H74" s="2" t="s">
        <v>71</v>
      </c>
      <c r="I74" s="2" t="s">
        <v>54</v>
      </c>
      <c r="J74" s="2">
        <v>80</v>
      </c>
      <c r="K74" s="14">
        <f>VLOOKUP($C74,Sheet1!$A$2:$D$10,4,0)</f>
        <v>40</v>
      </c>
      <c r="L74" s="14" t="str">
        <f>VLOOKUP($C74,Sheet1!$A$2:$E$10,5,0)</f>
        <v>Trolley</v>
      </c>
      <c r="M74" s="14"/>
      <c r="N74" s="2">
        <f>J74/K74</f>
        <v>2</v>
      </c>
      <c r="O74" s="2" t="s">
        <v>121</v>
      </c>
      <c r="P74" s="2">
        <v>910107171</v>
      </c>
    </row>
    <row r="75" spans="1:16" x14ac:dyDescent="0.25">
      <c r="A75" s="17" t="s">
        <v>1418</v>
      </c>
      <c r="B75" s="2" t="s">
        <v>1361</v>
      </c>
      <c r="C75" s="27" t="s">
        <v>26</v>
      </c>
      <c r="D75" s="2" t="str">
        <f>VLOOKUP($C75,Sheet1!$A$2:$D$10,2,0)</f>
        <v>116040-92240</v>
      </c>
      <c r="E75" s="8" t="s">
        <v>90</v>
      </c>
      <c r="F75" s="12">
        <v>46049</v>
      </c>
      <c r="G75" s="13">
        <v>0.8125</v>
      </c>
      <c r="H75" s="2" t="s">
        <v>91</v>
      </c>
      <c r="I75" s="2" t="s">
        <v>54</v>
      </c>
      <c r="J75" s="2">
        <v>42</v>
      </c>
      <c r="K75" s="14">
        <f>VLOOKUP($C75,Sheet1!$A$2:$D$10,4,0)</f>
        <v>6</v>
      </c>
      <c r="L75" s="14" t="str">
        <f>VLOOKUP($C75,Sheet1!$A$2:$E$10,5,0)</f>
        <v>Bin</v>
      </c>
      <c r="M75" s="14">
        <f t="shared" ref="M75:M77" si="14">J75/K75</f>
        <v>7</v>
      </c>
      <c r="N75" s="2"/>
      <c r="O75" s="2" t="s">
        <v>121</v>
      </c>
      <c r="P75" s="2" t="s">
        <v>1912</v>
      </c>
    </row>
    <row r="76" spans="1:16" x14ac:dyDescent="0.25">
      <c r="A76" s="17" t="s">
        <v>1418</v>
      </c>
      <c r="B76" s="2" t="s">
        <v>1371</v>
      </c>
      <c r="C76" s="27" t="s">
        <v>32</v>
      </c>
      <c r="D76" s="2" t="str">
        <f>VLOOKUP($C76,Sheet1!$A$2:$D$10,2,0)</f>
        <v>114010-50820</v>
      </c>
      <c r="E76" s="8" t="s">
        <v>98</v>
      </c>
      <c r="F76" s="12">
        <v>46049</v>
      </c>
      <c r="G76" s="13">
        <v>0.8125</v>
      </c>
      <c r="H76" s="2" t="s">
        <v>91</v>
      </c>
      <c r="I76" s="2" t="s">
        <v>54</v>
      </c>
      <c r="J76" s="2">
        <v>13</v>
      </c>
      <c r="K76" s="14">
        <f>VLOOKUP($C76,Sheet1!$A$2:$D$10,4,0)</f>
        <v>1</v>
      </c>
      <c r="L76" s="14" t="str">
        <f>VLOOKUP($C76,Sheet1!$A$2:$E$10,5,0)</f>
        <v>Bin</v>
      </c>
      <c r="M76" s="14">
        <f t="shared" si="14"/>
        <v>13</v>
      </c>
      <c r="N76" s="2"/>
      <c r="O76" s="2" t="s">
        <v>121</v>
      </c>
      <c r="P76" s="2" t="s">
        <v>420</v>
      </c>
    </row>
    <row r="77" spans="1:16" x14ac:dyDescent="0.25">
      <c r="A77" s="17" t="s">
        <v>1418</v>
      </c>
      <c r="B77" s="2" t="s">
        <v>1381</v>
      </c>
      <c r="C77" s="27" t="s">
        <v>29</v>
      </c>
      <c r="D77" s="2" t="str">
        <f>VLOOKUP($C77,Sheet1!$A$2:$D$10,2,0)</f>
        <v>114010-50830</v>
      </c>
      <c r="E77" s="8" t="s">
        <v>98</v>
      </c>
      <c r="F77" s="12">
        <v>46049</v>
      </c>
      <c r="G77" s="13">
        <v>0.8125</v>
      </c>
      <c r="H77" s="2" t="s">
        <v>91</v>
      </c>
      <c r="I77" s="2" t="s">
        <v>54</v>
      </c>
      <c r="J77" s="2">
        <v>29</v>
      </c>
      <c r="K77" s="14">
        <f>VLOOKUP($C77,Sheet1!$A$2:$D$10,4,0)</f>
        <v>1</v>
      </c>
      <c r="L77" s="14" t="str">
        <f>VLOOKUP($C77,Sheet1!$A$2:$E$10,5,0)</f>
        <v>Bin</v>
      </c>
      <c r="M77" s="14">
        <f t="shared" si="14"/>
        <v>29</v>
      </c>
      <c r="N77" s="2"/>
      <c r="O77" s="2" t="s">
        <v>121</v>
      </c>
      <c r="P77" s="2" t="s">
        <v>1912</v>
      </c>
    </row>
    <row r="78" spans="1:16" s="11" customForma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>
        <v>91</v>
      </c>
      <c r="N78" s="10">
        <v>6</v>
      </c>
      <c r="O78" s="10"/>
      <c r="P78" s="10"/>
    </row>
    <row r="79" spans="1:16" x14ac:dyDescent="0.25">
      <c r="A79" s="17" t="s">
        <v>1419</v>
      </c>
      <c r="B79" s="2" t="s">
        <v>1302</v>
      </c>
      <c r="C79" s="27" t="s">
        <v>5</v>
      </c>
      <c r="D79" s="2" t="str">
        <f>VLOOKUP($C79,Sheet1!$A$2:$D$10,2,0)</f>
        <v>141110-14600</v>
      </c>
      <c r="E79" s="8" t="s">
        <v>52</v>
      </c>
      <c r="F79" s="12">
        <v>46049</v>
      </c>
      <c r="G79" s="13">
        <v>0.9375</v>
      </c>
      <c r="H79" s="2" t="s">
        <v>53</v>
      </c>
      <c r="I79" s="2" t="s">
        <v>54</v>
      </c>
      <c r="J79" s="2">
        <v>36</v>
      </c>
      <c r="K79" s="14">
        <f>VLOOKUP($C79,Sheet1!$A$2:$D$10,4,0)</f>
        <v>18</v>
      </c>
      <c r="L79" s="14" t="str">
        <f>VLOOKUP($C79,Sheet1!$A$2:$E$10,5,0)</f>
        <v>Trolley (H)</v>
      </c>
      <c r="M79" s="14"/>
      <c r="N79" s="52">
        <v>2</v>
      </c>
      <c r="O79" s="2" t="s">
        <v>359</v>
      </c>
      <c r="P79" s="2" t="s">
        <v>1922</v>
      </c>
    </row>
    <row r="80" spans="1:16" x14ac:dyDescent="0.25">
      <c r="A80" s="17" t="s">
        <v>1419</v>
      </c>
      <c r="B80" s="2" t="s">
        <v>1312</v>
      </c>
      <c r="C80" s="27" t="s">
        <v>9</v>
      </c>
      <c r="D80" s="2" t="str">
        <f>VLOOKUP($C80,Sheet1!$A$2:$D$10,2,0)</f>
        <v>141120-14600</v>
      </c>
      <c r="E80" s="8" t="s">
        <v>60</v>
      </c>
      <c r="F80" s="12">
        <v>46049</v>
      </c>
      <c r="G80" s="13">
        <v>0.9375</v>
      </c>
      <c r="H80" s="2" t="s">
        <v>53</v>
      </c>
      <c r="I80" s="2" t="s">
        <v>54</v>
      </c>
      <c r="J80" s="2">
        <v>36</v>
      </c>
      <c r="K80" s="14">
        <f>VLOOKUP($C80,Sheet1!$A$2:$D$10,4,0)</f>
        <v>18</v>
      </c>
      <c r="L80" s="14" t="str">
        <f>VLOOKUP($C80,Sheet1!$A$2:$E$10,5,0)</f>
        <v>Trolley (H)</v>
      </c>
      <c r="M80" s="14"/>
      <c r="N80" s="53"/>
      <c r="O80" s="2" t="s">
        <v>359</v>
      </c>
      <c r="P80" s="2" t="s">
        <v>1922</v>
      </c>
    </row>
    <row r="81" spans="1:16" x14ac:dyDescent="0.25">
      <c r="A81" s="17" t="s">
        <v>1419</v>
      </c>
      <c r="B81" s="2" t="s">
        <v>1322</v>
      </c>
      <c r="C81" s="27" t="s">
        <v>12</v>
      </c>
      <c r="D81" s="2" t="str">
        <f>VLOOKUP($C81,Sheet1!$A$2:$D$10,2,0)</f>
        <v>141185-74670</v>
      </c>
      <c r="E81" s="8" t="s">
        <v>66</v>
      </c>
      <c r="F81" s="12">
        <v>46049</v>
      </c>
      <c r="G81" s="13">
        <v>0.9375</v>
      </c>
      <c r="H81" s="2" t="s">
        <v>53</v>
      </c>
      <c r="I81" s="2" t="s">
        <v>54</v>
      </c>
      <c r="J81" s="2">
        <v>40</v>
      </c>
      <c r="K81" s="14">
        <f>VLOOKUP($C81,Sheet1!$A$2:$D$10,4,0)</f>
        <v>40</v>
      </c>
      <c r="L81" s="14" t="str">
        <f>VLOOKUP($C81,Sheet1!$A$2:$E$10,5,0)</f>
        <v>Trolley</v>
      </c>
      <c r="M81" s="14"/>
      <c r="N81" s="2">
        <f>J81/K81</f>
        <v>1</v>
      </c>
      <c r="O81" s="2" t="s">
        <v>359</v>
      </c>
      <c r="P81" s="2">
        <v>910107272</v>
      </c>
    </row>
    <row r="82" spans="1:16" x14ac:dyDescent="0.25">
      <c r="A82" s="17" t="s">
        <v>1419</v>
      </c>
      <c r="B82" s="2" t="s">
        <v>1332</v>
      </c>
      <c r="C82" s="27" t="s">
        <v>16</v>
      </c>
      <c r="D82" s="2" t="str">
        <f>VLOOKUP($C82,Sheet1!$A$2:$D$10,2,0)</f>
        <v>141140-91211</v>
      </c>
      <c r="E82" s="8" t="s">
        <v>70</v>
      </c>
      <c r="F82" s="12">
        <v>46049</v>
      </c>
      <c r="G82" s="13">
        <v>0.9375</v>
      </c>
      <c r="H82" s="2" t="s">
        <v>71</v>
      </c>
      <c r="I82" s="2" t="s">
        <v>54</v>
      </c>
      <c r="J82" s="2">
        <v>28</v>
      </c>
      <c r="K82" s="14">
        <f>VLOOKUP($C82,Sheet1!$A$2:$D$10,4,0)</f>
        <v>2</v>
      </c>
      <c r="L82" s="14" t="str">
        <f>VLOOKUP($C82,Sheet1!$A$2:$E$10,5,0)</f>
        <v>Bin</v>
      </c>
      <c r="M82" s="14">
        <f t="shared" ref="M82:M83" si="15">J82/K82</f>
        <v>14</v>
      </c>
      <c r="N82" s="2"/>
      <c r="O82" s="2" t="s">
        <v>359</v>
      </c>
      <c r="P82" s="2" t="s">
        <v>724</v>
      </c>
    </row>
    <row r="83" spans="1:16" x14ac:dyDescent="0.25">
      <c r="A83" s="17" t="s">
        <v>1419</v>
      </c>
      <c r="B83" s="2" t="s">
        <v>1342</v>
      </c>
      <c r="C83" s="27" t="s">
        <v>20</v>
      </c>
      <c r="D83" s="2" t="str">
        <f>VLOOKUP($C83,Sheet1!$A$2:$D$10,2,0)</f>
        <v>141150-91211</v>
      </c>
      <c r="E83" s="8" t="s">
        <v>78</v>
      </c>
      <c r="F83" s="12">
        <v>46049</v>
      </c>
      <c r="G83" s="13">
        <v>0.9375</v>
      </c>
      <c r="H83" s="2" t="s">
        <v>71</v>
      </c>
      <c r="I83" s="2" t="s">
        <v>54</v>
      </c>
      <c r="J83" s="2">
        <v>28</v>
      </c>
      <c r="K83" s="14">
        <f>VLOOKUP($C83,Sheet1!$A$2:$D$10,4,0)</f>
        <v>2</v>
      </c>
      <c r="L83" s="14" t="str">
        <f>VLOOKUP($C83,Sheet1!$A$2:$E$10,5,0)</f>
        <v>Bin</v>
      </c>
      <c r="M83" s="14">
        <f t="shared" si="15"/>
        <v>14</v>
      </c>
      <c r="N83" s="2"/>
      <c r="O83" s="2" t="s">
        <v>359</v>
      </c>
      <c r="P83" s="2" t="s">
        <v>1927</v>
      </c>
    </row>
    <row r="84" spans="1:16" x14ac:dyDescent="0.25">
      <c r="A84" s="17" t="s">
        <v>1419</v>
      </c>
      <c r="B84" s="2" t="s">
        <v>1352</v>
      </c>
      <c r="C84" s="27" t="s">
        <v>23</v>
      </c>
      <c r="D84" s="2" t="str">
        <f>VLOOKUP($C84,Sheet1!$A$2:$D$10,2,0)</f>
        <v>141186-74360</v>
      </c>
      <c r="E84" s="8" t="s">
        <v>85</v>
      </c>
      <c r="F84" s="12">
        <v>46049</v>
      </c>
      <c r="G84" s="13">
        <v>0.9375</v>
      </c>
      <c r="H84" s="2" t="s">
        <v>71</v>
      </c>
      <c r="I84" s="2" t="s">
        <v>54</v>
      </c>
      <c r="J84" s="2">
        <v>40</v>
      </c>
      <c r="K84" s="14">
        <f>VLOOKUP($C84,Sheet1!$A$2:$D$10,4,0)</f>
        <v>40</v>
      </c>
      <c r="L84" s="14" t="str">
        <f>VLOOKUP($C84,Sheet1!$A$2:$E$10,5,0)</f>
        <v>Trolley</v>
      </c>
      <c r="M84" s="14"/>
      <c r="N84" s="2">
        <f>J84/K84</f>
        <v>1</v>
      </c>
      <c r="O84" s="2" t="s">
        <v>359</v>
      </c>
      <c r="P84" s="2">
        <v>910107171</v>
      </c>
    </row>
    <row r="85" spans="1:16" x14ac:dyDescent="0.25">
      <c r="A85" s="17" t="s">
        <v>1420</v>
      </c>
      <c r="B85" s="2" t="s">
        <v>1362</v>
      </c>
      <c r="C85" s="27" t="s">
        <v>26</v>
      </c>
      <c r="D85" s="2" t="str">
        <f>VLOOKUP($C85,Sheet1!$A$2:$D$10,2,0)</f>
        <v>116040-92240</v>
      </c>
      <c r="E85" s="8" t="s">
        <v>90</v>
      </c>
      <c r="F85" s="12">
        <v>46049</v>
      </c>
      <c r="G85" s="13">
        <v>0.9375</v>
      </c>
      <c r="H85" s="2" t="s">
        <v>91</v>
      </c>
      <c r="I85" s="2" t="s">
        <v>54</v>
      </c>
      <c r="J85" s="2">
        <v>30</v>
      </c>
      <c r="K85" s="14">
        <f>VLOOKUP($C85,Sheet1!$A$2:$D$10,4,0)</f>
        <v>6</v>
      </c>
      <c r="L85" s="14" t="str">
        <f>VLOOKUP($C85,Sheet1!$A$2:$E$10,5,0)</f>
        <v>Bin</v>
      </c>
      <c r="M85" s="14">
        <f t="shared" ref="M85:M87" si="16">J85/K85</f>
        <v>5</v>
      </c>
      <c r="N85" s="2"/>
      <c r="O85" s="2" t="s">
        <v>359</v>
      </c>
      <c r="P85" s="2" t="s">
        <v>1912</v>
      </c>
    </row>
    <row r="86" spans="1:16" x14ac:dyDescent="0.25">
      <c r="A86" s="17" t="s">
        <v>1420</v>
      </c>
      <c r="B86" s="2" t="s">
        <v>1372</v>
      </c>
      <c r="C86" s="27" t="s">
        <v>32</v>
      </c>
      <c r="D86" s="2" t="str">
        <f>VLOOKUP($C86,Sheet1!$A$2:$D$10,2,0)</f>
        <v>114010-50820</v>
      </c>
      <c r="E86" s="8" t="s">
        <v>98</v>
      </c>
      <c r="F86" s="12">
        <v>46049</v>
      </c>
      <c r="G86" s="13">
        <v>0.9375</v>
      </c>
      <c r="H86" s="2" t="s">
        <v>91</v>
      </c>
      <c r="I86" s="2" t="s">
        <v>54</v>
      </c>
      <c r="J86" s="2">
        <v>20</v>
      </c>
      <c r="K86" s="14">
        <f>VLOOKUP($C86,Sheet1!$A$2:$D$10,4,0)</f>
        <v>1</v>
      </c>
      <c r="L86" s="14" t="str">
        <f>VLOOKUP($C86,Sheet1!$A$2:$E$10,5,0)</f>
        <v>Bin</v>
      </c>
      <c r="M86" s="14">
        <f t="shared" si="16"/>
        <v>20</v>
      </c>
      <c r="N86" s="2"/>
      <c r="O86" s="2" t="s">
        <v>359</v>
      </c>
      <c r="P86" s="2" t="s">
        <v>420</v>
      </c>
    </row>
    <row r="87" spans="1:16" x14ac:dyDescent="0.25">
      <c r="A87" s="17" t="s">
        <v>1420</v>
      </c>
      <c r="B87" s="2" t="s">
        <v>1382</v>
      </c>
      <c r="C87" s="27" t="s">
        <v>29</v>
      </c>
      <c r="D87" s="2" t="str">
        <f>VLOOKUP($C87,Sheet1!$A$2:$D$10,2,0)</f>
        <v>114010-50830</v>
      </c>
      <c r="E87" s="8" t="s">
        <v>98</v>
      </c>
      <c r="F87" s="12">
        <v>46049</v>
      </c>
      <c r="G87" s="13">
        <v>0.9375</v>
      </c>
      <c r="H87" s="2" t="s">
        <v>91</v>
      </c>
      <c r="I87" s="2" t="s">
        <v>54</v>
      </c>
      <c r="J87" s="2">
        <v>8</v>
      </c>
      <c r="K87" s="14">
        <f>VLOOKUP($C87,Sheet1!$A$2:$D$10,4,0)</f>
        <v>1</v>
      </c>
      <c r="L87" s="14" t="str">
        <f>VLOOKUP($C87,Sheet1!$A$2:$E$10,5,0)</f>
        <v>Bin</v>
      </c>
      <c r="M87" s="14">
        <f t="shared" si="16"/>
        <v>8</v>
      </c>
      <c r="N87" s="2"/>
      <c r="O87" s="2" t="s">
        <v>359</v>
      </c>
      <c r="P87" s="2" t="s">
        <v>1912</v>
      </c>
    </row>
    <row r="88" spans="1:16" s="11" customForma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>
        <v>61</v>
      </c>
      <c r="N88" s="10">
        <v>4</v>
      </c>
      <c r="O88" s="10"/>
      <c r="P88" s="10"/>
    </row>
    <row r="89" spans="1:16" x14ac:dyDescent="0.25">
      <c r="A89" s="17" t="s">
        <v>1421</v>
      </c>
      <c r="B89" s="2" t="s">
        <v>1303</v>
      </c>
      <c r="C89" s="27" t="s">
        <v>5</v>
      </c>
      <c r="D89" s="2" t="str">
        <f>VLOOKUP($C89,Sheet1!$A$2:$D$10,2,0)</f>
        <v>141110-14600</v>
      </c>
      <c r="E89" s="8" t="s">
        <v>52</v>
      </c>
      <c r="F89" s="12">
        <v>46050</v>
      </c>
      <c r="G89" s="13">
        <v>2.0833333333333332E-2</v>
      </c>
      <c r="H89" s="2" t="s">
        <v>53</v>
      </c>
      <c r="I89" s="2" t="s">
        <v>54</v>
      </c>
      <c r="J89" s="2">
        <v>36</v>
      </c>
      <c r="K89" s="14">
        <f>VLOOKUP($C89,Sheet1!$A$2:$D$10,4,0)</f>
        <v>18</v>
      </c>
      <c r="L89" s="14" t="str">
        <f>VLOOKUP($C89,Sheet1!$A$2:$E$10,5,0)</f>
        <v>Trolley (H)</v>
      </c>
      <c r="M89" s="14"/>
      <c r="N89" s="52">
        <v>2</v>
      </c>
      <c r="O89" s="2" t="s">
        <v>122</v>
      </c>
      <c r="P89" s="2" t="s">
        <v>1922</v>
      </c>
    </row>
    <row r="90" spans="1:16" x14ac:dyDescent="0.25">
      <c r="A90" s="17" t="s">
        <v>1421</v>
      </c>
      <c r="B90" s="2" t="s">
        <v>1313</v>
      </c>
      <c r="C90" s="27" t="s">
        <v>9</v>
      </c>
      <c r="D90" s="2" t="str">
        <f>VLOOKUP($C90,Sheet1!$A$2:$D$10,2,0)</f>
        <v>141120-14600</v>
      </c>
      <c r="E90" s="8" t="s">
        <v>60</v>
      </c>
      <c r="F90" s="12">
        <v>46050</v>
      </c>
      <c r="G90" s="13">
        <v>2.0833333333333332E-2</v>
      </c>
      <c r="H90" s="2" t="s">
        <v>53</v>
      </c>
      <c r="I90" s="2" t="s">
        <v>54</v>
      </c>
      <c r="J90" s="2">
        <v>36</v>
      </c>
      <c r="K90" s="14">
        <f>VLOOKUP($C90,Sheet1!$A$2:$D$10,4,0)</f>
        <v>18</v>
      </c>
      <c r="L90" s="14" t="str">
        <f>VLOOKUP($C90,Sheet1!$A$2:$E$10,5,0)</f>
        <v>Trolley (H)</v>
      </c>
      <c r="M90" s="14"/>
      <c r="N90" s="53"/>
      <c r="O90" s="2" t="s">
        <v>122</v>
      </c>
      <c r="P90" s="2" t="s">
        <v>1928</v>
      </c>
    </row>
    <row r="91" spans="1:16" x14ac:dyDescent="0.25">
      <c r="A91" s="17" t="s">
        <v>1421</v>
      </c>
      <c r="B91" s="2" t="s">
        <v>1323</v>
      </c>
      <c r="C91" s="27" t="s">
        <v>12</v>
      </c>
      <c r="D91" s="2" t="str">
        <f>VLOOKUP($C91,Sheet1!$A$2:$D$10,2,0)</f>
        <v>141185-74670</v>
      </c>
      <c r="E91" s="8" t="s">
        <v>66</v>
      </c>
      <c r="F91" s="12">
        <v>46050</v>
      </c>
      <c r="G91" s="13">
        <v>2.0833333333333332E-2</v>
      </c>
      <c r="H91" s="2" t="s">
        <v>53</v>
      </c>
      <c r="I91" s="2" t="s">
        <v>54</v>
      </c>
      <c r="J91" s="2">
        <v>80</v>
      </c>
      <c r="K91" s="14">
        <f>VLOOKUP($C91,Sheet1!$A$2:$D$10,4,0)</f>
        <v>40</v>
      </c>
      <c r="L91" s="14" t="str">
        <f>VLOOKUP($C91,Sheet1!$A$2:$E$10,5,0)</f>
        <v>Trolley</v>
      </c>
      <c r="M91" s="14"/>
      <c r="N91" s="2">
        <f>J91/K91</f>
        <v>2</v>
      </c>
      <c r="O91" s="2" t="s">
        <v>122</v>
      </c>
      <c r="P91" s="2">
        <v>910107272</v>
      </c>
    </row>
    <row r="92" spans="1:16" x14ac:dyDescent="0.25">
      <c r="A92" s="17" t="s">
        <v>1421</v>
      </c>
      <c r="B92" s="2" t="s">
        <v>1333</v>
      </c>
      <c r="C92" s="27" t="s">
        <v>16</v>
      </c>
      <c r="D92" s="2" t="str">
        <f>VLOOKUP($C92,Sheet1!$A$2:$D$10,2,0)</f>
        <v>141140-91211</v>
      </c>
      <c r="E92" s="8" t="s">
        <v>70</v>
      </c>
      <c r="F92" s="12">
        <v>46050</v>
      </c>
      <c r="G92" s="13">
        <v>2.0833333333333332E-2</v>
      </c>
      <c r="H92" s="2" t="s">
        <v>71</v>
      </c>
      <c r="I92" s="2" t="s">
        <v>54</v>
      </c>
      <c r="J92" s="2">
        <v>42</v>
      </c>
      <c r="K92" s="14">
        <f>VLOOKUP($C92,Sheet1!$A$2:$D$10,4,0)</f>
        <v>2</v>
      </c>
      <c r="L92" s="14" t="str">
        <f>VLOOKUP($C92,Sheet1!$A$2:$E$10,5,0)</f>
        <v>Bin</v>
      </c>
      <c r="M92" s="14">
        <f t="shared" ref="M92:M93" si="17">J92/K92</f>
        <v>21</v>
      </c>
      <c r="N92" s="2"/>
      <c r="O92" s="2" t="s">
        <v>122</v>
      </c>
      <c r="P92" s="2" t="s">
        <v>724</v>
      </c>
    </row>
    <row r="93" spans="1:16" x14ac:dyDescent="0.25">
      <c r="A93" s="17" t="s">
        <v>1421</v>
      </c>
      <c r="B93" s="2" t="s">
        <v>1343</v>
      </c>
      <c r="C93" s="27" t="s">
        <v>20</v>
      </c>
      <c r="D93" s="2" t="str">
        <f>VLOOKUP($C93,Sheet1!$A$2:$D$10,2,0)</f>
        <v>141150-91211</v>
      </c>
      <c r="E93" s="8" t="s">
        <v>78</v>
      </c>
      <c r="F93" s="12">
        <v>46050</v>
      </c>
      <c r="G93" s="13">
        <v>2.0833333333333332E-2</v>
      </c>
      <c r="H93" s="2" t="s">
        <v>71</v>
      </c>
      <c r="I93" s="2" t="s">
        <v>54</v>
      </c>
      <c r="J93" s="2">
        <v>42</v>
      </c>
      <c r="K93" s="14">
        <f>VLOOKUP($C93,Sheet1!$A$2:$D$10,4,0)</f>
        <v>2</v>
      </c>
      <c r="L93" s="14" t="str">
        <f>VLOOKUP($C93,Sheet1!$A$2:$E$10,5,0)</f>
        <v>Bin</v>
      </c>
      <c r="M93" s="14">
        <f t="shared" si="17"/>
        <v>21</v>
      </c>
      <c r="N93" s="2"/>
      <c r="O93" s="2" t="s">
        <v>122</v>
      </c>
      <c r="P93" s="2" t="s">
        <v>724</v>
      </c>
    </row>
    <row r="94" spans="1:16" x14ac:dyDescent="0.25">
      <c r="A94" s="17" t="s">
        <v>1421</v>
      </c>
      <c r="B94" s="2" t="s">
        <v>1353</v>
      </c>
      <c r="C94" s="27" t="s">
        <v>23</v>
      </c>
      <c r="D94" s="2" t="str">
        <f>VLOOKUP($C94,Sheet1!$A$2:$D$10,2,0)</f>
        <v>141186-74360</v>
      </c>
      <c r="E94" s="8" t="s">
        <v>85</v>
      </c>
      <c r="F94" s="12">
        <v>46050</v>
      </c>
      <c r="G94" s="13">
        <v>2.0833333333333332E-2</v>
      </c>
      <c r="H94" s="2" t="s">
        <v>71</v>
      </c>
      <c r="I94" s="2" t="s">
        <v>54</v>
      </c>
      <c r="J94" s="2">
        <v>80</v>
      </c>
      <c r="K94" s="14">
        <f>VLOOKUP($C94,Sheet1!$A$2:$D$10,4,0)</f>
        <v>40</v>
      </c>
      <c r="L94" s="14" t="str">
        <f>VLOOKUP($C94,Sheet1!$A$2:$E$10,5,0)</f>
        <v>Trolley</v>
      </c>
      <c r="M94" s="14"/>
      <c r="N94" s="2">
        <f>J94/K94</f>
        <v>2</v>
      </c>
      <c r="O94" s="2" t="s">
        <v>122</v>
      </c>
      <c r="P94" s="2">
        <v>910107273</v>
      </c>
    </row>
    <row r="95" spans="1:16" x14ac:dyDescent="0.25">
      <c r="A95" s="17" t="s">
        <v>1422</v>
      </c>
      <c r="B95" s="2" t="s">
        <v>1363</v>
      </c>
      <c r="C95" s="27" t="s">
        <v>26</v>
      </c>
      <c r="D95" s="2" t="str">
        <f>VLOOKUP($C95,Sheet1!$A$2:$D$10,2,0)</f>
        <v>116040-92240</v>
      </c>
      <c r="E95" s="8" t="s">
        <v>90</v>
      </c>
      <c r="F95" s="12">
        <v>46050</v>
      </c>
      <c r="G95" s="13">
        <v>2.0833333333333332E-2</v>
      </c>
      <c r="H95" s="2" t="s">
        <v>91</v>
      </c>
      <c r="I95" s="2" t="s">
        <v>54</v>
      </c>
      <c r="J95" s="2">
        <v>42</v>
      </c>
      <c r="K95" s="14">
        <f>VLOOKUP($C95,Sheet1!$A$2:$D$10,4,0)</f>
        <v>6</v>
      </c>
      <c r="L95" s="14" t="str">
        <f>VLOOKUP($C95,Sheet1!$A$2:$E$10,5,0)</f>
        <v>Bin</v>
      </c>
      <c r="M95" s="14">
        <f t="shared" ref="M95:M97" si="18">J95/K95</f>
        <v>7</v>
      </c>
      <c r="N95" s="2"/>
      <c r="O95" s="2" t="s">
        <v>122</v>
      </c>
      <c r="P95" s="2" t="s">
        <v>1929</v>
      </c>
    </row>
    <row r="96" spans="1:16" x14ac:dyDescent="0.25">
      <c r="A96" s="17" t="s">
        <v>1422</v>
      </c>
      <c r="B96" s="2" t="s">
        <v>1373</v>
      </c>
      <c r="C96" s="27" t="s">
        <v>32</v>
      </c>
      <c r="D96" s="2" t="str">
        <f>VLOOKUP($C96,Sheet1!$A$2:$D$10,2,0)</f>
        <v>114010-50820</v>
      </c>
      <c r="E96" s="8" t="s">
        <v>98</v>
      </c>
      <c r="F96" s="12">
        <v>46050</v>
      </c>
      <c r="G96" s="13">
        <v>2.0833333333333332E-2</v>
      </c>
      <c r="H96" s="2" t="s">
        <v>91</v>
      </c>
      <c r="I96" s="2" t="s">
        <v>54</v>
      </c>
      <c r="J96" s="2">
        <v>25</v>
      </c>
      <c r="K96" s="14">
        <f>VLOOKUP($C96,Sheet1!$A$2:$D$10,4,0)</f>
        <v>1</v>
      </c>
      <c r="L96" s="14" t="str">
        <f>VLOOKUP($C96,Sheet1!$A$2:$E$10,5,0)</f>
        <v>Bin</v>
      </c>
      <c r="M96" s="14">
        <f t="shared" si="18"/>
        <v>25</v>
      </c>
      <c r="N96" s="2"/>
      <c r="O96" s="2" t="s">
        <v>122</v>
      </c>
      <c r="P96" s="2" t="s">
        <v>420</v>
      </c>
    </row>
    <row r="97" spans="1:16" x14ac:dyDescent="0.25">
      <c r="A97" s="17" t="s">
        <v>1422</v>
      </c>
      <c r="B97" s="2" t="s">
        <v>1383</v>
      </c>
      <c r="C97" s="27" t="s">
        <v>29</v>
      </c>
      <c r="D97" s="2" t="str">
        <f>VLOOKUP($C97,Sheet1!$A$2:$D$10,2,0)</f>
        <v>114010-50830</v>
      </c>
      <c r="E97" s="8" t="s">
        <v>98</v>
      </c>
      <c r="F97" s="12">
        <v>46050</v>
      </c>
      <c r="G97" s="13">
        <v>2.0833333333333332E-2</v>
      </c>
      <c r="H97" s="2" t="s">
        <v>91</v>
      </c>
      <c r="I97" s="2" t="s">
        <v>54</v>
      </c>
      <c r="J97" s="2">
        <v>17</v>
      </c>
      <c r="K97" s="14">
        <f>VLOOKUP($C97,Sheet1!$A$2:$D$10,4,0)</f>
        <v>1</v>
      </c>
      <c r="L97" s="14" t="str">
        <f>VLOOKUP($C97,Sheet1!$A$2:$E$10,5,0)</f>
        <v>Bin</v>
      </c>
      <c r="M97" s="14">
        <f t="shared" si="18"/>
        <v>17</v>
      </c>
      <c r="N97" s="2"/>
      <c r="O97" s="2" t="s">
        <v>122</v>
      </c>
      <c r="P97" s="2" t="s">
        <v>1912</v>
      </c>
    </row>
    <row r="98" spans="1:16" s="11" customForma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>
        <v>91</v>
      </c>
      <c r="N98" s="10">
        <v>6</v>
      </c>
      <c r="O98" s="10"/>
      <c r="P98" s="10"/>
    </row>
    <row r="99" spans="1:16" x14ac:dyDescent="0.25">
      <c r="A99" s="17" t="s">
        <v>1423</v>
      </c>
      <c r="B99" s="2" t="s">
        <v>1304</v>
      </c>
      <c r="C99" s="27" t="s">
        <v>5</v>
      </c>
      <c r="D99" s="2" t="str">
        <f>VLOOKUP($C99,Sheet1!$A$2:$D$10,2,0)</f>
        <v>141110-14600</v>
      </c>
      <c r="E99" s="8" t="s">
        <v>52</v>
      </c>
      <c r="F99" s="12">
        <v>46050</v>
      </c>
      <c r="G99" s="13">
        <v>0.14583333333333334</v>
      </c>
      <c r="H99" s="2" t="s">
        <v>53</v>
      </c>
      <c r="I99" s="2" t="s">
        <v>54</v>
      </c>
      <c r="J99" s="2">
        <v>36</v>
      </c>
      <c r="K99" s="14">
        <f>VLOOKUP($C99,Sheet1!$A$2:$D$10,4,0)</f>
        <v>18</v>
      </c>
      <c r="L99" s="14" t="str">
        <f>VLOOKUP($C99,Sheet1!$A$2:$E$10,5,0)</f>
        <v>Trolley (H)</v>
      </c>
      <c r="M99" s="14"/>
      <c r="N99" s="52">
        <v>2</v>
      </c>
      <c r="O99" s="2" t="s">
        <v>119</v>
      </c>
      <c r="P99" s="2" t="s">
        <v>1930</v>
      </c>
    </row>
    <row r="100" spans="1:16" x14ac:dyDescent="0.25">
      <c r="A100" s="17" t="s">
        <v>1423</v>
      </c>
      <c r="B100" s="2" t="s">
        <v>1314</v>
      </c>
      <c r="C100" s="27" t="s">
        <v>9</v>
      </c>
      <c r="D100" s="2" t="str">
        <f>VLOOKUP($C100,Sheet1!$A$2:$D$10,2,0)</f>
        <v>141120-14600</v>
      </c>
      <c r="E100" s="8" t="s">
        <v>60</v>
      </c>
      <c r="F100" s="12">
        <v>46050</v>
      </c>
      <c r="G100" s="13">
        <v>0.14583333333333334</v>
      </c>
      <c r="H100" s="2" t="s">
        <v>53</v>
      </c>
      <c r="I100" s="2" t="s">
        <v>54</v>
      </c>
      <c r="J100" s="2">
        <v>36</v>
      </c>
      <c r="K100" s="14">
        <f>VLOOKUP($C100,Sheet1!$A$2:$D$10,4,0)</f>
        <v>18</v>
      </c>
      <c r="L100" s="14" t="str">
        <f>VLOOKUP($C100,Sheet1!$A$2:$E$10,5,0)</f>
        <v>Trolley (H)</v>
      </c>
      <c r="M100" s="14"/>
      <c r="N100" s="53"/>
      <c r="O100" s="2" t="s">
        <v>119</v>
      </c>
      <c r="P100" s="2" t="s">
        <v>1931</v>
      </c>
    </row>
    <row r="101" spans="1:16" x14ac:dyDescent="0.25">
      <c r="A101" s="17" t="s">
        <v>1423</v>
      </c>
      <c r="B101" s="2" t="s">
        <v>1324</v>
      </c>
      <c r="C101" s="27" t="s">
        <v>12</v>
      </c>
      <c r="D101" s="2" t="str">
        <f>VLOOKUP($C101,Sheet1!$A$2:$D$10,2,0)</f>
        <v>141185-74670</v>
      </c>
      <c r="E101" s="8" t="s">
        <v>66</v>
      </c>
      <c r="F101" s="12">
        <v>46050</v>
      </c>
      <c r="G101" s="13">
        <v>0.14583333333333334</v>
      </c>
      <c r="H101" s="2" t="s">
        <v>53</v>
      </c>
      <c r="I101" s="2" t="s">
        <v>54</v>
      </c>
      <c r="J101" s="2">
        <v>80</v>
      </c>
      <c r="K101" s="14">
        <f>VLOOKUP($C101,Sheet1!$A$2:$D$10,4,0)</f>
        <v>40</v>
      </c>
      <c r="L101" s="14" t="str">
        <f>VLOOKUP($C101,Sheet1!$A$2:$E$10,5,0)</f>
        <v>Trolley</v>
      </c>
      <c r="M101" s="14"/>
      <c r="N101" s="2">
        <f>J101/K101</f>
        <v>2</v>
      </c>
      <c r="O101" s="2" t="s">
        <v>119</v>
      </c>
      <c r="P101" s="2">
        <v>910107272</v>
      </c>
    </row>
    <row r="102" spans="1:16" x14ac:dyDescent="0.25">
      <c r="A102" s="17" t="s">
        <v>1423</v>
      </c>
      <c r="B102" s="2" t="s">
        <v>1334</v>
      </c>
      <c r="C102" s="27" t="s">
        <v>16</v>
      </c>
      <c r="D102" s="2" t="str">
        <f>VLOOKUP($C102,Sheet1!$A$2:$D$10,2,0)</f>
        <v>141140-91211</v>
      </c>
      <c r="E102" s="8" t="s">
        <v>70</v>
      </c>
      <c r="F102" s="12">
        <v>46050</v>
      </c>
      <c r="G102" s="13">
        <v>0.14583333333333334</v>
      </c>
      <c r="H102" s="2" t="s">
        <v>71</v>
      </c>
      <c r="I102" s="2" t="s">
        <v>54</v>
      </c>
      <c r="J102" s="2">
        <v>26</v>
      </c>
      <c r="K102" s="14">
        <f>VLOOKUP($C102,Sheet1!$A$2:$D$10,4,0)</f>
        <v>2</v>
      </c>
      <c r="L102" s="14" t="str">
        <f>VLOOKUP($C102,Sheet1!$A$2:$E$10,5,0)</f>
        <v>Bin</v>
      </c>
      <c r="M102" s="14">
        <f t="shared" ref="M102:M103" si="19">J102/K102</f>
        <v>13</v>
      </c>
      <c r="N102" s="2"/>
      <c r="O102" s="2" t="s">
        <v>119</v>
      </c>
      <c r="P102" s="2" t="s">
        <v>724</v>
      </c>
    </row>
    <row r="103" spans="1:16" x14ac:dyDescent="0.25">
      <c r="A103" s="17" t="s">
        <v>1423</v>
      </c>
      <c r="B103" s="2" t="s">
        <v>1344</v>
      </c>
      <c r="C103" s="27" t="s">
        <v>20</v>
      </c>
      <c r="D103" s="2" t="str">
        <f>VLOOKUP($C103,Sheet1!$A$2:$D$10,2,0)</f>
        <v>141150-91211</v>
      </c>
      <c r="E103" s="8" t="s">
        <v>78</v>
      </c>
      <c r="F103" s="12">
        <v>46050</v>
      </c>
      <c r="G103" s="13">
        <v>0.14583333333333334</v>
      </c>
      <c r="H103" s="2" t="s">
        <v>71</v>
      </c>
      <c r="I103" s="2" t="s">
        <v>54</v>
      </c>
      <c r="J103" s="2">
        <v>26</v>
      </c>
      <c r="K103" s="14">
        <f>VLOOKUP($C103,Sheet1!$A$2:$D$10,4,0)</f>
        <v>2</v>
      </c>
      <c r="L103" s="14" t="str">
        <f>VLOOKUP($C103,Sheet1!$A$2:$E$10,5,0)</f>
        <v>Bin</v>
      </c>
      <c r="M103" s="14">
        <f t="shared" si="19"/>
        <v>13</v>
      </c>
      <c r="N103" s="2"/>
      <c r="O103" s="2" t="s">
        <v>119</v>
      </c>
      <c r="P103" s="2" t="s">
        <v>724</v>
      </c>
    </row>
    <row r="104" spans="1:16" x14ac:dyDescent="0.25">
      <c r="A104" s="17" t="s">
        <v>1423</v>
      </c>
      <c r="B104" s="2" t="s">
        <v>1354</v>
      </c>
      <c r="C104" s="27" t="s">
        <v>23</v>
      </c>
      <c r="D104" s="2" t="str">
        <f>VLOOKUP($C104,Sheet1!$A$2:$D$10,2,0)</f>
        <v>141186-74360</v>
      </c>
      <c r="E104" s="8" t="s">
        <v>85</v>
      </c>
      <c r="F104" s="12">
        <v>46050</v>
      </c>
      <c r="G104" s="13">
        <v>0.14583333333333334</v>
      </c>
      <c r="H104" s="2" t="s">
        <v>71</v>
      </c>
      <c r="I104" s="2" t="s">
        <v>54</v>
      </c>
      <c r="J104" s="2">
        <v>80</v>
      </c>
      <c r="K104" s="14">
        <f>VLOOKUP($C104,Sheet1!$A$2:$D$10,4,0)</f>
        <v>40</v>
      </c>
      <c r="L104" s="14" t="str">
        <f>VLOOKUP($C104,Sheet1!$A$2:$E$10,5,0)</f>
        <v>Trolley</v>
      </c>
      <c r="M104" s="14"/>
      <c r="N104" s="2">
        <f>J104/K104</f>
        <v>2</v>
      </c>
      <c r="O104" s="2" t="s">
        <v>119</v>
      </c>
      <c r="P104" s="2">
        <v>910107273</v>
      </c>
    </row>
    <row r="105" spans="1:16" x14ac:dyDescent="0.25">
      <c r="A105" s="17" t="s">
        <v>1424</v>
      </c>
      <c r="B105" s="2" t="s">
        <v>1364</v>
      </c>
      <c r="C105" s="27" t="s">
        <v>26</v>
      </c>
      <c r="D105" s="2" t="str">
        <f>VLOOKUP($C105,Sheet1!$A$2:$D$10,2,0)</f>
        <v>116040-92240</v>
      </c>
      <c r="E105" s="8" t="s">
        <v>90</v>
      </c>
      <c r="F105" s="12">
        <v>46050</v>
      </c>
      <c r="G105" s="13">
        <v>0.14583333333333334</v>
      </c>
      <c r="H105" s="2" t="s">
        <v>91</v>
      </c>
      <c r="I105" s="2" t="s">
        <v>54</v>
      </c>
      <c r="J105" s="2">
        <v>24</v>
      </c>
      <c r="K105" s="14">
        <f>VLOOKUP($C105,Sheet1!$A$2:$D$10,4,0)</f>
        <v>6</v>
      </c>
      <c r="L105" s="14" t="str">
        <f>VLOOKUP($C105,Sheet1!$A$2:$E$10,5,0)</f>
        <v>Bin</v>
      </c>
      <c r="M105" s="14">
        <f t="shared" ref="M105:M107" si="20">J105/K105</f>
        <v>4</v>
      </c>
      <c r="N105" s="2"/>
      <c r="O105" s="2" t="s">
        <v>119</v>
      </c>
      <c r="P105" s="2" t="s">
        <v>1859</v>
      </c>
    </row>
    <row r="106" spans="1:16" x14ac:dyDescent="0.25">
      <c r="A106" s="17" t="s">
        <v>1424</v>
      </c>
      <c r="B106" s="2" t="s">
        <v>1374</v>
      </c>
      <c r="C106" s="27" t="s">
        <v>32</v>
      </c>
      <c r="D106" s="2" t="str">
        <f>VLOOKUP($C106,Sheet1!$A$2:$D$10,2,0)</f>
        <v>114010-50820</v>
      </c>
      <c r="E106" s="8" t="s">
        <v>98</v>
      </c>
      <c r="F106" s="12">
        <v>46050</v>
      </c>
      <c r="G106" s="13">
        <v>0.14583333333333334</v>
      </c>
      <c r="H106" s="2" t="s">
        <v>91</v>
      </c>
      <c r="I106" s="2" t="s">
        <v>54</v>
      </c>
      <c r="J106" s="2">
        <v>20</v>
      </c>
      <c r="K106" s="14">
        <f>VLOOKUP($C106,Sheet1!$A$2:$D$10,4,0)</f>
        <v>1</v>
      </c>
      <c r="L106" s="14" t="str">
        <f>VLOOKUP($C106,Sheet1!$A$2:$E$10,5,0)</f>
        <v>Bin</v>
      </c>
      <c r="M106" s="14">
        <f t="shared" si="20"/>
        <v>20</v>
      </c>
      <c r="N106" s="2"/>
      <c r="O106" s="2" t="s">
        <v>119</v>
      </c>
      <c r="P106" s="2" t="s">
        <v>420</v>
      </c>
    </row>
    <row r="107" spans="1:16" x14ac:dyDescent="0.25">
      <c r="A107" s="17" t="s">
        <v>1424</v>
      </c>
      <c r="B107" s="2" t="s">
        <v>1384</v>
      </c>
      <c r="C107" s="27" t="s">
        <v>29</v>
      </c>
      <c r="D107" s="2" t="str">
        <f>VLOOKUP($C107,Sheet1!$A$2:$D$10,2,0)</f>
        <v>114010-50830</v>
      </c>
      <c r="E107" s="8" t="s">
        <v>98</v>
      </c>
      <c r="F107" s="12">
        <v>46050</v>
      </c>
      <c r="G107" s="13">
        <v>0.14583333333333334</v>
      </c>
      <c r="H107" s="2" t="s">
        <v>91</v>
      </c>
      <c r="I107" s="2" t="s">
        <v>54</v>
      </c>
      <c r="J107" s="2">
        <v>6</v>
      </c>
      <c r="K107" s="14">
        <f>VLOOKUP($C107,Sheet1!$A$2:$D$10,4,0)</f>
        <v>1</v>
      </c>
      <c r="L107" s="14" t="str">
        <f>VLOOKUP($C107,Sheet1!$A$2:$E$10,5,0)</f>
        <v>Bin</v>
      </c>
      <c r="M107" s="14">
        <f t="shared" si="20"/>
        <v>6</v>
      </c>
      <c r="N107" s="2"/>
      <c r="O107" s="2" t="s">
        <v>119</v>
      </c>
      <c r="P107" s="2" t="s">
        <v>1912</v>
      </c>
    </row>
    <row r="108" spans="1:16" s="11" customForma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>
        <v>56</v>
      </c>
      <c r="N108" s="10">
        <v>6</v>
      </c>
      <c r="O108" s="10"/>
      <c r="P108" s="10"/>
    </row>
  </sheetData>
  <autoFilter ref="A3:P108" xr:uid="{44CB8BBE-F5EC-46A5-93AC-8ACFE1922643}"/>
  <mergeCells count="13">
    <mergeCell ref="N99:N100"/>
    <mergeCell ref="A1:F1"/>
    <mergeCell ref="J1:N1"/>
    <mergeCell ref="L2:N2"/>
    <mergeCell ref="N4:N5"/>
    <mergeCell ref="N6:N7"/>
    <mergeCell ref="N25:N26"/>
    <mergeCell ref="N35:N36"/>
    <mergeCell ref="N45:N46"/>
    <mergeCell ref="N55:N56"/>
    <mergeCell ref="N69:N70"/>
    <mergeCell ref="N79:N80"/>
    <mergeCell ref="N89:N90"/>
  </mergeCells>
  <conditionalFormatting sqref="B2">
    <cfRule type="duplicateValues" dxfId="31" priority="3"/>
    <cfRule type="duplicateValues" dxfId="30" priority="4"/>
  </conditionalFormatting>
  <conditionalFormatting sqref="B55:B63 B25:B33 B35:B43 B45:B53 B69:B77 B79:B87 B89:B97 B99:B107 B4:B23">
    <cfRule type="duplicateValues" dxfId="29" priority="27"/>
  </conditionalFormatting>
  <conditionalFormatting sqref="B64:B67">
    <cfRule type="duplicateValues" dxfId="28" priority="1"/>
  </conditionalFormatting>
  <conditionalFormatting sqref="C2:D2">
    <cfRule type="duplicateValues" dxfId="27" priority="5"/>
    <cfRule type="duplicateValues" dxfId="26" priority="6"/>
  </conditionalFormatting>
  <pageMargins left="0.17" right="0.17" top="0.18" bottom="0.17" header="0.17" footer="0.17"/>
  <pageSetup paperSize="9" scale="1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D950-B435-41F7-A575-FFF20E8FFEBA}">
  <sheetPr>
    <tabColor rgb="FF00B050"/>
  </sheetPr>
  <dimension ref="A1:R14"/>
  <sheetViews>
    <sheetView workbookViewId="0">
      <selection activeCell="G18" sqref="G18"/>
    </sheetView>
  </sheetViews>
  <sheetFormatPr defaultColWidth="54.5703125" defaultRowHeight="15" x14ac:dyDescent="0.25"/>
  <cols>
    <col min="1" max="1" width="12.28515625" bestFit="1" customWidth="1"/>
    <col min="2" max="2" width="17.85546875" bestFit="1" customWidth="1"/>
    <col min="3" max="3" width="18" bestFit="1" customWidth="1"/>
    <col min="4" max="4" width="14.7109375" bestFit="1" customWidth="1"/>
    <col min="5" max="5" width="17" bestFit="1" customWidth="1"/>
    <col min="6" max="6" width="21.140625" bestFit="1" customWidth="1"/>
    <col min="7" max="7" width="22" bestFit="1" customWidth="1"/>
    <col min="8" max="8" width="20.5703125" customWidth="1"/>
    <col min="9" max="9" width="20.28515625" bestFit="1" customWidth="1"/>
    <col min="10" max="10" width="10.140625" bestFit="1" customWidth="1"/>
    <col min="11" max="11" width="11" bestFit="1" customWidth="1"/>
    <col min="12" max="12" width="11" customWidth="1"/>
    <col min="13" max="13" width="20.140625" bestFit="1" customWidth="1"/>
    <col min="14" max="14" width="20.5703125" bestFit="1" customWidth="1"/>
    <col min="15" max="15" width="9.7109375" bestFit="1" customWidth="1"/>
    <col min="16" max="16" width="9.5703125" bestFit="1" customWidth="1"/>
    <col min="17" max="17" width="10.140625" bestFit="1" customWidth="1"/>
    <col min="18" max="18" width="26.140625" bestFit="1" customWidth="1"/>
  </cols>
  <sheetData>
    <row r="1" spans="1:18" ht="15.75" thickBot="1" x14ac:dyDescent="0.3">
      <c r="A1" s="18" t="s">
        <v>165</v>
      </c>
      <c r="B1" s="18" t="s">
        <v>166</v>
      </c>
      <c r="C1" s="10" t="s">
        <v>38</v>
      </c>
      <c r="D1" s="18" t="s">
        <v>168</v>
      </c>
      <c r="E1" s="18" t="s">
        <v>173</v>
      </c>
      <c r="F1" s="18" t="s">
        <v>169</v>
      </c>
      <c r="G1" s="18" t="s">
        <v>170</v>
      </c>
      <c r="H1" s="10" t="s">
        <v>46</v>
      </c>
      <c r="I1" s="18" t="s">
        <v>171</v>
      </c>
      <c r="J1" s="18" t="s">
        <v>172</v>
      </c>
      <c r="K1" s="18" t="s">
        <v>174</v>
      </c>
      <c r="L1" s="10" t="s">
        <v>37</v>
      </c>
      <c r="M1" s="18" t="s">
        <v>175</v>
      </c>
      <c r="N1" s="18" t="s">
        <v>176</v>
      </c>
      <c r="O1" s="18" t="s">
        <v>177</v>
      </c>
      <c r="P1" s="18" t="s">
        <v>178</v>
      </c>
      <c r="Q1" s="18" t="s">
        <v>179</v>
      </c>
      <c r="R1" s="18" t="s">
        <v>180</v>
      </c>
    </row>
    <row r="2" spans="1:18" ht="15.75" thickBot="1" x14ac:dyDescent="0.3">
      <c r="A2" s="19" t="s">
        <v>181</v>
      </c>
      <c r="B2" s="44">
        <v>46049</v>
      </c>
      <c r="C2" s="27" t="s">
        <v>1425</v>
      </c>
      <c r="D2" s="19" t="s">
        <v>124</v>
      </c>
      <c r="E2" s="19" t="s">
        <v>1399</v>
      </c>
      <c r="F2" s="19" t="s">
        <v>1398</v>
      </c>
      <c r="G2" s="19">
        <v>20</v>
      </c>
      <c r="H2" s="19">
        <v>1</v>
      </c>
      <c r="I2" s="19">
        <v>0</v>
      </c>
      <c r="J2" s="19" t="s">
        <v>182</v>
      </c>
      <c r="K2" s="19" t="s">
        <v>183</v>
      </c>
      <c r="L2" s="19"/>
      <c r="M2" s="19" t="s">
        <v>184</v>
      </c>
      <c r="N2" s="19" t="s">
        <v>185</v>
      </c>
      <c r="O2" s="19">
        <v>6452</v>
      </c>
      <c r="P2" s="19">
        <v>1</v>
      </c>
      <c r="Q2" s="19">
        <f>G2/H2</f>
        <v>20</v>
      </c>
      <c r="R2" s="21" t="s">
        <v>186</v>
      </c>
    </row>
    <row r="3" spans="1:18" ht="15.75" thickBot="1" x14ac:dyDescent="0.3">
      <c r="A3" s="19" t="s">
        <v>181</v>
      </c>
      <c r="B3" s="44">
        <v>46049</v>
      </c>
      <c r="C3" s="27" t="s">
        <v>1425</v>
      </c>
      <c r="D3" s="19" t="s">
        <v>124</v>
      </c>
      <c r="E3" s="19" t="s">
        <v>1400</v>
      </c>
      <c r="F3" s="19" t="s">
        <v>12</v>
      </c>
      <c r="G3" s="19">
        <v>240</v>
      </c>
      <c r="H3" s="19">
        <v>1</v>
      </c>
      <c r="I3" s="19">
        <v>0</v>
      </c>
      <c r="J3" s="19" t="s">
        <v>182</v>
      </c>
      <c r="K3" s="19" t="s">
        <v>183</v>
      </c>
      <c r="L3" s="19"/>
      <c r="M3" s="19" t="s">
        <v>184</v>
      </c>
      <c r="N3" s="19" t="s">
        <v>185</v>
      </c>
      <c r="O3" s="19">
        <v>4259</v>
      </c>
      <c r="P3" s="19">
        <v>2</v>
      </c>
      <c r="Q3" s="19">
        <f t="shared" ref="Q3:Q12" si="0">G3/H3</f>
        <v>240</v>
      </c>
      <c r="R3" s="21" t="s">
        <v>186</v>
      </c>
    </row>
    <row r="4" spans="1:18" ht="15.75" thickBot="1" x14ac:dyDescent="0.3">
      <c r="A4" s="19" t="s">
        <v>181</v>
      </c>
      <c r="B4" s="44">
        <v>46049</v>
      </c>
      <c r="C4" s="27" t="s">
        <v>1425</v>
      </c>
      <c r="D4" s="19" t="s">
        <v>124</v>
      </c>
      <c r="E4" s="19" t="s">
        <v>1401</v>
      </c>
      <c r="F4" s="19" t="s">
        <v>929</v>
      </c>
      <c r="G4" s="19">
        <v>4</v>
      </c>
      <c r="H4" s="19">
        <v>1</v>
      </c>
      <c r="I4" s="19">
        <v>0</v>
      </c>
      <c r="J4" s="19" t="s">
        <v>182</v>
      </c>
      <c r="K4" s="19" t="s">
        <v>183</v>
      </c>
      <c r="L4" s="19"/>
      <c r="M4" s="19" t="s">
        <v>184</v>
      </c>
      <c r="N4" s="19" t="s">
        <v>185</v>
      </c>
      <c r="O4" s="19">
        <v>14058.5</v>
      </c>
      <c r="P4" s="19">
        <v>3</v>
      </c>
      <c r="Q4" s="19">
        <f t="shared" si="0"/>
        <v>4</v>
      </c>
      <c r="R4" s="21" t="s">
        <v>186</v>
      </c>
    </row>
    <row r="5" spans="1:18" ht="15.75" thickBot="1" x14ac:dyDescent="0.3">
      <c r="A5" s="19" t="s">
        <v>181</v>
      </c>
      <c r="B5" s="44">
        <v>46049</v>
      </c>
      <c r="C5" s="27" t="s">
        <v>1425</v>
      </c>
      <c r="D5" s="19" t="s">
        <v>124</v>
      </c>
      <c r="E5" s="19" t="s">
        <v>1406</v>
      </c>
      <c r="F5" s="19" t="s">
        <v>935</v>
      </c>
      <c r="G5" s="19">
        <v>20</v>
      </c>
      <c r="H5" s="19">
        <v>10</v>
      </c>
      <c r="I5" s="19">
        <v>0</v>
      </c>
      <c r="J5" s="19" t="s">
        <v>182</v>
      </c>
      <c r="K5" s="19" t="s">
        <v>183</v>
      </c>
      <c r="L5" s="19"/>
      <c r="M5" s="19" t="s">
        <v>184</v>
      </c>
      <c r="N5" s="19" t="s">
        <v>185</v>
      </c>
      <c r="O5" s="19">
        <v>3917.5</v>
      </c>
      <c r="P5" s="19">
        <v>4</v>
      </c>
      <c r="Q5" s="19">
        <f t="shared" si="0"/>
        <v>2</v>
      </c>
      <c r="R5" s="21" t="s">
        <v>186</v>
      </c>
    </row>
    <row r="6" spans="1:18" ht="15.75" thickBot="1" x14ac:dyDescent="0.3">
      <c r="A6" s="19" t="s">
        <v>181</v>
      </c>
      <c r="B6" s="44">
        <v>46049</v>
      </c>
      <c r="C6" s="27" t="s">
        <v>1425</v>
      </c>
      <c r="D6" s="19" t="s">
        <v>124</v>
      </c>
      <c r="E6" s="19" t="s">
        <v>1407</v>
      </c>
      <c r="F6" s="19" t="s">
        <v>191</v>
      </c>
      <c r="G6" s="19">
        <v>200</v>
      </c>
      <c r="H6" s="19">
        <v>10</v>
      </c>
      <c r="I6" s="19">
        <v>0</v>
      </c>
      <c r="J6" s="19" t="s">
        <v>182</v>
      </c>
      <c r="K6" s="19" t="s">
        <v>183</v>
      </c>
      <c r="L6" s="19"/>
      <c r="M6" s="19" t="s">
        <v>184</v>
      </c>
      <c r="N6" s="19" t="s">
        <v>185</v>
      </c>
      <c r="O6" s="19">
        <v>3917.5</v>
      </c>
      <c r="P6" s="19">
        <v>5</v>
      </c>
      <c r="Q6" s="19">
        <f t="shared" si="0"/>
        <v>20</v>
      </c>
      <c r="R6" s="21" t="s">
        <v>186</v>
      </c>
    </row>
    <row r="7" spans="1:18" ht="15.75" thickBot="1" x14ac:dyDescent="0.3">
      <c r="A7" s="19" t="s">
        <v>181</v>
      </c>
      <c r="B7" s="44">
        <v>46049</v>
      </c>
      <c r="C7" s="27" t="s">
        <v>1425</v>
      </c>
      <c r="D7" s="19" t="s">
        <v>124</v>
      </c>
      <c r="E7" s="19" t="s">
        <v>1397</v>
      </c>
      <c r="F7" s="19" t="s">
        <v>1396</v>
      </c>
      <c r="G7" s="19">
        <v>20</v>
      </c>
      <c r="H7" s="19">
        <v>1</v>
      </c>
      <c r="I7" s="19">
        <v>0</v>
      </c>
      <c r="J7" s="19" t="s">
        <v>182</v>
      </c>
      <c r="K7" s="19" t="s">
        <v>183</v>
      </c>
      <c r="L7" s="19"/>
      <c r="M7" s="19" t="s">
        <v>184</v>
      </c>
      <c r="N7" s="19" t="s">
        <v>185</v>
      </c>
      <c r="O7" s="19">
        <v>6452</v>
      </c>
      <c r="P7" s="19">
        <v>6</v>
      </c>
      <c r="Q7" s="19">
        <f t="shared" si="0"/>
        <v>20</v>
      </c>
      <c r="R7" s="21" t="s">
        <v>186</v>
      </c>
    </row>
    <row r="8" spans="1:18" ht="15.75" thickBot="1" x14ac:dyDescent="0.3">
      <c r="A8" s="19" t="s">
        <v>181</v>
      </c>
      <c r="B8" s="44">
        <v>46049</v>
      </c>
      <c r="C8" s="27" t="s">
        <v>1425</v>
      </c>
      <c r="D8" s="19" t="s">
        <v>124</v>
      </c>
      <c r="E8" s="19" t="s">
        <v>1402</v>
      </c>
      <c r="F8" s="19" t="s">
        <v>931</v>
      </c>
      <c r="G8" s="19">
        <v>4</v>
      </c>
      <c r="H8" s="19">
        <v>1</v>
      </c>
      <c r="I8" s="19">
        <v>0</v>
      </c>
      <c r="J8" s="19" t="s">
        <v>182</v>
      </c>
      <c r="K8" s="19" t="s">
        <v>183</v>
      </c>
      <c r="L8" s="19"/>
      <c r="M8" s="19" t="s">
        <v>184</v>
      </c>
      <c r="N8" s="19" t="s">
        <v>185</v>
      </c>
      <c r="O8" s="19">
        <v>14058.5</v>
      </c>
      <c r="P8" s="19">
        <v>7</v>
      </c>
      <c r="Q8" s="19">
        <f t="shared" si="0"/>
        <v>4</v>
      </c>
      <c r="R8" s="21" t="s">
        <v>186</v>
      </c>
    </row>
    <row r="9" spans="1:18" ht="15.75" thickBot="1" x14ac:dyDescent="0.3">
      <c r="A9" s="19" t="s">
        <v>181</v>
      </c>
      <c r="B9" s="44">
        <v>46049</v>
      </c>
      <c r="C9" s="27" t="s">
        <v>1425</v>
      </c>
      <c r="D9" s="19" t="s">
        <v>124</v>
      </c>
      <c r="E9" s="19" t="s">
        <v>1403</v>
      </c>
      <c r="F9" s="19" t="s">
        <v>23</v>
      </c>
      <c r="G9" s="19">
        <v>200</v>
      </c>
      <c r="H9" s="19">
        <v>1</v>
      </c>
      <c r="I9" s="19">
        <v>0</v>
      </c>
      <c r="J9" s="19" t="s">
        <v>182</v>
      </c>
      <c r="K9" s="19" t="s">
        <v>183</v>
      </c>
      <c r="L9" s="19"/>
      <c r="M9" s="19" t="s">
        <v>184</v>
      </c>
      <c r="N9" s="19" t="s">
        <v>185</v>
      </c>
      <c r="O9" s="19">
        <v>3733.5</v>
      </c>
      <c r="P9" s="19">
        <v>8</v>
      </c>
      <c r="Q9" s="19">
        <f t="shared" si="0"/>
        <v>200</v>
      </c>
      <c r="R9" s="21" t="s">
        <v>186</v>
      </c>
    </row>
    <row r="10" spans="1:18" ht="15.75" thickBot="1" x14ac:dyDescent="0.3">
      <c r="A10" s="19" t="s">
        <v>181</v>
      </c>
      <c r="B10" s="44">
        <v>46049</v>
      </c>
      <c r="C10" s="27" t="s">
        <v>1425</v>
      </c>
      <c r="D10" s="19" t="s">
        <v>124</v>
      </c>
      <c r="E10" s="19" t="s">
        <v>1405</v>
      </c>
      <c r="F10" s="19" t="s">
        <v>1404</v>
      </c>
      <c r="G10" s="19">
        <v>252</v>
      </c>
      <c r="H10" s="19">
        <v>6</v>
      </c>
      <c r="I10" s="19">
        <v>0</v>
      </c>
      <c r="J10" s="19" t="s">
        <v>182</v>
      </c>
      <c r="K10" s="19" t="s">
        <v>183</v>
      </c>
      <c r="L10" s="19"/>
      <c r="M10" s="19" t="s">
        <v>184</v>
      </c>
      <c r="N10" s="19" t="s">
        <v>185</v>
      </c>
      <c r="O10" s="19">
        <v>7144.5</v>
      </c>
      <c r="P10" s="19">
        <v>9</v>
      </c>
      <c r="Q10" s="19">
        <f t="shared" si="0"/>
        <v>42</v>
      </c>
      <c r="R10" s="21" t="s">
        <v>186</v>
      </c>
    </row>
    <row r="11" spans="1:18" ht="15.75" thickBot="1" x14ac:dyDescent="0.3">
      <c r="A11" s="19" t="s">
        <v>181</v>
      </c>
      <c r="B11" s="44">
        <v>46049</v>
      </c>
      <c r="C11" s="27" t="s">
        <v>1425</v>
      </c>
      <c r="D11" s="19" t="s">
        <v>124</v>
      </c>
      <c r="E11" s="19" t="s">
        <v>1408</v>
      </c>
      <c r="F11" s="19" t="s">
        <v>193</v>
      </c>
      <c r="G11" s="19">
        <v>100</v>
      </c>
      <c r="H11" s="19">
        <v>10</v>
      </c>
      <c r="I11" s="19">
        <v>0</v>
      </c>
      <c r="J11" s="19" t="s">
        <v>182</v>
      </c>
      <c r="K11" s="19" t="s">
        <v>183</v>
      </c>
      <c r="L11" s="19"/>
      <c r="M11" s="19" t="s">
        <v>184</v>
      </c>
      <c r="N11" s="19" t="s">
        <v>185</v>
      </c>
      <c r="O11" s="19">
        <v>920.5</v>
      </c>
      <c r="P11" s="19">
        <v>10</v>
      </c>
      <c r="Q11" s="19">
        <f t="shared" si="0"/>
        <v>10</v>
      </c>
      <c r="R11" s="21" t="s">
        <v>186</v>
      </c>
    </row>
    <row r="12" spans="1:18" ht="15.75" thickBot="1" x14ac:dyDescent="0.3">
      <c r="A12" s="19" t="s">
        <v>181</v>
      </c>
      <c r="B12" s="44">
        <v>46049</v>
      </c>
      <c r="C12" s="27" t="s">
        <v>1425</v>
      </c>
      <c r="D12" s="19" t="s">
        <v>124</v>
      </c>
      <c r="E12" s="19" t="s">
        <v>1409</v>
      </c>
      <c r="F12" s="19" t="s">
        <v>199</v>
      </c>
      <c r="G12" s="19">
        <v>100</v>
      </c>
      <c r="H12" s="19">
        <v>10</v>
      </c>
      <c r="I12" s="19">
        <v>0</v>
      </c>
      <c r="J12" s="19" t="s">
        <v>182</v>
      </c>
      <c r="K12" s="19" t="s">
        <v>183</v>
      </c>
      <c r="L12" s="19"/>
      <c r="M12" s="19" t="s">
        <v>184</v>
      </c>
      <c r="N12" s="19" t="s">
        <v>185</v>
      </c>
      <c r="O12" s="19">
        <v>751</v>
      </c>
      <c r="P12" s="19">
        <v>11</v>
      </c>
      <c r="Q12" s="19">
        <f t="shared" si="0"/>
        <v>10</v>
      </c>
      <c r="R12" s="21" t="s">
        <v>186</v>
      </c>
    </row>
    <row r="14" spans="1:18" x14ac:dyDescent="0.25">
      <c r="A14" t="s">
        <v>1410</v>
      </c>
    </row>
  </sheetData>
  <hyperlinks>
    <hyperlink ref="A14" r:id="rId1" display="http://192.168.1.249/downloads/temp/X5392026127Spares.log" xr:uid="{FA5FE26A-0E8A-41EA-9C89-8ECD333E5E1F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BD17-7722-4B41-953A-311FFA93B18E}">
  <sheetPr>
    <pageSetUpPr fitToPage="1"/>
  </sheetPr>
  <dimension ref="A1:P102"/>
  <sheetViews>
    <sheetView zoomScale="145" zoomScaleNormal="145" workbookViewId="0">
      <selection activeCell="A4" sqref="A4"/>
    </sheetView>
  </sheetViews>
  <sheetFormatPr defaultColWidth="70.28515625" defaultRowHeight="15" x14ac:dyDescent="0.25"/>
  <cols>
    <col min="1" max="1" width="15.140625" bestFit="1" customWidth="1"/>
    <col min="2" max="2" width="17" bestFit="1" customWidth="1"/>
    <col min="3" max="3" width="14.140625" bestFit="1" customWidth="1"/>
    <col min="4" max="4" width="14.140625" hidden="1" customWidth="1"/>
    <col min="5" max="5" width="32.5703125" bestFit="1" customWidth="1"/>
    <col min="6" max="6" width="9.28515625" bestFit="1" customWidth="1"/>
    <col min="7" max="7" width="7" bestFit="1" customWidth="1"/>
    <col min="8" max="8" width="11.7109375" customWidth="1"/>
    <col min="9" max="9" width="4.7109375" customWidth="1"/>
    <col min="10" max="10" width="8" bestFit="1" customWidth="1"/>
    <col min="11" max="11" width="9" customWidth="1"/>
    <col min="12" max="12" width="10.28515625" customWidth="1"/>
    <col min="13" max="13" width="6.42578125" customWidth="1"/>
    <col min="14" max="14" width="7.85546875" bestFit="1" customWidth="1"/>
    <col min="15" max="15" width="10.7109375" customWidth="1"/>
    <col min="16" max="16" width="40.570312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6.5" customHeight="1" x14ac:dyDescent="0.25">
      <c r="A2" s="5" t="s">
        <v>36</v>
      </c>
      <c r="B2" s="6">
        <v>46050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1516</v>
      </c>
      <c r="B4" s="2" t="s">
        <v>1426</v>
      </c>
      <c r="C4" s="27" t="s">
        <v>5</v>
      </c>
      <c r="D4" s="2" t="str">
        <f>VLOOKUP($C4,Sheet1!$A$2:$D$10,2,0)</f>
        <v>141110-14600</v>
      </c>
      <c r="E4" s="8" t="s">
        <v>52</v>
      </c>
      <c r="F4" s="12">
        <v>46050</v>
      </c>
      <c r="G4" s="13">
        <v>0.27083333333333331</v>
      </c>
      <c r="H4" s="2" t="s">
        <v>53</v>
      </c>
      <c r="I4" s="2" t="s">
        <v>54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1</v>
      </c>
      <c r="O4" s="2" t="s">
        <v>121</v>
      </c>
      <c r="P4" s="2" t="s">
        <v>1931</v>
      </c>
    </row>
    <row r="5" spans="1:16" x14ac:dyDescent="0.25">
      <c r="A5" s="17" t="s">
        <v>1516</v>
      </c>
      <c r="B5" s="2" t="s">
        <v>1436</v>
      </c>
      <c r="C5" s="27" t="s">
        <v>9</v>
      </c>
      <c r="D5" s="2" t="str">
        <f>VLOOKUP($C5,Sheet1!$A$2:$D$10,2,0)</f>
        <v>141120-14600</v>
      </c>
      <c r="E5" s="8" t="s">
        <v>60</v>
      </c>
      <c r="F5" s="12">
        <v>46050</v>
      </c>
      <c r="G5" s="13">
        <v>0.27083333333333331</v>
      </c>
      <c r="H5" s="2" t="s">
        <v>53</v>
      </c>
      <c r="I5" s="2" t="s">
        <v>54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121</v>
      </c>
      <c r="P5" s="2" t="s">
        <v>1931</v>
      </c>
    </row>
    <row r="6" spans="1:16" x14ac:dyDescent="0.25">
      <c r="A6" s="17" t="s">
        <v>1516</v>
      </c>
      <c r="B6" s="2" t="s">
        <v>1427</v>
      </c>
      <c r="C6" s="27" t="s">
        <v>5</v>
      </c>
      <c r="D6" s="2" t="str">
        <f>VLOOKUP($C6,Sheet1!$A$2:$D$10,2,0)</f>
        <v>141110-14600</v>
      </c>
      <c r="E6" s="8" t="s">
        <v>52</v>
      </c>
      <c r="F6" s="12">
        <v>46050</v>
      </c>
      <c r="G6" s="13">
        <v>0.27083333333333331</v>
      </c>
      <c r="H6" s="2" t="s">
        <v>53</v>
      </c>
      <c r="I6" s="2" t="s">
        <v>54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2">
        <v>1</v>
      </c>
      <c r="O6" s="2" t="s">
        <v>121</v>
      </c>
      <c r="P6" s="2" t="s">
        <v>1931</v>
      </c>
    </row>
    <row r="7" spans="1:16" x14ac:dyDescent="0.25">
      <c r="A7" s="17" t="s">
        <v>1516</v>
      </c>
      <c r="B7" s="2" t="s">
        <v>1437</v>
      </c>
      <c r="C7" s="27" t="s">
        <v>9</v>
      </c>
      <c r="D7" s="2" t="str">
        <f>VLOOKUP($C7,Sheet1!$A$2:$D$10,2,0)</f>
        <v>141120-14600</v>
      </c>
      <c r="E7" s="8" t="s">
        <v>60</v>
      </c>
      <c r="F7" s="12">
        <v>46050</v>
      </c>
      <c r="G7" s="13">
        <v>0.27083333333333331</v>
      </c>
      <c r="H7" s="2" t="s">
        <v>53</v>
      </c>
      <c r="I7" s="2" t="s">
        <v>54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3"/>
      <c r="O7" s="2" t="s">
        <v>121</v>
      </c>
      <c r="P7" s="2" t="s">
        <v>1931</v>
      </c>
    </row>
    <row r="8" spans="1:16" x14ac:dyDescent="0.25">
      <c r="A8" s="17" t="s">
        <v>1516</v>
      </c>
      <c r="B8" s="2" t="s">
        <v>1446</v>
      </c>
      <c r="C8" s="27" t="s">
        <v>12</v>
      </c>
      <c r="D8" s="2" t="str">
        <f>VLOOKUP($C8,Sheet1!$A$2:$D$10,2,0)</f>
        <v>141185-74670</v>
      </c>
      <c r="E8" s="8" t="s">
        <v>66</v>
      </c>
      <c r="F8" s="12">
        <v>46050</v>
      </c>
      <c r="G8" s="13">
        <v>0.27083333333333331</v>
      </c>
      <c r="H8" s="2" t="s">
        <v>53</v>
      </c>
      <c r="I8" s="2" t="s">
        <v>54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121</v>
      </c>
      <c r="P8" s="2">
        <v>910107272</v>
      </c>
    </row>
    <row r="9" spans="1:16" x14ac:dyDescent="0.25">
      <c r="A9" s="17" t="s">
        <v>1516</v>
      </c>
      <c r="B9" s="2" t="s">
        <v>1447</v>
      </c>
      <c r="C9" s="27" t="s">
        <v>12</v>
      </c>
      <c r="D9" s="2" t="str">
        <f>VLOOKUP($C9,Sheet1!$A$2:$D$10,2,0)</f>
        <v>141185-74670</v>
      </c>
      <c r="E9" s="8" t="s">
        <v>66</v>
      </c>
      <c r="F9" s="12">
        <v>46050</v>
      </c>
      <c r="G9" s="13">
        <v>0.27083333333333331</v>
      </c>
      <c r="H9" s="2" t="s">
        <v>53</v>
      </c>
      <c r="I9" s="2" t="s">
        <v>54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121</v>
      </c>
      <c r="P9" s="2">
        <v>910107272</v>
      </c>
    </row>
    <row r="10" spans="1:16" x14ac:dyDescent="0.25">
      <c r="A10" s="17" t="s">
        <v>1516</v>
      </c>
      <c r="B10" s="2" t="s">
        <v>1456</v>
      </c>
      <c r="C10" s="27" t="s">
        <v>16</v>
      </c>
      <c r="D10" s="2" t="str">
        <f>VLOOKUP($C10,Sheet1!$A$2:$D$10,2,0)</f>
        <v>141140-91211</v>
      </c>
      <c r="E10" s="8" t="s">
        <v>70</v>
      </c>
      <c r="F10" s="12">
        <v>46050</v>
      </c>
      <c r="G10" s="13">
        <v>0.27083333333333331</v>
      </c>
      <c r="H10" s="2" t="s">
        <v>71</v>
      </c>
      <c r="I10" s="2" t="s">
        <v>54</v>
      </c>
      <c r="J10" s="2">
        <v>22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11</v>
      </c>
      <c r="N10" s="2"/>
      <c r="O10" s="2" t="s">
        <v>121</v>
      </c>
      <c r="P10" s="2" t="s">
        <v>724</v>
      </c>
    </row>
    <row r="11" spans="1:16" x14ac:dyDescent="0.25">
      <c r="A11" s="17" t="s">
        <v>1516</v>
      </c>
      <c r="B11" s="2" t="s">
        <v>1466</v>
      </c>
      <c r="C11" s="27" t="s">
        <v>20</v>
      </c>
      <c r="D11" s="2" t="str">
        <f>VLOOKUP($C11,Sheet1!$A$2:$D$10,2,0)</f>
        <v>141150-91211</v>
      </c>
      <c r="E11" s="8" t="s">
        <v>78</v>
      </c>
      <c r="F11" s="12">
        <v>46050</v>
      </c>
      <c r="G11" s="13">
        <v>0.27083333333333331</v>
      </c>
      <c r="H11" s="2" t="s">
        <v>71</v>
      </c>
      <c r="I11" s="2" t="s">
        <v>54</v>
      </c>
      <c r="J11" s="2">
        <v>22</v>
      </c>
      <c r="K11" s="14">
        <f>VLOOKUP($C11,Sheet1!$A$2:$D$10,4,0)</f>
        <v>2</v>
      </c>
      <c r="L11" s="14" t="str">
        <f>VLOOKUP($C11,Sheet1!$A$2:$E$10,5,0)</f>
        <v>Bin</v>
      </c>
      <c r="M11" s="14">
        <f>J11/K11</f>
        <v>11</v>
      </c>
      <c r="N11" s="2"/>
      <c r="O11" s="2" t="s">
        <v>121</v>
      </c>
      <c r="P11" s="2" t="s">
        <v>724</v>
      </c>
    </row>
    <row r="12" spans="1:16" x14ac:dyDescent="0.25">
      <c r="A12" s="17" t="s">
        <v>1516</v>
      </c>
      <c r="B12" s="2" t="s">
        <v>1476</v>
      </c>
      <c r="C12" s="27" t="s">
        <v>23</v>
      </c>
      <c r="D12" s="2" t="str">
        <f>VLOOKUP($C12,Sheet1!$A$2:$D$10,2,0)</f>
        <v>141186-74360</v>
      </c>
      <c r="E12" s="8" t="s">
        <v>85</v>
      </c>
      <c r="F12" s="12">
        <v>46050</v>
      </c>
      <c r="G12" s="13">
        <v>0.27083333333333331</v>
      </c>
      <c r="H12" s="2" t="s">
        <v>71</v>
      </c>
      <c r="I12" s="2" t="s">
        <v>54</v>
      </c>
      <c r="J12" s="2">
        <v>40</v>
      </c>
      <c r="K12" s="14">
        <f>VLOOKUP($C12,Sheet1!$A$2:$D$10,4,0)</f>
        <v>40</v>
      </c>
      <c r="L12" s="14" t="str">
        <f>VLOOKUP($C12,Sheet1!$A$2:$E$10,5,0)</f>
        <v>Trolley</v>
      </c>
      <c r="M12" s="14"/>
      <c r="N12" s="2">
        <f>J12/K12</f>
        <v>1</v>
      </c>
      <c r="O12" s="2" t="s">
        <v>121</v>
      </c>
      <c r="P12" s="2">
        <v>910107273</v>
      </c>
    </row>
    <row r="13" spans="1:16" x14ac:dyDescent="0.25">
      <c r="A13" s="17" t="s">
        <v>1517</v>
      </c>
      <c r="B13" s="2" t="s">
        <v>1486</v>
      </c>
      <c r="C13" s="27" t="s">
        <v>26</v>
      </c>
      <c r="D13" s="2" t="str">
        <f>VLOOKUP($C13,Sheet1!$A$2:$D$10,2,0)</f>
        <v>116040-92240</v>
      </c>
      <c r="E13" s="8" t="s">
        <v>90</v>
      </c>
      <c r="F13" s="12">
        <v>46050</v>
      </c>
      <c r="G13" s="13">
        <v>0.27083333333333331</v>
      </c>
      <c r="H13" s="2" t="s">
        <v>91</v>
      </c>
      <c r="I13" s="2" t="s">
        <v>54</v>
      </c>
      <c r="J13" s="2">
        <v>24</v>
      </c>
      <c r="K13" s="14">
        <f>VLOOKUP($C13,Sheet1!$A$2:$D$10,4,0)</f>
        <v>6</v>
      </c>
      <c r="L13" s="14" t="str">
        <f>VLOOKUP($C13,Sheet1!$A$2:$E$10,5,0)</f>
        <v>Bin</v>
      </c>
      <c r="M13" s="14">
        <f t="shared" ref="M13:M17" si="0">J13/K13</f>
        <v>4</v>
      </c>
      <c r="N13" s="2"/>
      <c r="O13" s="2" t="s">
        <v>121</v>
      </c>
      <c r="P13" s="2" t="s">
        <v>1859</v>
      </c>
    </row>
    <row r="14" spans="1:16" x14ac:dyDescent="0.25">
      <c r="A14" s="17" t="s">
        <v>1517</v>
      </c>
      <c r="B14" s="2" t="s">
        <v>1496</v>
      </c>
      <c r="C14" s="27" t="s">
        <v>32</v>
      </c>
      <c r="D14" s="2" t="str">
        <f>VLOOKUP($C14,Sheet1!$A$2:$D$10,2,0)</f>
        <v>114010-50820</v>
      </c>
      <c r="E14" s="8" t="s">
        <v>98</v>
      </c>
      <c r="F14" s="12">
        <v>46050</v>
      </c>
      <c r="G14" s="13">
        <v>0.27083333333333331</v>
      </c>
      <c r="H14" s="2" t="s">
        <v>91</v>
      </c>
      <c r="I14" s="2" t="s">
        <v>54</v>
      </c>
      <c r="J14" s="2">
        <v>9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0"/>
        <v>9</v>
      </c>
      <c r="N14" s="2"/>
      <c r="O14" s="2" t="s">
        <v>121</v>
      </c>
      <c r="P14" s="2" t="s">
        <v>420</v>
      </c>
    </row>
    <row r="15" spans="1:16" ht="15.75" thickBot="1" x14ac:dyDescent="0.3">
      <c r="A15" s="17" t="s">
        <v>1517</v>
      </c>
      <c r="B15" s="2" t="s">
        <v>1506</v>
      </c>
      <c r="C15" s="27" t="s">
        <v>29</v>
      </c>
      <c r="D15" s="2" t="str">
        <f>VLOOKUP($C15,Sheet1!$A$2:$D$10,2,0)</f>
        <v>114010-50830</v>
      </c>
      <c r="E15" s="8" t="s">
        <v>98</v>
      </c>
      <c r="F15" s="12">
        <v>46050</v>
      </c>
      <c r="G15" s="25">
        <v>0.27083333333333331</v>
      </c>
      <c r="H15" s="2" t="s">
        <v>91</v>
      </c>
      <c r="I15" s="2" t="s">
        <v>54</v>
      </c>
      <c r="J15" s="2">
        <v>14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0"/>
        <v>14</v>
      </c>
      <c r="N15" s="2"/>
      <c r="O15" s="2" t="s">
        <v>121</v>
      </c>
      <c r="P15" s="2" t="s">
        <v>1912</v>
      </c>
    </row>
    <row r="16" spans="1:16" ht="15.75" thickTop="1" x14ac:dyDescent="0.25">
      <c r="A16" s="17" t="s">
        <v>1518</v>
      </c>
      <c r="B16" s="2" t="s">
        <v>1457</v>
      </c>
      <c r="C16" s="27" t="s">
        <v>16</v>
      </c>
      <c r="D16" s="2" t="str">
        <f>VLOOKUP($C16,Sheet1!$A$2:$D$10,2,0)</f>
        <v>141140-91211</v>
      </c>
      <c r="E16" s="8" t="s">
        <v>70</v>
      </c>
      <c r="F16" s="12">
        <v>46050</v>
      </c>
      <c r="G16" s="26">
        <v>0.3125</v>
      </c>
      <c r="H16" s="2" t="s">
        <v>71</v>
      </c>
      <c r="I16" s="2" t="s">
        <v>54</v>
      </c>
      <c r="J16" s="2">
        <v>32</v>
      </c>
      <c r="K16" s="14">
        <f>VLOOKUP($C16,Sheet1!$A$2:$D$10,4,0)</f>
        <v>2</v>
      </c>
      <c r="L16" s="14" t="str">
        <f>VLOOKUP($C16,Sheet1!$A$2:$E$10,5,0)</f>
        <v>Bin</v>
      </c>
      <c r="M16" s="14">
        <f t="shared" si="0"/>
        <v>16</v>
      </c>
      <c r="N16" s="2"/>
      <c r="O16" s="2" t="s">
        <v>121</v>
      </c>
      <c r="P16" s="2" t="s">
        <v>724</v>
      </c>
    </row>
    <row r="17" spans="1:16" x14ac:dyDescent="0.25">
      <c r="A17" s="17" t="s">
        <v>1518</v>
      </c>
      <c r="B17" s="2" t="s">
        <v>1467</v>
      </c>
      <c r="C17" s="27" t="s">
        <v>20</v>
      </c>
      <c r="D17" s="2" t="str">
        <f>VLOOKUP($C17,Sheet1!$A$2:$D$10,2,0)</f>
        <v>141150-91211</v>
      </c>
      <c r="E17" s="8" t="s">
        <v>78</v>
      </c>
      <c r="F17" s="12">
        <v>46050</v>
      </c>
      <c r="G17" s="23">
        <v>0.3125</v>
      </c>
      <c r="H17" s="2" t="s">
        <v>71</v>
      </c>
      <c r="I17" s="2" t="s">
        <v>54</v>
      </c>
      <c r="J17" s="2">
        <v>32</v>
      </c>
      <c r="K17" s="14">
        <f>VLOOKUP($C17,Sheet1!$A$2:$D$10,4,0)</f>
        <v>2</v>
      </c>
      <c r="L17" s="14" t="str">
        <f>VLOOKUP($C17,Sheet1!$A$2:$E$10,5,0)</f>
        <v>Bin</v>
      </c>
      <c r="M17" s="14">
        <f t="shared" si="0"/>
        <v>16</v>
      </c>
      <c r="N17" s="2"/>
      <c r="O17" s="2" t="s">
        <v>121</v>
      </c>
      <c r="P17" s="2" t="s">
        <v>724</v>
      </c>
    </row>
    <row r="18" spans="1:16" x14ac:dyDescent="0.25">
      <c r="A18" s="17" t="s">
        <v>1518</v>
      </c>
      <c r="B18" s="2" t="s">
        <v>1477</v>
      </c>
      <c r="C18" s="27" t="s">
        <v>23</v>
      </c>
      <c r="D18" s="2" t="str">
        <f>VLOOKUP($C18,Sheet1!$A$2:$D$10,2,0)</f>
        <v>141186-74360</v>
      </c>
      <c r="E18" s="8" t="s">
        <v>85</v>
      </c>
      <c r="F18" s="12">
        <v>46050</v>
      </c>
      <c r="G18" s="23">
        <v>0.3125</v>
      </c>
      <c r="H18" s="2" t="s">
        <v>71</v>
      </c>
      <c r="I18" s="2" t="s">
        <v>54</v>
      </c>
      <c r="J18" s="2">
        <v>80</v>
      </c>
      <c r="K18" s="14">
        <f>VLOOKUP($C18,Sheet1!$A$2:$D$10,4,0)</f>
        <v>40</v>
      </c>
      <c r="L18" s="14" t="str">
        <f>VLOOKUP($C18,Sheet1!$A$2:$E$10,5,0)</f>
        <v>Trolley</v>
      </c>
      <c r="M18" s="14"/>
      <c r="N18" s="2">
        <f>J18/K18</f>
        <v>2</v>
      </c>
      <c r="O18" s="2" t="s">
        <v>121</v>
      </c>
      <c r="P18" s="2">
        <v>910107273</v>
      </c>
    </row>
    <row r="19" spans="1:16" x14ac:dyDescent="0.25">
      <c r="A19" s="17" t="s">
        <v>1519</v>
      </c>
      <c r="B19" s="2" t="s">
        <v>1487</v>
      </c>
      <c r="C19" s="27" t="s">
        <v>26</v>
      </c>
      <c r="D19" s="2" t="str">
        <f>VLOOKUP($C19,Sheet1!$A$2:$D$10,2,0)</f>
        <v>116040-92240</v>
      </c>
      <c r="E19" s="8" t="s">
        <v>90</v>
      </c>
      <c r="F19" s="12">
        <v>46050</v>
      </c>
      <c r="G19" s="23">
        <v>0.3125</v>
      </c>
      <c r="H19" s="2" t="s">
        <v>91</v>
      </c>
      <c r="I19" s="2" t="s">
        <v>54</v>
      </c>
      <c r="J19" s="2">
        <v>36</v>
      </c>
      <c r="K19" s="14">
        <f>VLOOKUP($C19,Sheet1!$A$2:$D$10,4,0)</f>
        <v>6</v>
      </c>
      <c r="L19" s="14" t="str">
        <f>VLOOKUP($C19,Sheet1!$A$2:$E$10,5,0)</f>
        <v>Bin</v>
      </c>
      <c r="M19" s="14">
        <f t="shared" ref="M19:M21" si="1">J19/K19</f>
        <v>6</v>
      </c>
      <c r="N19" s="2"/>
      <c r="O19" s="2" t="s">
        <v>121</v>
      </c>
      <c r="P19" s="2" t="s">
        <v>1859</v>
      </c>
    </row>
    <row r="20" spans="1:16" x14ac:dyDescent="0.25">
      <c r="A20" s="17" t="s">
        <v>1519</v>
      </c>
      <c r="B20" s="2" t="s">
        <v>1497</v>
      </c>
      <c r="C20" s="27" t="s">
        <v>32</v>
      </c>
      <c r="D20" s="2" t="str">
        <f>VLOOKUP($C20,Sheet1!$A$2:$D$10,2,0)</f>
        <v>114010-50820</v>
      </c>
      <c r="E20" s="8" t="s">
        <v>98</v>
      </c>
      <c r="F20" s="12">
        <v>46050</v>
      </c>
      <c r="G20" s="23">
        <v>0.3125</v>
      </c>
      <c r="H20" s="2" t="s">
        <v>91</v>
      </c>
      <c r="I20" s="2" t="s">
        <v>54</v>
      </c>
      <c r="J20" s="2">
        <v>23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1"/>
        <v>23</v>
      </c>
      <c r="N20" s="2"/>
      <c r="O20" s="2" t="s">
        <v>121</v>
      </c>
      <c r="P20" s="2" t="s">
        <v>420</v>
      </c>
    </row>
    <row r="21" spans="1:16" x14ac:dyDescent="0.25">
      <c r="A21" s="17" t="s">
        <v>1519</v>
      </c>
      <c r="B21" s="2" t="s">
        <v>1507</v>
      </c>
      <c r="C21" s="27" t="s">
        <v>29</v>
      </c>
      <c r="D21" s="2" t="str">
        <f>VLOOKUP($C21,Sheet1!$A$2:$D$10,2,0)</f>
        <v>114010-50830</v>
      </c>
      <c r="E21" s="8" t="s">
        <v>98</v>
      </c>
      <c r="F21" s="12">
        <v>46050</v>
      </c>
      <c r="G21" s="23">
        <v>0.3125</v>
      </c>
      <c r="H21" s="2" t="s">
        <v>91</v>
      </c>
      <c r="I21" s="2" t="s">
        <v>54</v>
      </c>
      <c r="J21" s="2">
        <v>9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1"/>
        <v>9</v>
      </c>
      <c r="N21" s="2"/>
      <c r="O21" s="2" t="s">
        <v>121</v>
      </c>
      <c r="P21" s="2" t="s">
        <v>1912</v>
      </c>
    </row>
    <row r="22" spans="1:16" s="11" customForma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v>119</v>
      </c>
      <c r="N22" s="10">
        <v>8</v>
      </c>
      <c r="O22" s="10"/>
      <c r="P22" s="10"/>
    </row>
    <row r="23" spans="1:16" x14ac:dyDescent="0.25">
      <c r="A23" s="17" t="s">
        <v>1520</v>
      </c>
      <c r="B23" s="2" t="s">
        <v>1428</v>
      </c>
      <c r="C23" s="27" t="s">
        <v>5</v>
      </c>
      <c r="D23" s="2" t="str">
        <f>VLOOKUP($C23,Sheet1!$A$2:$D$10,2,0)</f>
        <v>141110-14600</v>
      </c>
      <c r="E23" s="8" t="s">
        <v>52</v>
      </c>
      <c r="F23" s="12">
        <v>46050</v>
      </c>
      <c r="G23" s="13">
        <v>0.35416666666666669</v>
      </c>
      <c r="H23" s="2" t="s">
        <v>53</v>
      </c>
      <c r="I23" s="2" t="s">
        <v>54</v>
      </c>
      <c r="J23" s="2">
        <v>36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2">
        <v>2</v>
      </c>
      <c r="O23" s="2" t="s">
        <v>359</v>
      </c>
      <c r="P23" s="2" t="s">
        <v>1931</v>
      </c>
    </row>
    <row r="24" spans="1:16" x14ac:dyDescent="0.25">
      <c r="A24" s="17" t="s">
        <v>1520</v>
      </c>
      <c r="B24" s="2" t="s">
        <v>1438</v>
      </c>
      <c r="C24" s="27" t="s">
        <v>9</v>
      </c>
      <c r="D24" s="2" t="str">
        <f>VLOOKUP($C24,Sheet1!$A$2:$D$10,2,0)</f>
        <v>141120-14600</v>
      </c>
      <c r="E24" s="8" t="s">
        <v>60</v>
      </c>
      <c r="F24" s="12">
        <v>46050</v>
      </c>
      <c r="G24" s="13">
        <v>0.35416666666666669</v>
      </c>
      <c r="H24" s="2" t="s">
        <v>53</v>
      </c>
      <c r="I24" s="2" t="s">
        <v>54</v>
      </c>
      <c r="J24" s="2">
        <v>36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3"/>
      <c r="O24" s="2" t="s">
        <v>359</v>
      </c>
      <c r="P24" s="2" t="s">
        <v>1931</v>
      </c>
    </row>
    <row r="25" spans="1:16" x14ac:dyDescent="0.25">
      <c r="A25" s="17" t="s">
        <v>1520</v>
      </c>
      <c r="B25" s="2" t="s">
        <v>1448</v>
      </c>
      <c r="C25" s="27" t="s">
        <v>12</v>
      </c>
      <c r="D25" s="2" t="str">
        <f>VLOOKUP($C25,Sheet1!$A$2:$D$10,2,0)</f>
        <v>141185-74670</v>
      </c>
      <c r="E25" s="8" t="s">
        <v>66</v>
      </c>
      <c r="F25" s="12">
        <v>46050</v>
      </c>
      <c r="G25" s="13">
        <v>0.35416666666666669</v>
      </c>
      <c r="H25" s="2" t="s">
        <v>53</v>
      </c>
      <c r="I25" s="2" t="s">
        <v>54</v>
      </c>
      <c r="J25" s="2">
        <v>80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>J25/K25</f>
        <v>2</v>
      </c>
      <c r="O25" s="2" t="s">
        <v>359</v>
      </c>
      <c r="P25" s="2">
        <v>910107272</v>
      </c>
    </row>
    <row r="26" spans="1:16" x14ac:dyDescent="0.25">
      <c r="A26" s="17" t="s">
        <v>1520</v>
      </c>
      <c r="B26" s="2" t="s">
        <v>1458</v>
      </c>
      <c r="C26" s="27" t="s">
        <v>16</v>
      </c>
      <c r="D26" s="2" t="str">
        <f>VLOOKUP($C26,Sheet1!$A$2:$D$10,2,0)</f>
        <v>141140-91211</v>
      </c>
      <c r="E26" s="8" t="s">
        <v>70</v>
      </c>
      <c r="F26" s="12">
        <v>46050</v>
      </c>
      <c r="G26" s="13">
        <v>0.35416666666666669</v>
      </c>
      <c r="H26" s="2" t="s">
        <v>71</v>
      </c>
      <c r="I26" s="2" t="s">
        <v>54</v>
      </c>
      <c r="J26" s="2">
        <v>34</v>
      </c>
      <c r="K26" s="14">
        <f>VLOOKUP($C26,Sheet1!$A$2:$D$10,4,0)</f>
        <v>2</v>
      </c>
      <c r="L26" s="14" t="str">
        <f>VLOOKUP($C26,Sheet1!$A$2:$E$10,5,0)</f>
        <v>Bin</v>
      </c>
      <c r="M26" s="14">
        <f t="shared" ref="M26:M27" si="2">J26/K26</f>
        <v>17</v>
      </c>
      <c r="N26" s="2"/>
      <c r="O26" s="2" t="s">
        <v>359</v>
      </c>
      <c r="P26" s="2" t="s">
        <v>724</v>
      </c>
    </row>
    <row r="27" spans="1:16" x14ac:dyDescent="0.25">
      <c r="A27" s="17" t="s">
        <v>1520</v>
      </c>
      <c r="B27" s="2" t="s">
        <v>1468</v>
      </c>
      <c r="C27" s="27" t="s">
        <v>20</v>
      </c>
      <c r="D27" s="2" t="str">
        <f>VLOOKUP($C27,Sheet1!$A$2:$D$10,2,0)</f>
        <v>141150-91211</v>
      </c>
      <c r="E27" s="8" t="s">
        <v>78</v>
      </c>
      <c r="F27" s="12">
        <v>46050</v>
      </c>
      <c r="G27" s="13">
        <v>0.35416666666666669</v>
      </c>
      <c r="H27" s="2" t="s">
        <v>71</v>
      </c>
      <c r="I27" s="2" t="s">
        <v>54</v>
      </c>
      <c r="J27" s="2">
        <v>34</v>
      </c>
      <c r="K27" s="14">
        <f>VLOOKUP($C27,Sheet1!$A$2:$D$10,4,0)</f>
        <v>2</v>
      </c>
      <c r="L27" s="14" t="str">
        <f>VLOOKUP($C27,Sheet1!$A$2:$E$10,5,0)</f>
        <v>Bin</v>
      </c>
      <c r="M27" s="14">
        <f t="shared" si="2"/>
        <v>17</v>
      </c>
      <c r="N27" s="2"/>
      <c r="O27" s="2" t="s">
        <v>359</v>
      </c>
      <c r="P27" s="2" t="s">
        <v>724</v>
      </c>
    </row>
    <row r="28" spans="1:16" x14ac:dyDescent="0.25">
      <c r="A28" s="17" t="s">
        <v>1520</v>
      </c>
      <c r="B28" s="2" t="s">
        <v>1478</v>
      </c>
      <c r="C28" s="27" t="s">
        <v>23</v>
      </c>
      <c r="D28" s="2" t="str">
        <f>VLOOKUP($C28,Sheet1!$A$2:$D$10,2,0)</f>
        <v>141186-74360</v>
      </c>
      <c r="E28" s="8" t="s">
        <v>85</v>
      </c>
      <c r="F28" s="12">
        <v>46050</v>
      </c>
      <c r="G28" s="13">
        <v>0.35416666666666669</v>
      </c>
      <c r="H28" s="2" t="s">
        <v>71</v>
      </c>
      <c r="I28" s="2" t="s">
        <v>54</v>
      </c>
      <c r="J28" s="2">
        <v>80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f>J28/K28</f>
        <v>2</v>
      </c>
      <c r="O28" s="2" t="s">
        <v>359</v>
      </c>
      <c r="P28" s="2">
        <v>910107273</v>
      </c>
    </row>
    <row r="29" spans="1:16" x14ac:dyDescent="0.25">
      <c r="A29" s="17" t="s">
        <v>1521</v>
      </c>
      <c r="B29" s="2" t="s">
        <v>1488</v>
      </c>
      <c r="C29" s="27" t="s">
        <v>26</v>
      </c>
      <c r="D29" s="2" t="str">
        <f>VLOOKUP($C29,Sheet1!$A$2:$D$10,2,0)</f>
        <v>116040-92240</v>
      </c>
      <c r="E29" s="8" t="s">
        <v>90</v>
      </c>
      <c r="F29" s="12">
        <v>46050</v>
      </c>
      <c r="G29" s="13">
        <v>0.35416666666666669</v>
      </c>
      <c r="H29" s="2" t="s">
        <v>91</v>
      </c>
      <c r="I29" s="2" t="s">
        <v>54</v>
      </c>
      <c r="J29" s="2">
        <v>30</v>
      </c>
      <c r="K29" s="14">
        <f>VLOOKUP($C29,Sheet1!$A$2:$D$10,4,0)</f>
        <v>6</v>
      </c>
      <c r="L29" s="14" t="str">
        <f>VLOOKUP($C29,Sheet1!$A$2:$E$10,5,0)</f>
        <v>Bin</v>
      </c>
      <c r="M29" s="14">
        <f t="shared" ref="M29:M31" si="3">J29/K29</f>
        <v>5</v>
      </c>
      <c r="N29" s="2"/>
      <c r="O29" s="2" t="s">
        <v>359</v>
      </c>
      <c r="P29" s="2" t="s">
        <v>1859</v>
      </c>
    </row>
    <row r="30" spans="1:16" x14ac:dyDescent="0.25">
      <c r="A30" s="17" t="s">
        <v>1521</v>
      </c>
      <c r="B30" s="2" t="s">
        <v>1498</v>
      </c>
      <c r="C30" s="27" t="s">
        <v>32</v>
      </c>
      <c r="D30" s="2" t="str">
        <f>VLOOKUP($C30,Sheet1!$A$2:$D$10,2,0)</f>
        <v>114010-50820</v>
      </c>
      <c r="E30" s="8" t="s">
        <v>98</v>
      </c>
      <c r="F30" s="12">
        <v>46050</v>
      </c>
      <c r="G30" s="13">
        <v>0.35416666666666669</v>
      </c>
      <c r="H30" s="2" t="s">
        <v>91</v>
      </c>
      <c r="I30" s="2" t="s">
        <v>54</v>
      </c>
      <c r="J30" s="2">
        <v>17</v>
      </c>
      <c r="K30" s="14">
        <f>VLOOKUP($C30,Sheet1!$A$2:$D$10,4,0)</f>
        <v>1</v>
      </c>
      <c r="L30" s="14" t="str">
        <f>VLOOKUP($C30,Sheet1!$A$2:$E$10,5,0)</f>
        <v>Bin</v>
      </c>
      <c r="M30" s="14">
        <f t="shared" si="3"/>
        <v>17</v>
      </c>
      <c r="N30" s="2"/>
      <c r="O30" s="2" t="s">
        <v>359</v>
      </c>
      <c r="P30" s="2" t="s">
        <v>420</v>
      </c>
    </row>
    <row r="31" spans="1:16" x14ac:dyDescent="0.25">
      <c r="A31" s="17" t="s">
        <v>1521</v>
      </c>
      <c r="B31" s="2" t="s">
        <v>1508</v>
      </c>
      <c r="C31" s="27" t="s">
        <v>29</v>
      </c>
      <c r="D31" s="2" t="str">
        <f>VLOOKUP($C31,Sheet1!$A$2:$D$10,2,0)</f>
        <v>114010-50830</v>
      </c>
      <c r="E31" s="8" t="s">
        <v>98</v>
      </c>
      <c r="F31" s="12">
        <v>46050</v>
      </c>
      <c r="G31" s="13">
        <v>0.35416666666666669</v>
      </c>
      <c r="H31" s="2" t="s">
        <v>91</v>
      </c>
      <c r="I31" s="2" t="s">
        <v>54</v>
      </c>
      <c r="J31" s="2">
        <v>18</v>
      </c>
      <c r="K31" s="14">
        <f>VLOOKUP($C31,Sheet1!$A$2:$D$10,4,0)</f>
        <v>1</v>
      </c>
      <c r="L31" s="14" t="str">
        <f>VLOOKUP($C31,Sheet1!$A$2:$E$10,5,0)</f>
        <v>Bin</v>
      </c>
      <c r="M31" s="14">
        <f t="shared" si="3"/>
        <v>18</v>
      </c>
      <c r="N31" s="2"/>
      <c r="O31" s="2" t="s">
        <v>359</v>
      </c>
      <c r="P31" s="2" t="s">
        <v>1912</v>
      </c>
    </row>
    <row r="32" spans="1:16" s="11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v>74</v>
      </c>
      <c r="N32" s="10">
        <v>6</v>
      </c>
      <c r="O32" s="10"/>
      <c r="P32" s="10"/>
    </row>
    <row r="33" spans="1:16" x14ac:dyDescent="0.25">
      <c r="A33" s="17" t="s">
        <v>1522</v>
      </c>
      <c r="B33" s="2" t="s">
        <v>1429</v>
      </c>
      <c r="C33" s="27" t="s">
        <v>5</v>
      </c>
      <c r="D33" s="2" t="str">
        <f>VLOOKUP($C33,Sheet1!$A$2:$D$10,2,0)</f>
        <v>141110-14600</v>
      </c>
      <c r="E33" s="8" t="s">
        <v>52</v>
      </c>
      <c r="F33" s="12">
        <v>46050</v>
      </c>
      <c r="G33" s="13">
        <v>0.4375</v>
      </c>
      <c r="H33" s="2" t="s">
        <v>53</v>
      </c>
      <c r="I33" s="2" t="s">
        <v>54</v>
      </c>
      <c r="J33" s="2">
        <v>36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2">
        <v>2</v>
      </c>
      <c r="O33" s="2" t="s">
        <v>122</v>
      </c>
      <c r="P33" s="2" t="s">
        <v>1931</v>
      </c>
    </row>
    <row r="34" spans="1:16" x14ac:dyDescent="0.25">
      <c r="A34" s="17" t="s">
        <v>1522</v>
      </c>
      <c r="B34" s="2" t="s">
        <v>1439</v>
      </c>
      <c r="C34" s="27" t="s">
        <v>9</v>
      </c>
      <c r="D34" s="2" t="str">
        <f>VLOOKUP($C34,Sheet1!$A$2:$D$10,2,0)</f>
        <v>141120-14600</v>
      </c>
      <c r="E34" s="8" t="s">
        <v>60</v>
      </c>
      <c r="F34" s="12">
        <v>46050</v>
      </c>
      <c r="G34" s="13">
        <v>0.4375</v>
      </c>
      <c r="H34" s="2" t="s">
        <v>53</v>
      </c>
      <c r="I34" s="2" t="s">
        <v>54</v>
      </c>
      <c r="J34" s="2">
        <v>36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3"/>
      <c r="O34" s="2" t="s">
        <v>122</v>
      </c>
      <c r="P34" s="2" t="s">
        <v>1931</v>
      </c>
    </row>
    <row r="35" spans="1:16" x14ac:dyDescent="0.25">
      <c r="A35" s="17" t="s">
        <v>1522</v>
      </c>
      <c r="B35" s="2" t="s">
        <v>1449</v>
      </c>
      <c r="C35" s="27" t="s">
        <v>12</v>
      </c>
      <c r="D35" s="2" t="str">
        <f>VLOOKUP($C35,Sheet1!$A$2:$D$10,2,0)</f>
        <v>141185-74670</v>
      </c>
      <c r="E35" s="8" t="s">
        <v>66</v>
      </c>
      <c r="F35" s="12">
        <v>46050</v>
      </c>
      <c r="G35" s="13">
        <v>0.4375</v>
      </c>
      <c r="H35" s="2" t="s">
        <v>53</v>
      </c>
      <c r="I35" s="2" t="s">
        <v>54</v>
      </c>
      <c r="J35" s="2">
        <v>40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>J35/K35</f>
        <v>1</v>
      </c>
      <c r="O35" s="2" t="s">
        <v>122</v>
      </c>
      <c r="P35" s="2">
        <v>910107272</v>
      </c>
    </row>
    <row r="36" spans="1:16" x14ac:dyDescent="0.25">
      <c r="A36" s="17" t="s">
        <v>1522</v>
      </c>
      <c r="B36" s="2" t="s">
        <v>1459</v>
      </c>
      <c r="C36" s="27" t="s">
        <v>16</v>
      </c>
      <c r="D36" s="2" t="str">
        <f>VLOOKUP($C36,Sheet1!$A$2:$D$10,2,0)</f>
        <v>141140-91211</v>
      </c>
      <c r="E36" s="8" t="s">
        <v>70</v>
      </c>
      <c r="F36" s="12">
        <v>46050</v>
      </c>
      <c r="G36" s="13">
        <v>0.4375</v>
      </c>
      <c r="H36" s="2" t="s">
        <v>71</v>
      </c>
      <c r="I36" s="2" t="s">
        <v>54</v>
      </c>
      <c r="J36" s="2">
        <v>32</v>
      </c>
      <c r="K36" s="14">
        <f>VLOOKUP($C36,Sheet1!$A$2:$D$10,4,0)</f>
        <v>2</v>
      </c>
      <c r="L36" s="14" t="str">
        <f>VLOOKUP($C36,Sheet1!$A$2:$E$10,5,0)</f>
        <v>Bin</v>
      </c>
      <c r="M36" s="14">
        <f t="shared" ref="M36:M37" si="4">J36/K36</f>
        <v>16</v>
      </c>
      <c r="N36" s="2"/>
      <c r="O36" s="2" t="s">
        <v>122</v>
      </c>
      <c r="P36" s="2" t="s">
        <v>724</v>
      </c>
    </row>
    <row r="37" spans="1:16" x14ac:dyDescent="0.25">
      <c r="A37" s="17" t="s">
        <v>1522</v>
      </c>
      <c r="B37" s="2" t="s">
        <v>1469</v>
      </c>
      <c r="C37" s="27" t="s">
        <v>20</v>
      </c>
      <c r="D37" s="2" t="str">
        <f>VLOOKUP($C37,Sheet1!$A$2:$D$10,2,0)</f>
        <v>141150-91211</v>
      </c>
      <c r="E37" s="8" t="s">
        <v>78</v>
      </c>
      <c r="F37" s="12">
        <v>46050</v>
      </c>
      <c r="G37" s="13">
        <v>0.4375</v>
      </c>
      <c r="H37" s="2" t="s">
        <v>71</v>
      </c>
      <c r="I37" s="2" t="s">
        <v>54</v>
      </c>
      <c r="J37" s="2">
        <v>32</v>
      </c>
      <c r="K37" s="14">
        <f>VLOOKUP($C37,Sheet1!$A$2:$D$10,4,0)</f>
        <v>2</v>
      </c>
      <c r="L37" s="14" t="str">
        <f>VLOOKUP($C37,Sheet1!$A$2:$E$10,5,0)</f>
        <v>Bin</v>
      </c>
      <c r="M37" s="14">
        <f t="shared" si="4"/>
        <v>16</v>
      </c>
      <c r="N37" s="2"/>
      <c r="O37" s="2" t="s">
        <v>122</v>
      </c>
      <c r="P37" s="2" t="s">
        <v>724</v>
      </c>
    </row>
    <row r="38" spans="1:16" x14ac:dyDescent="0.25">
      <c r="A38" s="17" t="s">
        <v>1522</v>
      </c>
      <c r="B38" s="2" t="s">
        <v>1479</v>
      </c>
      <c r="C38" s="27" t="s">
        <v>23</v>
      </c>
      <c r="D38" s="2" t="str">
        <f>VLOOKUP($C38,Sheet1!$A$2:$D$10,2,0)</f>
        <v>141186-74360</v>
      </c>
      <c r="E38" s="8" t="s">
        <v>85</v>
      </c>
      <c r="F38" s="12">
        <v>46050</v>
      </c>
      <c r="G38" s="13">
        <v>0.4375</v>
      </c>
      <c r="H38" s="2" t="s">
        <v>71</v>
      </c>
      <c r="I38" s="2" t="s">
        <v>54</v>
      </c>
      <c r="J38" s="2">
        <v>40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1</v>
      </c>
      <c r="O38" s="2" t="s">
        <v>122</v>
      </c>
      <c r="P38" s="2">
        <v>910107273</v>
      </c>
    </row>
    <row r="39" spans="1:16" x14ac:dyDescent="0.25">
      <c r="A39" s="17" t="s">
        <v>1523</v>
      </c>
      <c r="B39" s="2" t="s">
        <v>1489</v>
      </c>
      <c r="C39" s="27" t="s">
        <v>26</v>
      </c>
      <c r="D39" s="2" t="str">
        <f>VLOOKUP($C39,Sheet1!$A$2:$D$10,2,0)</f>
        <v>116040-92240</v>
      </c>
      <c r="E39" s="8" t="s">
        <v>90</v>
      </c>
      <c r="F39" s="12">
        <v>46050</v>
      </c>
      <c r="G39" s="13">
        <v>0.4375</v>
      </c>
      <c r="H39" s="2" t="s">
        <v>91</v>
      </c>
      <c r="I39" s="2" t="s">
        <v>54</v>
      </c>
      <c r="J39" s="2">
        <v>36</v>
      </c>
      <c r="K39" s="14">
        <f>VLOOKUP($C39,Sheet1!$A$2:$D$10,4,0)</f>
        <v>6</v>
      </c>
      <c r="L39" s="14" t="str">
        <f>VLOOKUP($C39,Sheet1!$A$2:$E$10,5,0)</f>
        <v>Bin</v>
      </c>
      <c r="M39" s="14">
        <f t="shared" ref="M39:M41" si="5">J39/K39</f>
        <v>6</v>
      </c>
      <c r="N39" s="2"/>
      <c r="O39" s="2" t="s">
        <v>122</v>
      </c>
      <c r="P39" s="2" t="s">
        <v>1859</v>
      </c>
    </row>
    <row r="40" spans="1:16" x14ac:dyDescent="0.25">
      <c r="A40" s="17" t="s">
        <v>1523</v>
      </c>
      <c r="B40" s="2" t="s">
        <v>1499</v>
      </c>
      <c r="C40" s="27" t="s">
        <v>32</v>
      </c>
      <c r="D40" s="2" t="str">
        <f>VLOOKUP($C40,Sheet1!$A$2:$D$10,2,0)</f>
        <v>114010-50820</v>
      </c>
      <c r="E40" s="8" t="s">
        <v>98</v>
      </c>
      <c r="F40" s="12">
        <v>46050</v>
      </c>
      <c r="G40" s="13">
        <v>0.4375</v>
      </c>
      <c r="H40" s="2" t="s">
        <v>91</v>
      </c>
      <c r="I40" s="2" t="s">
        <v>54</v>
      </c>
      <c r="J40" s="2">
        <v>15</v>
      </c>
      <c r="K40" s="14">
        <f>VLOOKUP($C40,Sheet1!$A$2:$D$10,4,0)</f>
        <v>1</v>
      </c>
      <c r="L40" s="14" t="str">
        <f>VLOOKUP($C40,Sheet1!$A$2:$E$10,5,0)</f>
        <v>Bin</v>
      </c>
      <c r="M40" s="14">
        <f t="shared" si="5"/>
        <v>15</v>
      </c>
      <c r="N40" s="2"/>
      <c r="O40" s="2" t="s">
        <v>122</v>
      </c>
      <c r="P40" s="2" t="s">
        <v>420</v>
      </c>
    </row>
    <row r="41" spans="1:16" x14ac:dyDescent="0.25">
      <c r="A41" s="17" t="s">
        <v>1523</v>
      </c>
      <c r="B41" s="2" t="s">
        <v>1509</v>
      </c>
      <c r="C41" s="27" t="s">
        <v>29</v>
      </c>
      <c r="D41" s="2" t="str">
        <f>VLOOKUP($C41,Sheet1!$A$2:$D$10,2,0)</f>
        <v>114010-50830</v>
      </c>
      <c r="E41" s="8" t="s">
        <v>98</v>
      </c>
      <c r="F41" s="12">
        <v>46050</v>
      </c>
      <c r="G41" s="13">
        <v>0.4375</v>
      </c>
      <c r="H41" s="2" t="s">
        <v>91</v>
      </c>
      <c r="I41" s="2" t="s">
        <v>54</v>
      </c>
      <c r="J41" s="2">
        <v>17</v>
      </c>
      <c r="K41" s="14">
        <f>VLOOKUP($C41,Sheet1!$A$2:$D$10,4,0)</f>
        <v>1</v>
      </c>
      <c r="L41" s="14" t="str">
        <f>VLOOKUP($C41,Sheet1!$A$2:$E$10,5,0)</f>
        <v>Bin</v>
      </c>
      <c r="M41" s="14">
        <f t="shared" si="5"/>
        <v>17</v>
      </c>
      <c r="N41" s="2"/>
      <c r="O41" s="2" t="s">
        <v>122</v>
      </c>
      <c r="P41" s="2" t="s">
        <v>1912</v>
      </c>
    </row>
    <row r="42" spans="1:16" s="11" customForma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70</v>
      </c>
      <c r="N42" s="10">
        <v>4</v>
      </c>
      <c r="O42" s="10"/>
      <c r="P42" s="10"/>
    </row>
    <row r="43" spans="1:16" x14ac:dyDescent="0.25">
      <c r="A43" s="17" t="s">
        <v>1524</v>
      </c>
      <c r="B43" s="2" t="s">
        <v>1430</v>
      </c>
      <c r="C43" s="27" t="s">
        <v>5</v>
      </c>
      <c r="D43" s="2" t="str">
        <f>VLOOKUP($C43,Sheet1!$A$2:$D$10,2,0)</f>
        <v>141110-14600</v>
      </c>
      <c r="E43" s="8" t="s">
        <v>52</v>
      </c>
      <c r="F43" s="12">
        <v>46050</v>
      </c>
      <c r="G43" s="13">
        <v>0.52083333333333337</v>
      </c>
      <c r="H43" s="2" t="s">
        <v>53</v>
      </c>
      <c r="I43" s="2" t="s">
        <v>54</v>
      </c>
      <c r="J43" s="2">
        <v>54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2">
        <v>3</v>
      </c>
      <c r="O43" s="2" t="s">
        <v>119</v>
      </c>
      <c r="P43" s="2" t="s">
        <v>1931</v>
      </c>
    </row>
    <row r="44" spans="1:16" x14ac:dyDescent="0.25">
      <c r="A44" s="17" t="s">
        <v>1524</v>
      </c>
      <c r="B44" s="2" t="s">
        <v>1440</v>
      </c>
      <c r="C44" s="27" t="s">
        <v>9</v>
      </c>
      <c r="D44" s="2" t="str">
        <f>VLOOKUP($C44,Sheet1!$A$2:$D$10,2,0)</f>
        <v>141120-14600</v>
      </c>
      <c r="E44" s="8" t="s">
        <v>60</v>
      </c>
      <c r="F44" s="12">
        <v>46050</v>
      </c>
      <c r="G44" s="13">
        <v>0.52083333333333337</v>
      </c>
      <c r="H44" s="2" t="s">
        <v>53</v>
      </c>
      <c r="I44" s="2" t="s">
        <v>54</v>
      </c>
      <c r="J44" s="2">
        <v>54</v>
      </c>
      <c r="K44" s="14">
        <f>VLOOKUP($C44,Sheet1!$A$2:$D$10,4,0)</f>
        <v>18</v>
      </c>
      <c r="L44" s="14" t="str">
        <f>VLOOKUP($C44,Sheet1!$A$2:$E$10,5,0)</f>
        <v>Trolley (H)</v>
      </c>
      <c r="M44" s="14"/>
      <c r="N44" s="53"/>
      <c r="O44" s="2" t="s">
        <v>119</v>
      </c>
      <c r="P44" s="2" t="s">
        <v>1932</v>
      </c>
    </row>
    <row r="45" spans="1:16" x14ac:dyDescent="0.25">
      <c r="A45" s="17" t="s">
        <v>1524</v>
      </c>
      <c r="B45" s="2" t="s">
        <v>1450</v>
      </c>
      <c r="C45" s="27" t="s">
        <v>12</v>
      </c>
      <c r="D45" s="2" t="str">
        <f>VLOOKUP($C45,Sheet1!$A$2:$D$10,2,0)</f>
        <v>141185-74670</v>
      </c>
      <c r="E45" s="8" t="s">
        <v>66</v>
      </c>
      <c r="F45" s="12">
        <v>46050</v>
      </c>
      <c r="G45" s="13">
        <v>0.52083333333333337</v>
      </c>
      <c r="H45" s="2" t="s">
        <v>53</v>
      </c>
      <c r="I45" s="2" t="s">
        <v>54</v>
      </c>
      <c r="J45" s="2">
        <v>120</v>
      </c>
      <c r="K45" s="14">
        <f>VLOOKUP($C45,Sheet1!$A$2:$D$10,4,0)</f>
        <v>40</v>
      </c>
      <c r="L45" s="14" t="str">
        <f>VLOOKUP($C45,Sheet1!$A$2:$E$10,5,0)</f>
        <v>Trolley</v>
      </c>
      <c r="M45" s="14"/>
      <c r="N45" s="2">
        <f>J45/K45</f>
        <v>3</v>
      </c>
      <c r="O45" s="2" t="s">
        <v>119</v>
      </c>
      <c r="P45" s="2">
        <v>910107272</v>
      </c>
    </row>
    <row r="46" spans="1:16" x14ac:dyDescent="0.25">
      <c r="A46" s="17" t="s">
        <v>1524</v>
      </c>
      <c r="B46" s="2" t="s">
        <v>1460</v>
      </c>
      <c r="C46" s="27" t="s">
        <v>16</v>
      </c>
      <c r="D46" s="2" t="str">
        <f>VLOOKUP($C46,Sheet1!$A$2:$D$10,2,0)</f>
        <v>141140-91211</v>
      </c>
      <c r="E46" s="8" t="s">
        <v>70</v>
      </c>
      <c r="F46" s="12">
        <v>46050</v>
      </c>
      <c r="G46" s="13">
        <v>0.52083333333333337</v>
      </c>
      <c r="H46" s="2" t="s">
        <v>71</v>
      </c>
      <c r="I46" s="2" t="s">
        <v>54</v>
      </c>
      <c r="J46" s="2">
        <v>48</v>
      </c>
      <c r="K46" s="14">
        <f>VLOOKUP($C46,Sheet1!$A$2:$D$10,4,0)</f>
        <v>2</v>
      </c>
      <c r="L46" s="14" t="str">
        <f>VLOOKUP($C46,Sheet1!$A$2:$E$10,5,0)</f>
        <v>Bin</v>
      </c>
      <c r="M46" s="14">
        <f t="shared" ref="M46:M47" si="6">J46/K46</f>
        <v>24</v>
      </c>
      <c r="N46" s="2"/>
      <c r="O46" s="2" t="s">
        <v>119</v>
      </c>
      <c r="P46" s="2" t="s">
        <v>724</v>
      </c>
    </row>
    <row r="47" spans="1:16" x14ac:dyDescent="0.25">
      <c r="A47" s="17" t="s">
        <v>1524</v>
      </c>
      <c r="B47" s="2" t="s">
        <v>1470</v>
      </c>
      <c r="C47" s="27" t="s">
        <v>20</v>
      </c>
      <c r="D47" s="2" t="str">
        <f>VLOOKUP($C47,Sheet1!$A$2:$D$10,2,0)</f>
        <v>141150-91211</v>
      </c>
      <c r="E47" s="8" t="s">
        <v>78</v>
      </c>
      <c r="F47" s="12">
        <v>46050</v>
      </c>
      <c r="G47" s="13">
        <v>0.52083333333333337</v>
      </c>
      <c r="H47" s="2" t="s">
        <v>71</v>
      </c>
      <c r="I47" s="2" t="s">
        <v>54</v>
      </c>
      <c r="J47" s="2">
        <v>48</v>
      </c>
      <c r="K47" s="14">
        <f>VLOOKUP($C47,Sheet1!$A$2:$D$10,4,0)</f>
        <v>2</v>
      </c>
      <c r="L47" s="14" t="str">
        <f>VLOOKUP($C47,Sheet1!$A$2:$E$10,5,0)</f>
        <v>Bin</v>
      </c>
      <c r="M47" s="14">
        <f t="shared" si="6"/>
        <v>24</v>
      </c>
      <c r="N47" s="2"/>
      <c r="O47" s="2" t="s">
        <v>119</v>
      </c>
      <c r="P47" s="2" t="s">
        <v>724</v>
      </c>
    </row>
    <row r="48" spans="1:16" x14ac:dyDescent="0.25">
      <c r="A48" s="17" t="s">
        <v>1524</v>
      </c>
      <c r="B48" s="2" t="s">
        <v>1480</v>
      </c>
      <c r="C48" s="27" t="s">
        <v>23</v>
      </c>
      <c r="D48" s="2" t="str">
        <f>VLOOKUP($C48,Sheet1!$A$2:$D$10,2,0)</f>
        <v>141186-74360</v>
      </c>
      <c r="E48" s="8" t="s">
        <v>85</v>
      </c>
      <c r="F48" s="12">
        <v>46050</v>
      </c>
      <c r="G48" s="13">
        <v>0.52083333333333337</v>
      </c>
      <c r="H48" s="2" t="s">
        <v>71</v>
      </c>
      <c r="I48" s="2" t="s">
        <v>54</v>
      </c>
      <c r="J48" s="2">
        <v>120</v>
      </c>
      <c r="K48" s="14">
        <f>VLOOKUP($C48,Sheet1!$A$2:$D$10,4,0)</f>
        <v>40</v>
      </c>
      <c r="L48" s="14" t="str">
        <f>VLOOKUP($C48,Sheet1!$A$2:$E$10,5,0)</f>
        <v>Trolley</v>
      </c>
      <c r="M48" s="14"/>
      <c r="N48" s="2">
        <f>J48/K48</f>
        <v>3</v>
      </c>
      <c r="O48" s="2" t="s">
        <v>119</v>
      </c>
      <c r="P48" s="2">
        <v>910107273</v>
      </c>
    </row>
    <row r="49" spans="1:16" x14ac:dyDescent="0.25">
      <c r="A49" s="17" t="s">
        <v>1525</v>
      </c>
      <c r="B49" s="2" t="s">
        <v>1490</v>
      </c>
      <c r="C49" s="27" t="s">
        <v>26</v>
      </c>
      <c r="D49" s="2" t="str">
        <f>VLOOKUP($C49,Sheet1!$A$2:$D$10,2,0)</f>
        <v>116040-92240</v>
      </c>
      <c r="E49" s="8" t="s">
        <v>90</v>
      </c>
      <c r="F49" s="12">
        <v>46050</v>
      </c>
      <c r="G49" s="13">
        <v>0.52083333333333337</v>
      </c>
      <c r="H49" s="2" t="s">
        <v>91</v>
      </c>
      <c r="I49" s="2" t="s">
        <v>54</v>
      </c>
      <c r="J49" s="2">
        <v>48</v>
      </c>
      <c r="K49" s="14">
        <f>VLOOKUP($C49,Sheet1!$A$2:$D$10,4,0)</f>
        <v>6</v>
      </c>
      <c r="L49" s="14" t="str">
        <f>VLOOKUP($C49,Sheet1!$A$2:$E$10,5,0)</f>
        <v>Bin</v>
      </c>
      <c r="M49" s="14">
        <f t="shared" ref="M49:M51" si="7">J49/K49</f>
        <v>8</v>
      </c>
      <c r="N49" s="2"/>
      <c r="O49" s="2" t="s">
        <v>119</v>
      </c>
      <c r="P49" s="2" t="s">
        <v>1859</v>
      </c>
    </row>
    <row r="50" spans="1:16" x14ac:dyDescent="0.25">
      <c r="A50" s="17" t="s">
        <v>1525</v>
      </c>
      <c r="B50" s="2" t="s">
        <v>1500</v>
      </c>
      <c r="C50" s="27" t="s">
        <v>32</v>
      </c>
      <c r="D50" s="2" t="str">
        <f>VLOOKUP($C50,Sheet1!$A$2:$D$10,2,0)</f>
        <v>114010-50820</v>
      </c>
      <c r="E50" s="8" t="s">
        <v>98</v>
      </c>
      <c r="F50" s="12">
        <v>46050</v>
      </c>
      <c r="G50" s="13">
        <v>0.52083333333333337</v>
      </c>
      <c r="H50" s="2" t="s">
        <v>91</v>
      </c>
      <c r="I50" s="2" t="s">
        <v>54</v>
      </c>
      <c r="J50" s="2">
        <v>22</v>
      </c>
      <c r="K50" s="14">
        <f>VLOOKUP($C50,Sheet1!$A$2:$D$10,4,0)</f>
        <v>1</v>
      </c>
      <c r="L50" s="14" t="str">
        <f>VLOOKUP($C50,Sheet1!$A$2:$E$10,5,0)</f>
        <v>Bin</v>
      </c>
      <c r="M50" s="14">
        <f t="shared" si="7"/>
        <v>22</v>
      </c>
      <c r="N50" s="2"/>
      <c r="O50" s="2" t="s">
        <v>119</v>
      </c>
      <c r="P50" s="2" t="s">
        <v>420</v>
      </c>
    </row>
    <row r="51" spans="1:16" x14ac:dyDescent="0.25">
      <c r="A51" s="17" t="s">
        <v>1525</v>
      </c>
      <c r="B51" s="2" t="s">
        <v>1510</v>
      </c>
      <c r="C51" s="27" t="s">
        <v>29</v>
      </c>
      <c r="D51" s="2" t="str">
        <f>VLOOKUP($C51,Sheet1!$A$2:$D$10,2,0)</f>
        <v>114010-50830</v>
      </c>
      <c r="E51" s="8" t="s">
        <v>98</v>
      </c>
      <c r="F51" s="12">
        <v>46050</v>
      </c>
      <c r="G51" s="13">
        <v>0.52083333333333337</v>
      </c>
      <c r="H51" s="2" t="s">
        <v>91</v>
      </c>
      <c r="I51" s="2" t="s">
        <v>54</v>
      </c>
      <c r="J51" s="2">
        <v>26</v>
      </c>
      <c r="K51" s="14">
        <f>VLOOKUP($C51,Sheet1!$A$2:$D$10,4,0)</f>
        <v>1</v>
      </c>
      <c r="L51" s="14" t="str">
        <f>VLOOKUP($C51,Sheet1!$A$2:$E$10,5,0)</f>
        <v>Bin</v>
      </c>
      <c r="M51" s="14">
        <f t="shared" si="7"/>
        <v>26</v>
      </c>
      <c r="N51" s="2"/>
      <c r="O51" s="2" t="s">
        <v>119</v>
      </c>
      <c r="P51" s="2" t="s">
        <v>1912</v>
      </c>
    </row>
    <row r="52" spans="1:16" s="11" customForma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>
        <v>104</v>
      </c>
      <c r="N52" s="10">
        <v>9</v>
      </c>
      <c r="O52" s="10"/>
      <c r="P52" s="10"/>
    </row>
    <row r="53" spans="1:16" x14ac:dyDescent="0.25">
      <c r="A53" s="17" t="s">
        <v>1526</v>
      </c>
      <c r="B53" s="2" t="s">
        <v>1431</v>
      </c>
      <c r="C53" s="27" t="s">
        <v>5</v>
      </c>
      <c r="D53" s="2" t="str">
        <f>VLOOKUP($C53,Sheet1!$A$2:$D$10,2,0)</f>
        <v>141110-14600</v>
      </c>
      <c r="E53" s="8" t="s">
        <v>52</v>
      </c>
      <c r="F53" s="12">
        <v>46050</v>
      </c>
      <c r="G53" s="13">
        <v>0.64583333333333337</v>
      </c>
      <c r="H53" s="2" t="s">
        <v>53</v>
      </c>
      <c r="I53" s="2" t="s">
        <v>54</v>
      </c>
      <c r="J53" s="2">
        <v>36</v>
      </c>
      <c r="K53" s="14">
        <f>VLOOKUP($C53,Sheet1!$A$2:$D$10,4,0)</f>
        <v>18</v>
      </c>
      <c r="L53" s="14" t="str">
        <f>VLOOKUP($C53,Sheet1!$A$2:$E$10,5,0)</f>
        <v>Trolley (H)</v>
      </c>
      <c r="M53" s="14"/>
      <c r="N53" s="52">
        <v>2</v>
      </c>
      <c r="O53" s="2" t="s">
        <v>121</v>
      </c>
      <c r="P53" s="2" t="s">
        <v>1933</v>
      </c>
    </row>
    <row r="54" spans="1:16" x14ac:dyDescent="0.25">
      <c r="A54" s="17" t="s">
        <v>1526</v>
      </c>
      <c r="B54" s="2" t="s">
        <v>1441</v>
      </c>
      <c r="C54" s="27" t="s">
        <v>9</v>
      </c>
      <c r="D54" s="2" t="str">
        <f>VLOOKUP($C54,Sheet1!$A$2:$D$10,2,0)</f>
        <v>141120-14600</v>
      </c>
      <c r="E54" s="8" t="s">
        <v>60</v>
      </c>
      <c r="F54" s="12">
        <v>46050</v>
      </c>
      <c r="G54" s="13">
        <v>0.64583333333333337</v>
      </c>
      <c r="H54" s="2" t="s">
        <v>53</v>
      </c>
      <c r="I54" s="2" t="s">
        <v>54</v>
      </c>
      <c r="J54" s="2">
        <v>36</v>
      </c>
      <c r="K54" s="14">
        <f>VLOOKUP($C54,Sheet1!$A$2:$D$10,4,0)</f>
        <v>18</v>
      </c>
      <c r="L54" s="14" t="str">
        <f>VLOOKUP($C54,Sheet1!$A$2:$E$10,5,0)</f>
        <v>Trolley (H)</v>
      </c>
      <c r="M54" s="14"/>
      <c r="N54" s="53"/>
      <c r="O54" s="2" t="s">
        <v>121</v>
      </c>
      <c r="P54" s="2" t="s">
        <v>1934</v>
      </c>
    </row>
    <row r="55" spans="1:16" x14ac:dyDescent="0.25">
      <c r="A55" s="17" t="s">
        <v>1526</v>
      </c>
      <c r="B55" s="2" t="s">
        <v>1451</v>
      </c>
      <c r="C55" s="27" t="s">
        <v>12</v>
      </c>
      <c r="D55" s="2" t="str">
        <f>VLOOKUP($C55,Sheet1!$A$2:$D$10,2,0)</f>
        <v>141185-74670</v>
      </c>
      <c r="E55" s="8" t="s">
        <v>66</v>
      </c>
      <c r="F55" s="12">
        <v>46050</v>
      </c>
      <c r="G55" s="13">
        <v>0.64583333333333337</v>
      </c>
      <c r="H55" s="2" t="s">
        <v>53</v>
      </c>
      <c r="I55" s="2" t="s">
        <v>54</v>
      </c>
      <c r="J55" s="2">
        <v>80</v>
      </c>
      <c r="K55" s="14">
        <f>VLOOKUP($C55,Sheet1!$A$2:$D$10,4,0)</f>
        <v>40</v>
      </c>
      <c r="L55" s="14" t="str">
        <f>VLOOKUP($C55,Sheet1!$A$2:$E$10,5,0)</f>
        <v>Trolley</v>
      </c>
      <c r="M55" s="14"/>
      <c r="N55" s="2">
        <f>J55/K55</f>
        <v>2</v>
      </c>
      <c r="O55" s="2" t="s">
        <v>121</v>
      </c>
      <c r="P55" s="2">
        <v>910107701</v>
      </c>
    </row>
    <row r="56" spans="1:16" x14ac:dyDescent="0.25">
      <c r="A56" s="17" t="s">
        <v>1526</v>
      </c>
      <c r="B56" s="2" t="s">
        <v>1461</v>
      </c>
      <c r="C56" s="27" t="s">
        <v>16</v>
      </c>
      <c r="D56" s="2" t="str">
        <f>VLOOKUP($C56,Sheet1!$A$2:$D$10,2,0)</f>
        <v>141140-91211</v>
      </c>
      <c r="E56" s="8" t="s">
        <v>70</v>
      </c>
      <c r="F56" s="12">
        <v>46050</v>
      </c>
      <c r="G56" s="13">
        <v>0.64583333333333337</v>
      </c>
      <c r="H56" s="2" t="s">
        <v>71</v>
      </c>
      <c r="I56" s="2" t="s">
        <v>54</v>
      </c>
      <c r="J56" s="2">
        <v>48</v>
      </c>
      <c r="K56" s="14">
        <f>VLOOKUP($C56,Sheet1!$A$2:$D$10,4,0)</f>
        <v>2</v>
      </c>
      <c r="L56" s="14" t="str">
        <f>VLOOKUP($C56,Sheet1!$A$2:$E$10,5,0)</f>
        <v>Bin</v>
      </c>
      <c r="M56" s="14">
        <f t="shared" ref="M56:M57" si="8">J56/K56</f>
        <v>24</v>
      </c>
      <c r="N56" s="2"/>
      <c r="O56" s="2" t="s">
        <v>121</v>
      </c>
      <c r="P56" s="2" t="s">
        <v>724</v>
      </c>
    </row>
    <row r="57" spans="1:16" x14ac:dyDescent="0.25">
      <c r="A57" s="17" t="s">
        <v>1526</v>
      </c>
      <c r="B57" s="2" t="s">
        <v>1471</v>
      </c>
      <c r="C57" s="27" t="s">
        <v>20</v>
      </c>
      <c r="D57" s="2" t="str">
        <f>VLOOKUP($C57,Sheet1!$A$2:$D$10,2,0)</f>
        <v>141150-91211</v>
      </c>
      <c r="E57" s="8" t="s">
        <v>78</v>
      </c>
      <c r="F57" s="12">
        <v>46050</v>
      </c>
      <c r="G57" s="13">
        <v>0.64583333333333337</v>
      </c>
      <c r="H57" s="2" t="s">
        <v>71</v>
      </c>
      <c r="I57" s="2" t="s">
        <v>54</v>
      </c>
      <c r="J57" s="2">
        <v>48</v>
      </c>
      <c r="K57" s="14">
        <f>VLOOKUP($C57,Sheet1!$A$2:$D$10,4,0)</f>
        <v>2</v>
      </c>
      <c r="L57" s="14" t="str">
        <f>VLOOKUP($C57,Sheet1!$A$2:$E$10,5,0)</f>
        <v>Bin</v>
      </c>
      <c r="M57" s="14">
        <f t="shared" si="8"/>
        <v>24</v>
      </c>
      <c r="N57" s="2"/>
      <c r="O57" s="2" t="s">
        <v>121</v>
      </c>
      <c r="P57" s="2" t="s">
        <v>724</v>
      </c>
    </row>
    <row r="58" spans="1:16" x14ac:dyDescent="0.25">
      <c r="A58" s="17" t="s">
        <v>1526</v>
      </c>
      <c r="B58" s="2" t="s">
        <v>1481</v>
      </c>
      <c r="C58" s="27" t="s">
        <v>23</v>
      </c>
      <c r="D58" s="2" t="str">
        <f>VLOOKUP($C58,Sheet1!$A$2:$D$10,2,0)</f>
        <v>141186-74360</v>
      </c>
      <c r="E58" s="8" t="s">
        <v>85</v>
      </c>
      <c r="F58" s="12">
        <v>46050</v>
      </c>
      <c r="G58" s="13">
        <v>0.64583333333333337</v>
      </c>
      <c r="H58" s="2" t="s">
        <v>71</v>
      </c>
      <c r="I58" s="2" t="s">
        <v>54</v>
      </c>
      <c r="J58" s="2">
        <v>80</v>
      </c>
      <c r="K58" s="14">
        <f>VLOOKUP($C58,Sheet1!$A$2:$D$10,4,0)</f>
        <v>40</v>
      </c>
      <c r="L58" s="14" t="str">
        <f>VLOOKUP($C58,Sheet1!$A$2:$E$10,5,0)</f>
        <v>Trolley</v>
      </c>
      <c r="M58" s="14"/>
      <c r="N58" s="2">
        <f>J58/K58</f>
        <v>2</v>
      </c>
      <c r="O58" s="2" t="s">
        <v>121</v>
      </c>
      <c r="P58" s="2">
        <v>910107273</v>
      </c>
    </row>
    <row r="59" spans="1:16" x14ac:dyDescent="0.25">
      <c r="A59" s="17" t="s">
        <v>1527</v>
      </c>
      <c r="B59" s="2" t="s">
        <v>1491</v>
      </c>
      <c r="C59" s="27" t="s">
        <v>26</v>
      </c>
      <c r="D59" s="2" t="str">
        <f>VLOOKUP($C59,Sheet1!$A$2:$D$10,2,0)</f>
        <v>116040-92240</v>
      </c>
      <c r="E59" s="8" t="s">
        <v>90</v>
      </c>
      <c r="F59" s="12">
        <v>46050</v>
      </c>
      <c r="G59" s="13">
        <v>0.64583333333333337</v>
      </c>
      <c r="H59" s="2" t="s">
        <v>91</v>
      </c>
      <c r="I59" s="2" t="s">
        <v>54</v>
      </c>
      <c r="J59" s="2">
        <v>48</v>
      </c>
      <c r="K59" s="14">
        <f>VLOOKUP($C59,Sheet1!$A$2:$D$10,4,0)</f>
        <v>6</v>
      </c>
      <c r="L59" s="14" t="str">
        <f>VLOOKUP($C59,Sheet1!$A$2:$E$10,5,0)</f>
        <v>Bin</v>
      </c>
      <c r="M59" s="14">
        <f t="shared" ref="M59:M61" si="9">J59/K59</f>
        <v>8</v>
      </c>
      <c r="N59" s="2"/>
      <c r="O59" s="2" t="s">
        <v>121</v>
      </c>
      <c r="P59" s="2" t="s">
        <v>1859</v>
      </c>
    </row>
    <row r="60" spans="1:16" x14ac:dyDescent="0.25">
      <c r="A60" s="17" t="s">
        <v>1527</v>
      </c>
      <c r="B60" s="2" t="s">
        <v>1501</v>
      </c>
      <c r="C60" s="27" t="s">
        <v>32</v>
      </c>
      <c r="D60" s="2" t="str">
        <f>VLOOKUP($C60,Sheet1!$A$2:$D$10,2,0)</f>
        <v>114010-50820</v>
      </c>
      <c r="E60" s="8" t="s">
        <v>98</v>
      </c>
      <c r="F60" s="12">
        <v>46050</v>
      </c>
      <c r="G60" s="13">
        <v>0.64583333333333337</v>
      </c>
      <c r="H60" s="2" t="s">
        <v>91</v>
      </c>
      <c r="I60" s="2" t="s">
        <v>54</v>
      </c>
      <c r="J60" s="2">
        <v>18</v>
      </c>
      <c r="K60" s="14">
        <f>VLOOKUP($C60,Sheet1!$A$2:$D$10,4,0)</f>
        <v>1</v>
      </c>
      <c r="L60" s="14" t="str">
        <f>VLOOKUP($C60,Sheet1!$A$2:$E$10,5,0)</f>
        <v>Bin</v>
      </c>
      <c r="M60" s="14">
        <f t="shared" si="9"/>
        <v>18</v>
      </c>
      <c r="N60" s="2"/>
      <c r="O60" s="2" t="s">
        <v>121</v>
      </c>
      <c r="P60" s="2" t="s">
        <v>1904</v>
      </c>
    </row>
    <row r="61" spans="1:16" x14ac:dyDescent="0.25">
      <c r="A61" s="17" t="s">
        <v>1527</v>
      </c>
      <c r="B61" s="2" t="s">
        <v>1511</v>
      </c>
      <c r="C61" s="27" t="s">
        <v>29</v>
      </c>
      <c r="D61" s="2" t="str">
        <f>VLOOKUP($C61,Sheet1!$A$2:$D$10,2,0)</f>
        <v>114010-50830</v>
      </c>
      <c r="E61" s="8" t="s">
        <v>98</v>
      </c>
      <c r="F61" s="12">
        <v>46050</v>
      </c>
      <c r="G61" s="13">
        <v>0.64583333333333337</v>
      </c>
      <c r="H61" s="2" t="s">
        <v>91</v>
      </c>
      <c r="I61" s="2" t="s">
        <v>54</v>
      </c>
      <c r="J61" s="2">
        <v>30</v>
      </c>
      <c r="K61" s="14">
        <f>VLOOKUP($C61,Sheet1!$A$2:$D$10,4,0)</f>
        <v>1</v>
      </c>
      <c r="L61" s="14" t="str">
        <f>VLOOKUP($C61,Sheet1!$A$2:$E$10,5,0)</f>
        <v>Bin</v>
      </c>
      <c r="M61" s="14">
        <f t="shared" si="9"/>
        <v>30</v>
      </c>
      <c r="N61" s="2"/>
      <c r="O61" s="2" t="s">
        <v>121</v>
      </c>
      <c r="P61" s="2" t="s">
        <v>1912</v>
      </c>
    </row>
    <row r="62" spans="1:16" s="11" customForma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>
        <v>104</v>
      </c>
      <c r="N62" s="10">
        <v>6</v>
      </c>
      <c r="O62" s="10"/>
      <c r="P62" s="10"/>
    </row>
    <row r="63" spans="1:16" x14ac:dyDescent="0.25">
      <c r="A63" s="17" t="s">
        <v>1528</v>
      </c>
      <c r="B63" s="2" t="s">
        <v>1432</v>
      </c>
      <c r="C63" s="27" t="s">
        <v>5</v>
      </c>
      <c r="D63" s="2" t="str">
        <f>VLOOKUP($C63,Sheet1!$A$2:$D$10,2,0)</f>
        <v>141110-14600</v>
      </c>
      <c r="E63" s="8" t="s">
        <v>52</v>
      </c>
      <c r="F63" s="12">
        <v>46050</v>
      </c>
      <c r="G63" s="13">
        <v>0.77083333333333337</v>
      </c>
      <c r="H63" s="2" t="s">
        <v>53</v>
      </c>
      <c r="I63" s="2" t="s">
        <v>54</v>
      </c>
      <c r="J63" s="2">
        <v>54</v>
      </c>
      <c r="K63" s="14">
        <f>VLOOKUP($C63,Sheet1!$A$2:$D$10,4,0)</f>
        <v>18</v>
      </c>
      <c r="L63" s="14" t="str">
        <f>VLOOKUP($C63,Sheet1!$A$2:$E$10,5,0)</f>
        <v>Trolley (H)</v>
      </c>
      <c r="M63" s="14"/>
      <c r="N63" s="52">
        <v>3</v>
      </c>
      <c r="O63" s="2" t="s">
        <v>359</v>
      </c>
      <c r="P63" s="2" t="s">
        <v>1936</v>
      </c>
    </row>
    <row r="64" spans="1:16" x14ac:dyDescent="0.25">
      <c r="A64" s="17" t="s">
        <v>1528</v>
      </c>
      <c r="B64" s="2" t="s">
        <v>1442</v>
      </c>
      <c r="C64" s="27" t="s">
        <v>9</v>
      </c>
      <c r="D64" s="2" t="str">
        <f>VLOOKUP($C64,Sheet1!$A$2:$D$10,2,0)</f>
        <v>141120-14600</v>
      </c>
      <c r="E64" s="8" t="s">
        <v>60</v>
      </c>
      <c r="F64" s="12">
        <v>46050</v>
      </c>
      <c r="G64" s="13">
        <v>0.77083333333333337</v>
      </c>
      <c r="H64" s="2" t="s">
        <v>53</v>
      </c>
      <c r="I64" s="2" t="s">
        <v>54</v>
      </c>
      <c r="J64" s="2">
        <v>54</v>
      </c>
      <c r="K64" s="14">
        <f>VLOOKUP($C64,Sheet1!$A$2:$D$10,4,0)</f>
        <v>18</v>
      </c>
      <c r="L64" s="14" t="str">
        <f>VLOOKUP($C64,Sheet1!$A$2:$E$10,5,0)</f>
        <v>Trolley (H)</v>
      </c>
      <c r="M64" s="14"/>
      <c r="N64" s="53"/>
      <c r="O64" s="2" t="s">
        <v>359</v>
      </c>
      <c r="P64" s="2" t="s">
        <v>1937</v>
      </c>
    </row>
    <row r="65" spans="1:16" x14ac:dyDescent="0.25">
      <c r="A65" s="17" t="s">
        <v>1528</v>
      </c>
      <c r="B65" s="2" t="s">
        <v>1452</v>
      </c>
      <c r="C65" s="27" t="s">
        <v>12</v>
      </c>
      <c r="D65" s="2" t="str">
        <f>VLOOKUP($C65,Sheet1!$A$2:$D$10,2,0)</f>
        <v>141185-74670</v>
      </c>
      <c r="E65" s="8" t="s">
        <v>66</v>
      </c>
      <c r="F65" s="12">
        <v>46050</v>
      </c>
      <c r="G65" s="13">
        <v>0.77083333333333337</v>
      </c>
      <c r="H65" s="2" t="s">
        <v>53</v>
      </c>
      <c r="I65" s="2" t="s">
        <v>54</v>
      </c>
      <c r="J65" s="2">
        <v>80</v>
      </c>
      <c r="K65" s="14">
        <f>VLOOKUP($C65,Sheet1!$A$2:$D$10,4,0)</f>
        <v>40</v>
      </c>
      <c r="L65" s="14" t="str">
        <f>VLOOKUP($C65,Sheet1!$A$2:$E$10,5,0)</f>
        <v>Trolley</v>
      </c>
      <c r="M65" s="14"/>
      <c r="N65" s="2">
        <f>J65/K65</f>
        <v>2</v>
      </c>
      <c r="O65" s="2" t="s">
        <v>359</v>
      </c>
      <c r="P65" s="2">
        <v>910107701</v>
      </c>
    </row>
    <row r="66" spans="1:16" x14ac:dyDescent="0.25">
      <c r="A66" s="17" t="s">
        <v>1528</v>
      </c>
      <c r="B66" s="2" t="s">
        <v>1462</v>
      </c>
      <c r="C66" s="27" t="s">
        <v>16</v>
      </c>
      <c r="D66" s="2" t="str">
        <f>VLOOKUP($C66,Sheet1!$A$2:$D$10,2,0)</f>
        <v>141140-91211</v>
      </c>
      <c r="E66" s="8" t="s">
        <v>70</v>
      </c>
      <c r="F66" s="12">
        <v>46050</v>
      </c>
      <c r="G66" s="13">
        <v>0.77083333333333337</v>
      </c>
      <c r="H66" s="2" t="s">
        <v>71</v>
      </c>
      <c r="I66" s="2" t="s">
        <v>54</v>
      </c>
      <c r="J66" s="2">
        <v>44</v>
      </c>
      <c r="K66" s="14">
        <f>VLOOKUP($C66,Sheet1!$A$2:$D$10,4,0)</f>
        <v>2</v>
      </c>
      <c r="L66" s="14" t="str">
        <f>VLOOKUP($C66,Sheet1!$A$2:$E$10,5,0)</f>
        <v>Bin</v>
      </c>
      <c r="M66" s="14">
        <f t="shared" ref="M66:M67" si="10">J66/K66</f>
        <v>22</v>
      </c>
      <c r="N66" s="2"/>
      <c r="O66" s="2" t="s">
        <v>359</v>
      </c>
      <c r="P66" s="2" t="s">
        <v>724</v>
      </c>
    </row>
    <row r="67" spans="1:16" x14ac:dyDescent="0.25">
      <c r="A67" s="17" t="s">
        <v>1528</v>
      </c>
      <c r="B67" s="2" t="s">
        <v>1472</v>
      </c>
      <c r="C67" s="27" t="s">
        <v>20</v>
      </c>
      <c r="D67" s="2" t="str">
        <f>VLOOKUP($C67,Sheet1!$A$2:$D$10,2,0)</f>
        <v>141150-91211</v>
      </c>
      <c r="E67" s="8" t="s">
        <v>78</v>
      </c>
      <c r="F67" s="12">
        <v>46050</v>
      </c>
      <c r="G67" s="13">
        <v>0.77083333333333337</v>
      </c>
      <c r="H67" s="2" t="s">
        <v>71</v>
      </c>
      <c r="I67" s="2" t="s">
        <v>54</v>
      </c>
      <c r="J67" s="2">
        <v>44</v>
      </c>
      <c r="K67" s="14">
        <f>VLOOKUP($C67,Sheet1!$A$2:$D$10,4,0)</f>
        <v>2</v>
      </c>
      <c r="L67" s="14" t="str">
        <f>VLOOKUP($C67,Sheet1!$A$2:$E$10,5,0)</f>
        <v>Bin</v>
      </c>
      <c r="M67" s="14">
        <f t="shared" si="10"/>
        <v>22</v>
      </c>
      <c r="N67" s="2"/>
      <c r="O67" s="2" t="s">
        <v>359</v>
      </c>
      <c r="P67" s="2" t="s">
        <v>724</v>
      </c>
    </row>
    <row r="68" spans="1:16" x14ac:dyDescent="0.25">
      <c r="A68" s="17" t="s">
        <v>1528</v>
      </c>
      <c r="B68" s="2" t="s">
        <v>1482</v>
      </c>
      <c r="C68" s="27" t="s">
        <v>23</v>
      </c>
      <c r="D68" s="2" t="str">
        <f>VLOOKUP($C68,Sheet1!$A$2:$D$10,2,0)</f>
        <v>141186-74360</v>
      </c>
      <c r="E68" s="8" t="s">
        <v>85</v>
      </c>
      <c r="F68" s="12">
        <v>46050</v>
      </c>
      <c r="G68" s="13">
        <v>0.77083333333333337</v>
      </c>
      <c r="H68" s="2" t="s">
        <v>71</v>
      </c>
      <c r="I68" s="2" t="s">
        <v>54</v>
      </c>
      <c r="J68" s="2">
        <v>80</v>
      </c>
      <c r="K68" s="14">
        <f>VLOOKUP($C68,Sheet1!$A$2:$D$10,4,0)</f>
        <v>40</v>
      </c>
      <c r="L68" s="14" t="str">
        <f>VLOOKUP($C68,Sheet1!$A$2:$E$10,5,0)</f>
        <v>Trolley</v>
      </c>
      <c r="M68" s="14"/>
      <c r="N68" s="2">
        <f>J68/K68</f>
        <v>2</v>
      </c>
      <c r="O68" s="2" t="s">
        <v>359</v>
      </c>
      <c r="P68" s="2">
        <v>910107273</v>
      </c>
    </row>
    <row r="69" spans="1:16" x14ac:dyDescent="0.25">
      <c r="A69" s="17" t="s">
        <v>1529</v>
      </c>
      <c r="B69" s="2" t="s">
        <v>1492</v>
      </c>
      <c r="C69" s="2" t="s">
        <v>26</v>
      </c>
      <c r="D69" s="2" t="str">
        <f>VLOOKUP($C69,Sheet1!$A$2:$D$10,2,0)</f>
        <v>116040-92240</v>
      </c>
      <c r="E69" s="8" t="s">
        <v>90</v>
      </c>
      <c r="F69" s="12">
        <v>46050</v>
      </c>
      <c r="G69" s="13">
        <v>0.77083333333333337</v>
      </c>
      <c r="H69" s="2" t="s">
        <v>91</v>
      </c>
      <c r="I69" s="2" t="s">
        <v>54</v>
      </c>
      <c r="J69" s="2">
        <v>42</v>
      </c>
      <c r="K69" s="14">
        <f>VLOOKUP($C69,Sheet1!$A$2:$D$10,4,0)</f>
        <v>6</v>
      </c>
      <c r="L69" s="14" t="str">
        <f>VLOOKUP($C69,Sheet1!$A$2:$E$10,5,0)</f>
        <v>Bin</v>
      </c>
      <c r="M69" s="14">
        <f t="shared" ref="M69:M71" si="11">J69/K69</f>
        <v>7</v>
      </c>
      <c r="N69" s="2"/>
      <c r="O69" s="2" t="s">
        <v>359</v>
      </c>
      <c r="P69" s="2" t="s">
        <v>1859</v>
      </c>
    </row>
    <row r="70" spans="1:16" x14ac:dyDescent="0.25">
      <c r="A70" s="17" t="s">
        <v>1529</v>
      </c>
      <c r="B70" s="2" t="s">
        <v>1502</v>
      </c>
      <c r="C70" s="2" t="s">
        <v>32</v>
      </c>
      <c r="D70" s="2" t="str">
        <f>VLOOKUP($C70,Sheet1!$A$2:$D$10,2,0)</f>
        <v>114010-50820</v>
      </c>
      <c r="E70" s="8" t="s">
        <v>98</v>
      </c>
      <c r="F70" s="12">
        <v>46050</v>
      </c>
      <c r="G70" s="13">
        <v>0.77083333333333337</v>
      </c>
      <c r="H70" s="2" t="s">
        <v>91</v>
      </c>
      <c r="I70" s="2" t="s">
        <v>54</v>
      </c>
      <c r="J70" s="2">
        <v>31</v>
      </c>
      <c r="K70" s="14">
        <f>VLOOKUP($C70,Sheet1!$A$2:$D$10,4,0)</f>
        <v>1</v>
      </c>
      <c r="L70" s="14" t="str">
        <f>VLOOKUP($C70,Sheet1!$A$2:$E$10,5,0)</f>
        <v>Bin</v>
      </c>
      <c r="M70" s="14">
        <f t="shared" si="11"/>
        <v>31</v>
      </c>
      <c r="N70" s="2"/>
      <c r="O70" s="2" t="s">
        <v>359</v>
      </c>
      <c r="P70" s="2" t="s">
        <v>1904</v>
      </c>
    </row>
    <row r="71" spans="1:16" x14ac:dyDescent="0.25">
      <c r="A71" s="17" t="s">
        <v>1529</v>
      </c>
      <c r="B71" s="2" t="s">
        <v>1512</v>
      </c>
      <c r="C71" s="2" t="s">
        <v>29</v>
      </c>
      <c r="D71" s="2" t="str">
        <f>VLOOKUP($C71,Sheet1!$A$2:$D$10,2,0)</f>
        <v>114010-50830</v>
      </c>
      <c r="E71" s="8" t="s">
        <v>98</v>
      </c>
      <c r="F71" s="12">
        <v>46050</v>
      </c>
      <c r="G71" s="13">
        <v>0.77083333333333337</v>
      </c>
      <c r="H71" s="2" t="s">
        <v>91</v>
      </c>
      <c r="I71" s="2" t="s">
        <v>54</v>
      </c>
      <c r="J71" s="2">
        <v>13</v>
      </c>
      <c r="K71" s="14">
        <f>VLOOKUP($C71,Sheet1!$A$2:$D$10,4,0)</f>
        <v>1</v>
      </c>
      <c r="L71" s="14" t="str">
        <f>VLOOKUP($C71,Sheet1!$A$2:$E$10,5,0)</f>
        <v>Bin</v>
      </c>
      <c r="M71" s="14">
        <f t="shared" si="11"/>
        <v>13</v>
      </c>
      <c r="N71" s="2"/>
      <c r="O71" s="2" t="s">
        <v>359</v>
      </c>
      <c r="P71" s="2" t="s">
        <v>1935</v>
      </c>
    </row>
    <row r="72" spans="1:16" s="11" customForma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>
        <v>95</v>
      </c>
      <c r="N72" s="10">
        <v>7</v>
      </c>
      <c r="O72" s="10"/>
      <c r="P72" s="10"/>
    </row>
    <row r="73" spans="1:16" x14ac:dyDescent="0.25">
      <c r="A73" s="17" t="s">
        <v>1530</v>
      </c>
      <c r="B73" s="2" t="s">
        <v>1433</v>
      </c>
      <c r="C73" s="2" t="s">
        <v>5</v>
      </c>
      <c r="D73" s="2" t="str">
        <f>VLOOKUP($C73,Sheet1!$A$2:$D$10,2,0)</f>
        <v>141110-14600</v>
      </c>
      <c r="E73" s="8" t="s">
        <v>52</v>
      </c>
      <c r="F73" s="12">
        <v>46050</v>
      </c>
      <c r="G73" s="13">
        <v>0.89583333333333337</v>
      </c>
      <c r="H73" s="2" t="s">
        <v>53</v>
      </c>
      <c r="I73" s="2" t="s">
        <v>54</v>
      </c>
      <c r="J73" s="2">
        <v>18</v>
      </c>
      <c r="K73" s="14">
        <f>VLOOKUP($C73,Sheet1!$A$2:$D$10,4,0)</f>
        <v>18</v>
      </c>
      <c r="L73" s="14" t="str">
        <f>VLOOKUP($C73,Sheet1!$A$2:$E$10,5,0)</f>
        <v>Trolley (H)</v>
      </c>
      <c r="M73" s="14"/>
      <c r="N73" s="52">
        <v>1</v>
      </c>
      <c r="O73" s="2" t="s">
        <v>122</v>
      </c>
      <c r="P73" s="2" t="s">
        <v>1938</v>
      </c>
    </row>
    <row r="74" spans="1:16" x14ac:dyDescent="0.25">
      <c r="A74" s="17" t="s">
        <v>1530</v>
      </c>
      <c r="B74" s="2" t="s">
        <v>1443</v>
      </c>
      <c r="C74" s="2" t="s">
        <v>9</v>
      </c>
      <c r="D74" s="2" t="str">
        <f>VLOOKUP($C74,Sheet1!$A$2:$D$10,2,0)</f>
        <v>141120-14600</v>
      </c>
      <c r="E74" s="8" t="s">
        <v>60</v>
      </c>
      <c r="F74" s="12">
        <v>46050</v>
      </c>
      <c r="G74" s="13">
        <v>0.89583333333333337</v>
      </c>
      <c r="H74" s="2" t="s">
        <v>53</v>
      </c>
      <c r="I74" s="2" t="s">
        <v>54</v>
      </c>
      <c r="J74" s="2">
        <v>18</v>
      </c>
      <c r="K74" s="14">
        <f>VLOOKUP($C74,Sheet1!$A$2:$D$10,4,0)</f>
        <v>18</v>
      </c>
      <c r="L74" s="14" t="str">
        <f>VLOOKUP($C74,Sheet1!$A$2:$E$10,5,0)</f>
        <v>Trolley (H)</v>
      </c>
      <c r="M74" s="14"/>
      <c r="N74" s="53"/>
      <c r="O74" s="2" t="s">
        <v>122</v>
      </c>
      <c r="P74" s="2" t="s">
        <v>1939</v>
      </c>
    </row>
    <row r="75" spans="1:16" x14ac:dyDescent="0.25">
      <c r="A75" s="17" t="s">
        <v>1530</v>
      </c>
      <c r="B75" s="2" t="s">
        <v>1453</v>
      </c>
      <c r="C75" s="2" t="s">
        <v>12</v>
      </c>
      <c r="D75" s="2" t="str">
        <f>VLOOKUP($C75,Sheet1!$A$2:$D$10,2,0)</f>
        <v>141185-74670</v>
      </c>
      <c r="E75" s="8" t="s">
        <v>66</v>
      </c>
      <c r="F75" s="12">
        <v>46050</v>
      </c>
      <c r="G75" s="13">
        <v>0.89583333333333337</v>
      </c>
      <c r="H75" s="2" t="s">
        <v>53</v>
      </c>
      <c r="I75" s="2" t="s">
        <v>54</v>
      </c>
      <c r="J75" s="2">
        <v>80</v>
      </c>
      <c r="K75" s="14">
        <f>VLOOKUP($C75,Sheet1!$A$2:$D$10,4,0)</f>
        <v>40</v>
      </c>
      <c r="L75" s="14" t="str">
        <f>VLOOKUP($C75,Sheet1!$A$2:$E$10,5,0)</f>
        <v>Trolley</v>
      </c>
      <c r="M75" s="14"/>
      <c r="N75" s="2">
        <f>J75/K75</f>
        <v>2</v>
      </c>
      <c r="O75" s="2" t="s">
        <v>122</v>
      </c>
      <c r="P75" s="2">
        <v>910107701</v>
      </c>
    </row>
    <row r="76" spans="1:16" x14ac:dyDescent="0.25">
      <c r="A76" s="17" t="s">
        <v>1530</v>
      </c>
      <c r="B76" s="2" t="s">
        <v>1463</v>
      </c>
      <c r="C76" s="27" t="s">
        <v>16</v>
      </c>
      <c r="D76" s="2" t="str">
        <f>VLOOKUP($C76,Sheet1!$A$2:$D$10,2,0)</f>
        <v>141140-91211</v>
      </c>
      <c r="E76" s="8" t="s">
        <v>70</v>
      </c>
      <c r="F76" s="12">
        <v>46050</v>
      </c>
      <c r="G76" s="13">
        <v>0.89583333333333337</v>
      </c>
      <c r="H76" s="2" t="s">
        <v>71</v>
      </c>
      <c r="I76" s="2" t="s">
        <v>54</v>
      </c>
      <c r="J76" s="2">
        <v>28</v>
      </c>
      <c r="K76" s="14">
        <f>VLOOKUP($C76,Sheet1!$A$2:$D$10,4,0)</f>
        <v>2</v>
      </c>
      <c r="L76" s="14" t="str">
        <f>VLOOKUP($C76,Sheet1!$A$2:$E$10,5,0)</f>
        <v>Bin</v>
      </c>
      <c r="M76" s="14">
        <f t="shared" ref="M76:M77" si="12">J76/K76</f>
        <v>14</v>
      </c>
      <c r="N76" s="2"/>
      <c r="O76" s="2" t="s">
        <v>122</v>
      </c>
      <c r="P76" s="2" t="s">
        <v>724</v>
      </c>
    </row>
    <row r="77" spans="1:16" x14ac:dyDescent="0.25">
      <c r="A77" s="17" t="s">
        <v>1530</v>
      </c>
      <c r="B77" s="2" t="s">
        <v>1473</v>
      </c>
      <c r="C77" s="27" t="s">
        <v>20</v>
      </c>
      <c r="D77" s="2" t="str">
        <f>VLOOKUP($C77,Sheet1!$A$2:$D$10,2,0)</f>
        <v>141150-91211</v>
      </c>
      <c r="E77" s="8" t="s">
        <v>78</v>
      </c>
      <c r="F77" s="12">
        <v>46050</v>
      </c>
      <c r="G77" s="13">
        <v>0.89583333333333337</v>
      </c>
      <c r="H77" s="2" t="s">
        <v>71</v>
      </c>
      <c r="I77" s="2" t="s">
        <v>54</v>
      </c>
      <c r="J77" s="2">
        <v>28</v>
      </c>
      <c r="K77" s="14">
        <f>VLOOKUP($C77,Sheet1!$A$2:$D$10,4,0)</f>
        <v>2</v>
      </c>
      <c r="L77" s="14" t="str">
        <f>VLOOKUP($C77,Sheet1!$A$2:$E$10,5,0)</f>
        <v>Bin</v>
      </c>
      <c r="M77" s="14">
        <f t="shared" si="12"/>
        <v>14</v>
      </c>
      <c r="N77" s="2"/>
      <c r="O77" s="2" t="s">
        <v>122</v>
      </c>
      <c r="P77" s="2" t="s">
        <v>724</v>
      </c>
    </row>
    <row r="78" spans="1:16" x14ac:dyDescent="0.25">
      <c r="A78" s="17" t="s">
        <v>1530</v>
      </c>
      <c r="B78" s="2" t="s">
        <v>1483</v>
      </c>
      <c r="C78" s="27" t="s">
        <v>23</v>
      </c>
      <c r="D78" s="2" t="str">
        <f>VLOOKUP($C78,Sheet1!$A$2:$D$10,2,0)</f>
        <v>141186-74360</v>
      </c>
      <c r="E78" s="8" t="s">
        <v>85</v>
      </c>
      <c r="F78" s="12">
        <v>46050</v>
      </c>
      <c r="G78" s="13">
        <v>0.89583333333333337</v>
      </c>
      <c r="H78" s="2" t="s">
        <v>71</v>
      </c>
      <c r="I78" s="2" t="s">
        <v>54</v>
      </c>
      <c r="J78" s="2">
        <v>80</v>
      </c>
      <c r="K78" s="14">
        <f>VLOOKUP($C78,Sheet1!$A$2:$D$10,4,0)</f>
        <v>40</v>
      </c>
      <c r="L78" s="14" t="str">
        <f>VLOOKUP($C78,Sheet1!$A$2:$E$10,5,0)</f>
        <v>Trolley</v>
      </c>
      <c r="M78" s="14"/>
      <c r="N78" s="2">
        <f>J78/K78</f>
        <v>2</v>
      </c>
      <c r="O78" s="2" t="s">
        <v>122</v>
      </c>
      <c r="P78" s="2">
        <v>910107273</v>
      </c>
    </row>
    <row r="79" spans="1:16" x14ac:dyDescent="0.25">
      <c r="A79" s="17" t="s">
        <v>1531</v>
      </c>
      <c r="B79" s="2" t="s">
        <v>1493</v>
      </c>
      <c r="C79" s="2" t="s">
        <v>26</v>
      </c>
      <c r="D79" s="2" t="str">
        <f>VLOOKUP($C79,Sheet1!$A$2:$D$10,2,0)</f>
        <v>116040-92240</v>
      </c>
      <c r="E79" s="8" t="s">
        <v>90</v>
      </c>
      <c r="F79" s="12">
        <v>46050</v>
      </c>
      <c r="G79" s="13">
        <v>0.89583333333333337</v>
      </c>
      <c r="H79" s="2" t="s">
        <v>91</v>
      </c>
      <c r="I79" s="2" t="s">
        <v>54</v>
      </c>
      <c r="J79" s="2">
        <v>30</v>
      </c>
      <c r="K79" s="14">
        <f>VLOOKUP($C79,Sheet1!$A$2:$D$10,4,0)</f>
        <v>6</v>
      </c>
      <c r="L79" s="14" t="str">
        <f>VLOOKUP($C79,Sheet1!$A$2:$E$10,5,0)</f>
        <v>Bin</v>
      </c>
      <c r="M79" s="14">
        <f t="shared" ref="M79:M81" si="13">J79/K79</f>
        <v>5</v>
      </c>
      <c r="N79" s="2"/>
      <c r="O79" s="2" t="s">
        <v>122</v>
      </c>
      <c r="P79" s="2" t="s">
        <v>1859</v>
      </c>
    </row>
    <row r="80" spans="1:16" x14ac:dyDescent="0.25">
      <c r="A80" s="17" t="s">
        <v>1531</v>
      </c>
      <c r="B80" s="2" t="s">
        <v>1503</v>
      </c>
      <c r="C80" s="2" t="s">
        <v>32</v>
      </c>
      <c r="D80" s="2" t="str">
        <f>VLOOKUP($C80,Sheet1!$A$2:$D$10,2,0)</f>
        <v>114010-50820</v>
      </c>
      <c r="E80" s="8" t="s">
        <v>98</v>
      </c>
      <c r="F80" s="12">
        <v>46050</v>
      </c>
      <c r="G80" s="13">
        <v>0.89583333333333337</v>
      </c>
      <c r="H80" s="2" t="s">
        <v>91</v>
      </c>
      <c r="I80" s="2" t="s">
        <v>54</v>
      </c>
      <c r="J80" s="2">
        <v>14</v>
      </c>
      <c r="K80" s="14">
        <f>VLOOKUP($C80,Sheet1!$A$2:$D$10,4,0)</f>
        <v>1</v>
      </c>
      <c r="L80" s="14" t="str">
        <f>VLOOKUP($C80,Sheet1!$A$2:$E$10,5,0)</f>
        <v>Bin</v>
      </c>
      <c r="M80" s="14">
        <f t="shared" si="13"/>
        <v>14</v>
      </c>
      <c r="N80" s="2"/>
      <c r="O80" s="2" t="s">
        <v>122</v>
      </c>
      <c r="P80" s="2" t="s">
        <v>1904</v>
      </c>
    </row>
    <row r="81" spans="1:16" x14ac:dyDescent="0.25">
      <c r="A81" s="17" t="s">
        <v>1531</v>
      </c>
      <c r="B81" s="2" t="s">
        <v>1513</v>
      </c>
      <c r="C81" s="2" t="s">
        <v>29</v>
      </c>
      <c r="D81" s="2" t="str">
        <f>VLOOKUP($C81,Sheet1!$A$2:$D$10,2,0)</f>
        <v>114010-50830</v>
      </c>
      <c r="E81" s="8" t="s">
        <v>98</v>
      </c>
      <c r="F81" s="12">
        <v>46050</v>
      </c>
      <c r="G81" s="13">
        <v>0.89583333333333337</v>
      </c>
      <c r="H81" s="2" t="s">
        <v>91</v>
      </c>
      <c r="I81" s="2" t="s">
        <v>54</v>
      </c>
      <c r="J81" s="2">
        <v>14</v>
      </c>
      <c r="K81" s="14">
        <f>VLOOKUP($C81,Sheet1!$A$2:$D$10,4,0)</f>
        <v>1</v>
      </c>
      <c r="L81" s="14" t="str">
        <f>VLOOKUP($C81,Sheet1!$A$2:$E$10,5,0)</f>
        <v>Bin</v>
      </c>
      <c r="M81" s="14">
        <f t="shared" si="13"/>
        <v>14</v>
      </c>
      <c r="N81" s="2"/>
      <c r="O81" s="2" t="s">
        <v>122</v>
      </c>
      <c r="P81" s="2" t="s">
        <v>1935</v>
      </c>
    </row>
    <row r="82" spans="1:16" s="11" customForma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>
        <v>61</v>
      </c>
      <c r="N82" s="10">
        <v>5</v>
      </c>
      <c r="O82" s="10"/>
      <c r="P82" s="10"/>
    </row>
    <row r="83" spans="1:16" x14ac:dyDescent="0.25">
      <c r="A83" s="17" t="s">
        <v>1532</v>
      </c>
      <c r="B83" s="2" t="s">
        <v>1434</v>
      </c>
      <c r="C83" s="2" t="s">
        <v>5</v>
      </c>
      <c r="D83" s="2" t="str">
        <f>VLOOKUP($C83,Sheet1!$A$2:$D$10,2,0)</f>
        <v>141110-14600</v>
      </c>
      <c r="E83" s="8" t="s">
        <v>52</v>
      </c>
      <c r="F83" s="12">
        <v>46050</v>
      </c>
      <c r="G83" s="13">
        <v>0.97916666666666663</v>
      </c>
      <c r="H83" s="2" t="s">
        <v>53</v>
      </c>
      <c r="I83" s="2" t="s">
        <v>54</v>
      </c>
      <c r="J83" s="2">
        <v>54</v>
      </c>
      <c r="K83" s="14">
        <f>VLOOKUP($C83,Sheet1!$A$2:$D$10,4,0)</f>
        <v>18</v>
      </c>
      <c r="L83" s="14" t="str">
        <f>VLOOKUP($C83,Sheet1!$A$2:$E$10,5,0)</f>
        <v>Trolley (H)</v>
      </c>
      <c r="M83" s="14"/>
      <c r="N83" s="52">
        <v>3</v>
      </c>
      <c r="O83" s="2" t="s">
        <v>119</v>
      </c>
      <c r="P83" s="2" t="s">
        <v>1940</v>
      </c>
    </row>
    <row r="84" spans="1:16" x14ac:dyDescent="0.25">
      <c r="A84" s="17" t="s">
        <v>1532</v>
      </c>
      <c r="B84" s="2" t="s">
        <v>1444</v>
      </c>
      <c r="C84" s="2" t="s">
        <v>9</v>
      </c>
      <c r="D84" s="2" t="str">
        <f>VLOOKUP($C84,Sheet1!$A$2:$D$10,2,0)</f>
        <v>141120-14600</v>
      </c>
      <c r="E84" s="8" t="s">
        <v>60</v>
      </c>
      <c r="F84" s="12">
        <v>46050</v>
      </c>
      <c r="G84" s="13">
        <v>0.97916666666666663</v>
      </c>
      <c r="H84" s="2" t="s">
        <v>53</v>
      </c>
      <c r="I84" s="2" t="s">
        <v>54</v>
      </c>
      <c r="J84" s="2">
        <v>54</v>
      </c>
      <c r="K84" s="14">
        <f>VLOOKUP($C84,Sheet1!$A$2:$D$10,4,0)</f>
        <v>18</v>
      </c>
      <c r="L84" s="14" t="str">
        <f>VLOOKUP($C84,Sheet1!$A$2:$E$10,5,0)</f>
        <v>Trolley (H)</v>
      </c>
      <c r="M84" s="14"/>
      <c r="N84" s="53"/>
      <c r="O84" s="2" t="s">
        <v>119</v>
      </c>
      <c r="P84" s="2" t="s">
        <v>1940</v>
      </c>
    </row>
    <row r="85" spans="1:16" x14ac:dyDescent="0.25">
      <c r="A85" s="17" t="s">
        <v>1532</v>
      </c>
      <c r="B85" s="2" t="s">
        <v>1454</v>
      </c>
      <c r="C85" s="2" t="s">
        <v>12</v>
      </c>
      <c r="D85" s="2" t="str">
        <f>VLOOKUP($C85,Sheet1!$A$2:$D$10,2,0)</f>
        <v>141185-74670</v>
      </c>
      <c r="E85" s="8" t="s">
        <v>66</v>
      </c>
      <c r="F85" s="12">
        <v>46050</v>
      </c>
      <c r="G85" s="13">
        <v>0.97916666666666663</v>
      </c>
      <c r="H85" s="2" t="s">
        <v>53</v>
      </c>
      <c r="I85" s="2" t="s">
        <v>54</v>
      </c>
      <c r="J85" s="2">
        <v>80</v>
      </c>
      <c r="K85" s="14">
        <f>VLOOKUP($C85,Sheet1!$A$2:$D$10,4,0)</f>
        <v>40</v>
      </c>
      <c r="L85" s="14" t="str">
        <f>VLOOKUP($C85,Sheet1!$A$2:$E$10,5,0)</f>
        <v>Trolley</v>
      </c>
      <c r="M85" s="14"/>
      <c r="N85" s="2">
        <f>J85/K85</f>
        <v>2</v>
      </c>
      <c r="O85" s="2" t="s">
        <v>119</v>
      </c>
      <c r="P85" s="2">
        <v>910107701</v>
      </c>
    </row>
    <row r="86" spans="1:16" x14ac:dyDescent="0.25">
      <c r="A86" s="17" t="s">
        <v>1532</v>
      </c>
      <c r="B86" s="2" t="s">
        <v>1464</v>
      </c>
      <c r="C86" s="27" t="s">
        <v>16</v>
      </c>
      <c r="D86" s="2" t="str">
        <f>VLOOKUP($C86,Sheet1!$A$2:$D$10,2,0)</f>
        <v>141140-91211</v>
      </c>
      <c r="E86" s="8" t="s">
        <v>70</v>
      </c>
      <c r="F86" s="12">
        <v>46050</v>
      </c>
      <c r="G86" s="13">
        <v>0.97916666666666663</v>
      </c>
      <c r="H86" s="2" t="s">
        <v>71</v>
      </c>
      <c r="I86" s="2" t="s">
        <v>54</v>
      </c>
      <c r="J86" s="2">
        <v>42</v>
      </c>
      <c r="K86" s="14">
        <f>VLOOKUP($C86,Sheet1!$A$2:$D$10,4,0)</f>
        <v>2</v>
      </c>
      <c r="L86" s="14" t="str">
        <f>VLOOKUP($C86,Sheet1!$A$2:$E$10,5,0)</f>
        <v>Bin</v>
      </c>
      <c r="M86" s="14">
        <f t="shared" ref="M86:M87" si="14">J86/K86</f>
        <v>21</v>
      </c>
      <c r="N86" s="2"/>
      <c r="O86" s="2" t="s">
        <v>119</v>
      </c>
      <c r="P86" s="2" t="s">
        <v>724</v>
      </c>
    </row>
    <row r="87" spans="1:16" x14ac:dyDescent="0.25">
      <c r="A87" s="17" t="s">
        <v>1532</v>
      </c>
      <c r="B87" s="2" t="s">
        <v>1474</v>
      </c>
      <c r="C87" s="27" t="s">
        <v>20</v>
      </c>
      <c r="D87" s="2" t="str">
        <f>VLOOKUP($C87,Sheet1!$A$2:$D$10,2,0)</f>
        <v>141150-91211</v>
      </c>
      <c r="E87" s="8" t="s">
        <v>78</v>
      </c>
      <c r="F87" s="12">
        <v>46050</v>
      </c>
      <c r="G87" s="13">
        <v>0.97916666666666663</v>
      </c>
      <c r="H87" s="2" t="s">
        <v>71</v>
      </c>
      <c r="I87" s="2" t="s">
        <v>54</v>
      </c>
      <c r="J87" s="2">
        <v>42</v>
      </c>
      <c r="K87" s="14">
        <f>VLOOKUP($C87,Sheet1!$A$2:$D$10,4,0)</f>
        <v>2</v>
      </c>
      <c r="L87" s="14" t="str">
        <f>VLOOKUP($C87,Sheet1!$A$2:$E$10,5,0)</f>
        <v>Bin</v>
      </c>
      <c r="M87" s="14">
        <f t="shared" si="14"/>
        <v>21</v>
      </c>
      <c r="N87" s="2"/>
      <c r="O87" s="2" t="s">
        <v>119</v>
      </c>
      <c r="P87" s="2" t="s">
        <v>724</v>
      </c>
    </row>
    <row r="88" spans="1:16" x14ac:dyDescent="0.25">
      <c r="A88" s="17" t="s">
        <v>1532</v>
      </c>
      <c r="B88" s="2" t="s">
        <v>1484</v>
      </c>
      <c r="C88" s="27" t="s">
        <v>23</v>
      </c>
      <c r="D88" s="2" t="str">
        <f>VLOOKUP($C88,Sheet1!$A$2:$D$10,2,0)</f>
        <v>141186-74360</v>
      </c>
      <c r="E88" s="8" t="s">
        <v>85</v>
      </c>
      <c r="F88" s="12">
        <v>46050</v>
      </c>
      <c r="G88" s="13">
        <v>0.97916666666666663</v>
      </c>
      <c r="H88" s="2" t="s">
        <v>71</v>
      </c>
      <c r="I88" s="2" t="s">
        <v>54</v>
      </c>
      <c r="J88" s="2">
        <v>80</v>
      </c>
      <c r="K88" s="14">
        <f>VLOOKUP($C88,Sheet1!$A$2:$D$10,4,0)</f>
        <v>40</v>
      </c>
      <c r="L88" s="14" t="str">
        <f>VLOOKUP($C88,Sheet1!$A$2:$E$10,5,0)</f>
        <v>Trolley</v>
      </c>
      <c r="M88" s="14"/>
      <c r="N88" s="2">
        <f>J88/K88</f>
        <v>2</v>
      </c>
      <c r="O88" s="2" t="s">
        <v>119</v>
      </c>
      <c r="P88" s="2">
        <v>910107273</v>
      </c>
    </row>
    <row r="89" spans="1:16" x14ac:dyDescent="0.25">
      <c r="A89" s="17" t="s">
        <v>1533</v>
      </c>
      <c r="B89" s="2" t="s">
        <v>1494</v>
      </c>
      <c r="C89" s="27" t="s">
        <v>26</v>
      </c>
      <c r="D89" s="2" t="str">
        <f>VLOOKUP($C89,Sheet1!$A$2:$D$10,2,0)</f>
        <v>116040-92240</v>
      </c>
      <c r="E89" s="8" t="s">
        <v>90</v>
      </c>
      <c r="F89" s="12">
        <v>46050</v>
      </c>
      <c r="G89" s="13">
        <v>0.97916666666666663</v>
      </c>
      <c r="H89" s="2" t="s">
        <v>91</v>
      </c>
      <c r="I89" s="2" t="s">
        <v>54</v>
      </c>
      <c r="J89" s="2">
        <v>42</v>
      </c>
      <c r="K89" s="14">
        <f>VLOOKUP($C89,Sheet1!$A$2:$D$10,4,0)</f>
        <v>6</v>
      </c>
      <c r="L89" s="14" t="str">
        <f>VLOOKUP($C89,Sheet1!$A$2:$E$10,5,0)</f>
        <v>Bin</v>
      </c>
      <c r="M89" s="14">
        <f t="shared" ref="M89:M91" si="15">J89/K89</f>
        <v>7</v>
      </c>
      <c r="N89" s="2"/>
      <c r="O89" s="2" t="s">
        <v>119</v>
      </c>
      <c r="P89" s="2" t="s">
        <v>1859</v>
      </c>
    </row>
    <row r="90" spans="1:16" x14ac:dyDescent="0.25">
      <c r="A90" s="17" t="s">
        <v>1533</v>
      </c>
      <c r="B90" s="2" t="s">
        <v>1504</v>
      </c>
      <c r="C90" s="27" t="s">
        <v>32</v>
      </c>
      <c r="D90" s="2" t="str">
        <f>VLOOKUP($C90,Sheet1!$A$2:$D$10,2,0)</f>
        <v>114010-50820</v>
      </c>
      <c r="E90" s="8" t="s">
        <v>98</v>
      </c>
      <c r="F90" s="12">
        <v>46050</v>
      </c>
      <c r="G90" s="13">
        <v>0.97916666666666663</v>
      </c>
      <c r="H90" s="2" t="s">
        <v>91</v>
      </c>
      <c r="I90" s="2" t="s">
        <v>54</v>
      </c>
      <c r="J90" s="2">
        <v>20</v>
      </c>
      <c r="K90" s="14">
        <f>VLOOKUP($C90,Sheet1!$A$2:$D$10,4,0)</f>
        <v>1</v>
      </c>
      <c r="L90" s="14" t="str">
        <f>VLOOKUP($C90,Sheet1!$A$2:$E$10,5,0)</f>
        <v>Bin</v>
      </c>
      <c r="M90" s="14">
        <f t="shared" si="15"/>
        <v>20</v>
      </c>
      <c r="N90" s="2"/>
      <c r="O90" s="2" t="s">
        <v>119</v>
      </c>
      <c r="P90" s="2" t="s">
        <v>1904</v>
      </c>
    </row>
    <row r="91" spans="1:16" x14ac:dyDescent="0.25">
      <c r="A91" s="17" t="s">
        <v>1533</v>
      </c>
      <c r="B91" s="2" t="s">
        <v>1514</v>
      </c>
      <c r="C91" s="27" t="s">
        <v>29</v>
      </c>
      <c r="D91" s="2" t="str">
        <f>VLOOKUP($C91,Sheet1!$A$2:$D$10,2,0)</f>
        <v>114010-50830</v>
      </c>
      <c r="E91" s="8" t="s">
        <v>98</v>
      </c>
      <c r="F91" s="12">
        <v>46050</v>
      </c>
      <c r="G91" s="13">
        <v>0.97916666666666663</v>
      </c>
      <c r="H91" s="2" t="s">
        <v>91</v>
      </c>
      <c r="I91" s="2" t="s">
        <v>54</v>
      </c>
      <c r="J91" s="2">
        <v>22</v>
      </c>
      <c r="K91" s="14">
        <f>VLOOKUP($C91,Sheet1!$A$2:$D$10,4,0)</f>
        <v>1</v>
      </c>
      <c r="L91" s="14" t="str">
        <f>VLOOKUP($C91,Sheet1!$A$2:$E$10,5,0)</f>
        <v>Bin</v>
      </c>
      <c r="M91" s="14">
        <f t="shared" si="15"/>
        <v>22</v>
      </c>
      <c r="N91" s="2"/>
      <c r="O91" s="2" t="s">
        <v>119</v>
      </c>
      <c r="P91" s="2" t="s">
        <v>1935</v>
      </c>
    </row>
    <row r="92" spans="1:16" s="11" customForma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>
        <v>91</v>
      </c>
      <c r="N92" s="10">
        <v>7</v>
      </c>
      <c r="O92" s="10"/>
      <c r="P92" s="10"/>
    </row>
    <row r="93" spans="1:16" x14ac:dyDescent="0.25">
      <c r="A93" s="17" t="s">
        <v>1534</v>
      </c>
      <c r="B93" s="2" t="s">
        <v>1435</v>
      </c>
      <c r="C93" s="2" t="s">
        <v>5</v>
      </c>
      <c r="D93" s="2" t="str">
        <f>VLOOKUP($C93,Sheet1!$A$2:$D$10,2,0)</f>
        <v>141110-14600</v>
      </c>
      <c r="E93" s="8" t="s">
        <v>52</v>
      </c>
      <c r="F93" s="12">
        <v>46051</v>
      </c>
      <c r="G93" s="13">
        <v>0.10416666666666667</v>
      </c>
      <c r="H93" s="2" t="s">
        <v>53</v>
      </c>
      <c r="I93" s="2" t="s">
        <v>54</v>
      </c>
      <c r="J93" s="2">
        <v>18</v>
      </c>
      <c r="K93" s="14">
        <f>VLOOKUP($C93,Sheet1!$A$2:$D$10,4,0)</f>
        <v>18</v>
      </c>
      <c r="L93" s="14" t="str">
        <f>VLOOKUP($C93,Sheet1!$A$2:$E$10,5,0)</f>
        <v>Trolley (H)</v>
      </c>
      <c r="M93" s="14"/>
      <c r="N93" s="52">
        <v>1</v>
      </c>
      <c r="O93" s="2" t="s">
        <v>121</v>
      </c>
      <c r="P93" s="2" t="s">
        <v>1940</v>
      </c>
    </row>
    <row r="94" spans="1:16" x14ac:dyDescent="0.25">
      <c r="A94" s="17" t="s">
        <v>1534</v>
      </c>
      <c r="B94" s="2" t="s">
        <v>1445</v>
      </c>
      <c r="C94" s="2" t="s">
        <v>9</v>
      </c>
      <c r="D94" s="2" t="str">
        <f>VLOOKUP($C94,Sheet1!$A$2:$D$10,2,0)</f>
        <v>141120-14600</v>
      </c>
      <c r="E94" s="8" t="s">
        <v>60</v>
      </c>
      <c r="F94" s="12">
        <v>46051</v>
      </c>
      <c r="G94" s="13">
        <v>0.10416666666666667</v>
      </c>
      <c r="H94" s="2" t="s">
        <v>53</v>
      </c>
      <c r="I94" s="2" t="s">
        <v>54</v>
      </c>
      <c r="J94" s="2">
        <v>18</v>
      </c>
      <c r="K94" s="14">
        <f>VLOOKUP($C94,Sheet1!$A$2:$D$10,4,0)</f>
        <v>18</v>
      </c>
      <c r="L94" s="14" t="str">
        <f>VLOOKUP($C94,Sheet1!$A$2:$E$10,5,0)</f>
        <v>Trolley (H)</v>
      </c>
      <c r="M94" s="14"/>
      <c r="N94" s="53"/>
      <c r="O94" s="2" t="s">
        <v>121</v>
      </c>
      <c r="P94" s="2" t="s">
        <v>1940</v>
      </c>
    </row>
    <row r="95" spans="1:16" x14ac:dyDescent="0.25">
      <c r="A95" s="17" t="s">
        <v>1534</v>
      </c>
      <c r="B95" s="2" t="s">
        <v>1455</v>
      </c>
      <c r="C95" s="2" t="s">
        <v>12</v>
      </c>
      <c r="D95" s="2" t="str">
        <f>VLOOKUP($C95,Sheet1!$A$2:$D$10,2,0)</f>
        <v>141185-74670</v>
      </c>
      <c r="E95" s="8" t="s">
        <v>66</v>
      </c>
      <c r="F95" s="12">
        <v>46051</v>
      </c>
      <c r="G95" s="13">
        <v>0.10416666666666667</v>
      </c>
      <c r="H95" s="2" t="s">
        <v>53</v>
      </c>
      <c r="I95" s="2" t="s">
        <v>54</v>
      </c>
      <c r="J95" s="2">
        <v>40</v>
      </c>
      <c r="K95" s="14">
        <f>VLOOKUP($C95,Sheet1!$A$2:$D$10,4,0)</f>
        <v>40</v>
      </c>
      <c r="L95" s="14" t="str">
        <f>VLOOKUP($C95,Sheet1!$A$2:$E$10,5,0)</f>
        <v>Trolley</v>
      </c>
      <c r="M95" s="14"/>
      <c r="N95" s="2">
        <f>J95/K95</f>
        <v>1</v>
      </c>
      <c r="O95" s="2" t="s">
        <v>121</v>
      </c>
      <c r="P95" s="2">
        <v>910107701</v>
      </c>
    </row>
    <row r="96" spans="1:16" x14ac:dyDescent="0.25">
      <c r="A96" s="17" t="s">
        <v>1534</v>
      </c>
      <c r="B96" s="2" t="s">
        <v>1465</v>
      </c>
      <c r="C96" s="27" t="s">
        <v>16</v>
      </c>
      <c r="D96" s="2" t="str">
        <f>VLOOKUP($C96,Sheet1!$A$2:$D$10,2,0)</f>
        <v>141140-91211</v>
      </c>
      <c r="E96" s="8" t="s">
        <v>70</v>
      </c>
      <c r="F96" s="12">
        <v>46051</v>
      </c>
      <c r="G96" s="13">
        <v>0.10416666666666667</v>
      </c>
      <c r="H96" s="2" t="s">
        <v>71</v>
      </c>
      <c r="I96" s="2" t="s">
        <v>54</v>
      </c>
      <c r="J96" s="2">
        <v>24</v>
      </c>
      <c r="K96" s="14">
        <f>VLOOKUP($C96,Sheet1!$A$2:$D$10,4,0)</f>
        <v>2</v>
      </c>
      <c r="L96" s="14" t="str">
        <f>VLOOKUP($C96,Sheet1!$A$2:$E$10,5,0)</f>
        <v>Bin</v>
      </c>
      <c r="M96" s="14">
        <f t="shared" ref="M96:M97" si="16">J96/K96</f>
        <v>12</v>
      </c>
      <c r="N96" s="2"/>
      <c r="O96" s="2" t="s">
        <v>121</v>
      </c>
      <c r="P96" s="2" t="s">
        <v>724</v>
      </c>
    </row>
    <row r="97" spans="1:16" x14ac:dyDescent="0.25">
      <c r="A97" s="17" t="s">
        <v>1534</v>
      </c>
      <c r="B97" s="2" t="s">
        <v>1475</v>
      </c>
      <c r="C97" s="27" t="s">
        <v>20</v>
      </c>
      <c r="D97" s="2" t="str">
        <f>VLOOKUP($C97,Sheet1!$A$2:$D$10,2,0)</f>
        <v>141150-91211</v>
      </c>
      <c r="E97" s="8" t="s">
        <v>78</v>
      </c>
      <c r="F97" s="12">
        <v>46051</v>
      </c>
      <c r="G97" s="13">
        <v>0.10416666666666667</v>
      </c>
      <c r="H97" s="2" t="s">
        <v>71</v>
      </c>
      <c r="I97" s="2" t="s">
        <v>54</v>
      </c>
      <c r="J97" s="2">
        <v>24</v>
      </c>
      <c r="K97" s="14">
        <f>VLOOKUP($C97,Sheet1!$A$2:$D$10,4,0)</f>
        <v>2</v>
      </c>
      <c r="L97" s="14" t="str">
        <f>VLOOKUP($C97,Sheet1!$A$2:$E$10,5,0)</f>
        <v>Bin</v>
      </c>
      <c r="M97" s="14">
        <f t="shared" si="16"/>
        <v>12</v>
      </c>
      <c r="N97" s="2"/>
      <c r="O97" s="2" t="s">
        <v>121</v>
      </c>
      <c r="P97" s="2" t="s">
        <v>724</v>
      </c>
    </row>
    <row r="98" spans="1:16" x14ac:dyDescent="0.25">
      <c r="A98" s="17" t="s">
        <v>1534</v>
      </c>
      <c r="B98" s="2" t="s">
        <v>1485</v>
      </c>
      <c r="C98" s="27" t="s">
        <v>23</v>
      </c>
      <c r="D98" s="2" t="str">
        <f>VLOOKUP($C98,Sheet1!$A$2:$D$10,2,0)</f>
        <v>141186-74360</v>
      </c>
      <c r="E98" s="8" t="s">
        <v>85</v>
      </c>
      <c r="F98" s="12">
        <v>46051</v>
      </c>
      <c r="G98" s="13">
        <v>0.10416666666666667</v>
      </c>
      <c r="H98" s="2" t="s">
        <v>71</v>
      </c>
      <c r="I98" s="2" t="s">
        <v>54</v>
      </c>
      <c r="J98" s="2">
        <v>40</v>
      </c>
      <c r="K98" s="14">
        <f>VLOOKUP($C98,Sheet1!$A$2:$D$10,4,0)</f>
        <v>40</v>
      </c>
      <c r="L98" s="14" t="str">
        <f>VLOOKUP($C98,Sheet1!$A$2:$E$10,5,0)</f>
        <v>Trolley</v>
      </c>
      <c r="M98" s="14"/>
      <c r="N98" s="2">
        <f>J98/K98</f>
        <v>1</v>
      </c>
      <c r="O98" s="2" t="s">
        <v>121</v>
      </c>
      <c r="P98" s="2">
        <v>910107273</v>
      </c>
    </row>
    <row r="99" spans="1:16" x14ac:dyDescent="0.25">
      <c r="A99" s="17" t="s">
        <v>1535</v>
      </c>
      <c r="B99" s="2" t="s">
        <v>1495</v>
      </c>
      <c r="C99" s="27" t="s">
        <v>26</v>
      </c>
      <c r="D99" s="2" t="str">
        <f>VLOOKUP($C99,Sheet1!$A$2:$D$10,2,0)</f>
        <v>116040-92240</v>
      </c>
      <c r="E99" s="8" t="s">
        <v>90</v>
      </c>
      <c r="F99" s="12">
        <v>46051</v>
      </c>
      <c r="G99" s="13">
        <v>0.10416666666666667</v>
      </c>
      <c r="H99" s="2" t="s">
        <v>91</v>
      </c>
      <c r="I99" s="2" t="s">
        <v>54</v>
      </c>
      <c r="J99" s="2">
        <v>24</v>
      </c>
      <c r="K99" s="14">
        <f>VLOOKUP($C99,Sheet1!$A$2:$D$10,4,0)</f>
        <v>6</v>
      </c>
      <c r="L99" s="14" t="str">
        <f>VLOOKUP($C99,Sheet1!$A$2:$E$10,5,0)</f>
        <v>Bin</v>
      </c>
      <c r="M99" s="14">
        <f t="shared" ref="M99:M101" si="17">J99/K99</f>
        <v>4</v>
      </c>
      <c r="N99" s="2"/>
      <c r="O99" s="2" t="s">
        <v>121</v>
      </c>
      <c r="P99" s="2" t="s">
        <v>1859</v>
      </c>
    </row>
    <row r="100" spans="1:16" x14ac:dyDescent="0.25">
      <c r="A100" s="17" t="s">
        <v>1535</v>
      </c>
      <c r="B100" s="2" t="s">
        <v>1505</v>
      </c>
      <c r="C100" s="27" t="s">
        <v>32</v>
      </c>
      <c r="D100" s="2" t="str">
        <f>VLOOKUP($C100,Sheet1!$A$2:$D$10,2,0)</f>
        <v>114010-50820</v>
      </c>
      <c r="E100" s="8" t="s">
        <v>98</v>
      </c>
      <c r="F100" s="12">
        <v>46051</v>
      </c>
      <c r="G100" s="13">
        <v>0.10416666666666667</v>
      </c>
      <c r="H100" s="2" t="s">
        <v>91</v>
      </c>
      <c r="I100" s="2" t="s">
        <v>54</v>
      </c>
      <c r="J100" s="2">
        <v>11</v>
      </c>
      <c r="K100" s="14">
        <f>VLOOKUP($C100,Sheet1!$A$2:$D$10,4,0)</f>
        <v>1</v>
      </c>
      <c r="L100" s="14" t="str">
        <f>VLOOKUP($C100,Sheet1!$A$2:$E$10,5,0)</f>
        <v>Bin</v>
      </c>
      <c r="M100" s="14">
        <f t="shared" si="17"/>
        <v>11</v>
      </c>
      <c r="N100" s="2"/>
      <c r="O100" s="2" t="s">
        <v>121</v>
      </c>
      <c r="P100" s="2" t="s">
        <v>1904</v>
      </c>
    </row>
    <row r="101" spans="1:16" x14ac:dyDescent="0.25">
      <c r="A101" s="17" t="s">
        <v>1535</v>
      </c>
      <c r="B101" s="2" t="s">
        <v>1515</v>
      </c>
      <c r="C101" s="27" t="s">
        <v>29</v>
      </c>
      <c r="D101" s="2" t="str">
        <f>VLOOKUP($C101,Sheet1!$A$2:$D$10,2,0)</f>
        <v>114010-50830</v>
      </c>
      <c r="E101" s="8" t="s">
        <v>98</v>
      </c>
      <c r="F101" s="12">
        <v>46051</v>
      </c>
      <c r="G101" s="13">
        <v>0.10416666666666667</v>
      </c>
      <c r="H101" s="2" t="s">
        <v>91</v>
      </c>
      <c r="I101" s="2" t="s">
        <v>54</v>
      </c>
      <c r="J101" s="2">
        <v>12</v>
      </c>
      <c r="K101" s="14">
        <f>VLOOKUP($C101,Sheet1!$A$2:$D$10,4,0)</f>
        <v>1</v>
      </c>
      <c r="L101" s="14" t="str">
        <f>VLOOKUP($C101,Sheet1!$A$2:$E$10,5,0)</f>
        <v>Bin</v>
      </c>
      <c r="M101" s="14">
        <f t="shared" si="17"/>
        <v>12</v>
      </c>
      <c r="N101" s="2"/>
      <c r="O101" s="2" t="s">
        <v>121</v>
      </c>
      <c r="P101" s="2" t="s">
        <v>1935</v>
      </c>
    </row>
    <row r="102" spans="1:16" s="11" customForma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>
        <v>51</v>
      </c>
      <c r="N102" s="10">
        <v>3</v>
      </c>
      <c r="O102" s="10"/>
      <c r="P102" s="10"/>
    </row>
  </sheetData>
  <autoFilter ref="A3:P102" xr:uid="{CD07BD17-7722-4B41-953A-311FFA93B18E}"/>
  <mergeCells count="13">
    <mergeCell ref="N93:N94"/>
    <mergeCell ref="A1:F1"/>
    <mergeCell ref="J1:N1"/>
    <mergeCell ref="L2:N2"/>
    <mergeCell ref="N4:N5"/>
    <mergeCell ref="N6:N7"/>
    <mergeCell ref="N23:N24"/>
    <mergeCell ref="N33:N34"/>
    <mergeCell ref="N43:N44"/>
    <mergeCell ref="N53:N54"/>
    <mergeCell ref="N63:N64"/>
    <mergeCell ref="N73:N74"/>
    <mergeCell ref="N83:N84"/>
  </mergeCells>
  <conditionalFormatting sqref="B2">
    <cfRule type="duplicateValues" dxfId="25" priority="1"/>
    <cfRule type="duplicateValues" dxfId="24" priority="2"/>
  </conditionalFormatting>
  <conditionalFormatting sqref="B4:B21 B23:B31 B33:B41 B43:B51 B53:B61 B63:B71 B73:B81 B83:B91 B93:B101">
    <cfRule type="duplicateValues" dxfId="23" priority="28"/>
  </conditionalFormatting>
  <conditionalFormatting sqref="C2:D2">
    <cfRule type="duplicateValues" dxfId="22" priority="3"/>
    <cfRule type="duplicateValues" dxfId="21" priority="4"/>
  </conditionalFormatting>
  <pageMargins left="0.17" right="0.17" top="0.17" bottom="0.17" header="0.17" footer="0.17"/>
  <pageSetup paperSize="9" scale="5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CD04-F5E4-4157-BBF1-ECDA15B45D04}">
  <sheetPr>
    <pageSetUpPr fitToPage="1"/>
  </sheetPr>
  <dimension ref="A1:P112"/>
  <sheetViews>
    <sheetView zoomScale="115" zoomScaleNormal="115" workbookViewId="0">
      <selection activeCell="E9" sqref="E9"/>
    </sheetView>
  </sheetViews>
  <sheetFormatPr defaultColWidth="41.42578125" defaultRowHeight="15" x14ac:dyDescent="0.25"/>
  <cols>
    <col min="1" max="1" width="18.7109375" customWidth="1"/>
    <col min="2" max="2" width="17" bestFit="1" customWidth="1"/>
    <col min="3" max="3" width="14.140625" bestFit="1" customWidth="1"/>
    <col min="4" max="4" width="14.140625" customWidth="1"/>
    <col min="5" max="5" width="32.5703125" bestFit="1" customWidth="1"/>
    <col min="6" max="6" width="9.28515625" bestFit="1" customWidth="1"/>
    <col min="7" max="7" width="7.7109375" bestFit="1" customWidth="1"/>
    <col min="8" max="8" width="14.140625" customWidth="1"/>
    <col min="9" max="9" width="4.7109375" customWidth="1"/>
    <col min="10" max="10" width="8" bestFit="1" customWidth="1"/>
    <col min="11" max="11" width="9" customWidth="1"/>
    <col min="12" max="12" width="11.7109375" customWidth="1"/>
    <col min="13" max="13" width="7.140625" bestFit="1" customWidth="1"/>
    <col min="14" max="14" width="7.85546875" bestFit="1" customWidth="1"/>
    <col min="15" max="15" width="10.7109375" customWidth="1"/>
    <col min="16" max="16" width="42.8554687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6.5" customHeight="1" x14ac:dyDescent="0.25">
      <c r="A2" s="5" t="s">
        <v>36</v>
      </c>
      <c r="B2" s="6">
        <v>46051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1634</v>
      </c>
      <c r="B4" s="2" t="s">
        <v>1536</v>
      </c>
      <c r="C4" s="2" t="s">
        <v>5</v>
      </c>
      <c r="D4" s="2" t="str">
        <f>VLOOKUP($C4,Sheet1!$A$2:$D$10,2,0)</f>
        <v>141110-14600</v>
      </c>
      <c r="E4" s="8" t="s">
        <v>52</v>
      </c>
      <c r="F4" s="12">
        <v>46051</v>
      </c>
      <c r="G4" s="13">
        <v>0.27083333333333331</v>
      </c>
      <c r="H4" s="2" t="s">
        <v>53</v>
      </c>
      <c r="I4" s="2" t="s">
        <v>54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2</v>
      </c>
      <c r="O4" s="2" t="s">
        <v>359</v>
      </c>
      <c r="P4" s="2" t="s">
        <v>1940</v>
      </c>
    </row>
    <row r="5" spans="1:16" x14ac:dyDescent="0.25">
      <c r="A5" s="17" t="s">
        <v>1634</v>
      </c>
      <c r="B5" s="2" t="s">
        <v>1543</v>
      </c>
      <c r="C5" s="2" t="s">
        <v>9</v>
      </c>
      <c r="D5" s="2" t="str">
        <f>VLOOKUP($C5,Sheet1!$A$2:$D$10,2,0)</f>
        <v>141120-14600</v>
      </c>
      <c r="E5" s="8" t="s">
        <v>60</v>
      </c>
      <c r="F5" s="12">
        <v>46051</v>
      </c>
      <c r="G5" s="13">
        <v>0.27083333333333331</v>
      </c>
      <c r="H5" s="2" t="s">
        <v>53</v>
      </c>
      <c r="I5" s="2" t="s">
        <v>54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359</v>
      </c>
      <c r="P5" s="2" t="s">
        <v>1940</v>
      </c>
    </row>
    <row r="6" spans="1:16" x14ac:dyDescent="0.25">
      <c r="A6" s="17" t="s">
        <v>1634</v>
      </c>
      <c r="B6" s="2" t="s">
        <v>1599</v>
      </c>
      <c r="C6" s="2" t="s">
        <v>5</v>
      </c>
      <c r="D6" s="2" t="str">
        <f>VLOOKUP($C6,Sheet1!$A$2:$D$10,2,0)</f>
        <v>141110-14600</v>
      </c>
      <c r="E6" s="8" t="s">
        <v>52</v>
      </c>
      <c r="F6" s="12">
        <v>46051</v>
      </c>
      <c r="G6" s="13">
        <v>0.27083333333333331</v>
      </c>
      <c r="H6" s="2" t="s">
        <v>53</v>
      </c>
      <c r="I6" s="2" t="s">
        <v>54</v>
      </c>
      <c r="J6" s="2">
        <v>36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2">
        <v>2</v>
      </c>
      <c r="O6" s="2" t="s">
        <v>359</v>
      </c>
      <c r="P6" s="2" t="s">
        <v>1940</v>
      </c>
    </row>
    <row r="7" spans="1:16" x14ac:dyDescent="0.25">
      <c r="A7" s="17" t="s">
        <v>1634</v>
      </c>
      <c r="B7" s="2" t="s">
        <v>1603</v>
      </c>
      <c r="C7" s="2" t="s">
        <v>9</v>
      </c>
      <c r="D7" s="2" t="str">
        <f>VLOOKUP($C7,Sheet1!$A$2:$D$10,2,0)</f>
        <v>141120-14600</v>
      </c>
      <c r="E7" s="8" t="s">
        <v>60</v>
      </c>
      <c r="F7" s="12">
        <v>46051</v>
      </c>
      <c r="G7" s="13">
        <v>0.27083333333333331</v>
      </c>
      <c r="H7" s="2" t="s">
        <v>53</v>
      </c>
      <c r="I7" s="2" t="s">
        <v>54</v>
      </c>
      <c r="J7" s="2">
        <v>36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3"/>
      <c r="O7" s="2" t="s">
        <v>359</v>
      </c>
      <c r="P7" s="2" t="s">
        <v>1940</v>
      </c>
    </row>
    <row r="8" spans="1:16" x14ac:dyDescent="0.25">
      <c r="A8" s="17" t="s">
        <v>1634</v>
      </c>
      <c r="B8" s="2" t="s">
        <v>1550</v>
      </c>
      <c r="C8" s="2" t="s">
        <v>12</v>
      </c>
      <c r="D8" s="2" t="str">
        <f>VLOOKUP($C8,Sheet1!$A$2:$D$10,2,0)</f>
        <v>141185-74670</v>
      </c>
      <c r="E8" s="8" t="s">
        <v>66</v>
      </c>
      <c r="F8" s="12">
        <v>46051</v>
      </c>
      <c r="G8" s="13">
        <v>0.27083333333333331</v>
      </c>
      <c r="H8" s="2" t="s">
        <v>53</v>
      </c>
      <c r="I8" s="2" t="s">
        <v>54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359</v>
      </c>
      <c r="P8" s="2">
        <v>910107701</v>
      </c>
    </row>
    <row r="9" spans="1:16" x14ac:dyDescent="0.25">
      <c r="A9" s="17" t="s">
        <v>1634</v>
      </c>
      <c r="B9" s="2" t="s">
        <v>1607</v>
      </c>
      <c r="C9" s="2" t="s">
        <v>12</v>
      </c>
      <c r="D9" s="2" t="str">
        <f>VLOOKUP($C9,Sheet1!$A$2:$D$10,2,0)</f>
        <v>141185-74670</v>
      </c>
      <c r="E9" s="8" t="s">
        <v>66</v>
      </c>
      <c r="F9" s="12">
        <v>46051</v>
      </c>
      <c r="G9" s="13">
        <v>0.27083333333333331</v>
      </c>
      <c r="H9" s="2" t="s">
        <v>53</v>
      </c>
      <c r="I9" s="2" t="s">
        <v>54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2</v>
      </c>
      <c r="O9" s="2" t="s">
        <v>359</v>
      </c>
      <c r="P9" s="2">
        <v>910107701</v>
      </c>
    </row>
    <row r="10" spans="1:16" x14ac:dyDescent="0.25">
      <c r="A10" s="17" t="s">
        <v>1634</v>
      </c>
      <c r="B10" s="2" t="s">
        <v>1610</v>
      </c>
      <c r="C10" s="2" t="s">
        <v>16</v>
      </c>
      <c r="D10" s="2" t="str">
        <f>VLOOKUP($C10,Sheet1!$A$2:$D$10,2,0)</f>
        <v>141140-91211</v>
      </c>
      <c r="E10" s="8" t="s">
        <v>70</v>
      </c>
      <c r="F10" s="12">
        <v>46051</v>
      </c>
      <c r="G10" s="13">
        <v>0.27083333333333331</v>
      </c>
      <c r="H10" s="2" t="s">
        <v>71</v>
      </c>
      <c r="I10" s="2" t="s">
        <v>54</v>
      </c>
      <c r="J10" s="2">
        <v>30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15</v>
      </c>
      <c r="N10" s="2"/>
      <c r="O10" s="2" t="s">
        <v>359</v>
      </c>
      <c r="P10" s="2" t="s">
        <v>1941</v>
      </c>
    </row>
    <row r="11" spans="1:16" x14ac:dyDescent="0.25">
      <c r="A11" s="17" t="s">
        <v>1634</v>
      </c>
      <c r="B11" s="2" t="s">
        <v>1614</v>
      </c>
      <c r="C11" s="2" t="s">
        <v>20</v>
      </c>
      <c r="D11" s="2" t="str">
        <f>VLOOKUP($C11,Sheet1!$A$2:$D$10,2,0)</f>
        <v>141150-91211</v>
      </c>
      <c r="E11" s="8" t="s">
        <v>78</v>
      </c>
      <c r="F11" s="12">
        <v>46051</v>
      </c>
      <c r="G11" s="13">
        <v>0.27083333333333331</v>
      </c>
      <c r="H11" s="2" t="s">
        <v>71</v>
      </c>
      <c r="I11" s="2" t="s">
        <v>54</v>
      </c>
      <c r="J11" s="2">
        <v>30</v>
      </c>
      <c r="K11" s="14">
        <f>VLOOKUP($C11,Sheet1!$A$2:$D$10,4,0)</f>
        <v>2</v>
      </c>
      <c r="L11" s="14" t="str">
        <f>VLOOKUP($C11,Sheet1!$A$2:$E$10,5,0)</f>
        <v>Bin</v>
      </c>
      <c r="M11" s="14">
        <f>J11/K11</f>
        <v>15</v>
      </c>
      <c r="N11" s="2"/>
      <c r="O11" s="2" t="s">
        <v>359</v>
      </c>
      <c r="P11" s="2" t="s">
        <v>724</v>
      </c>
    </row>
    <row r="12" spans="1:16" x14ac:dyDescent="0.25">
      <c r="A12" s="17" t="s">
        <v>1634</v>
      </c>
      <c r="B12" s="2" t="s">
        <v>1618</v>
      </c>
      <c r="C12" s="2" t="s">
        <v>23</v>
      </c>
      <c r="D12" s="2" t="str">
        <f>VLOOKUP($C12,Sheet1!$A$2:$D$10,2,0)</f>
        <v>141186-74360</v>
      </c>
      <c r="E12" s="8" t="s">
        <v>85</v>
      </c>
      <c r="F12" s="12">
        <v>46051</v>
      </c>
      <c r="G12" s="13">
        <v>0.27083333333333331</v>
      </c>
      <c r="H12" s="2" t="s">
        <v>71</v>
      </c>
      <c r="I12" s="2" t="s">
        <v>54</v>
      </c>
      <c r="J12" s="2">
        <v>40</v>
      </c>
      <c r="K12" s="14">
        <f>VLOOKUP($C12,Sheet1!$A$2:$D$10,4,0)</f>
        <v>40</v>
      </c>
      <c r="L12" s="14" t="str">
        <f>VLOOKUP($C12,Sheet1!$A$2:$E$10,5,0)</f>
        <v>Trolley</v>
      </c>
      <c r="M12" s="14"/>
      <c r="N12" s="2">
        <f>J12/K12</f>
        <v>1</v>
      </c>
      <c r="O12" s="2" t="s">
        <v>359</v>
      </c>
      <c r="P12" s="2">
        <v>910107273</v>
      </c>
    </row>
    <row r="13" spans="1:16" x14ac:dyDescent="0.25">
      <c r="A13" s="17" t="s">
        <v>1636</v>
      </c>
      <c r="B13" s="2" t="s">
        <v>1622</v>
      </c>
      <c r="C13" s="2" t="s">
        <v>26</v>
      </c>
      <c r="D13" s="2" t="str">
        <f>VLOOKUP($C13,Sheet1!$A$2:$D$10,2,0)</f>
        <v>116040-92240</v>
      </c>
      <c r="E13" s="8" t="s">
        <v>90</v>
      </c>
      <c r="F13" s="12">
        <v>46051</v>
      </c>
      <c r="G13" s="13">
        <v>0.27083333333333331</v>
      </c>
      <c r="H13" s="2" t="s">
        <v>91</v>
      </c>
      <c r="I13" s="2" t="s">
        <v>54</v>
      </c>
      <c r="J13" s="2">
        <v>30</v>
      </c>
      <c r="K13" s="14">
        <f>VLOOKUP($C13,Sheet1!$A$2:$D$10,4,0)</f>
        <v>6</v>
      </c>
      <c r="L13" s="14" t="str">
        <f>VLOOKUP($C13,Sheet1!$A$2:$E$10,5,0)</f>
        <v>Bin</v>
      </c>
      <c r="M13" s="14">
        <f t="shared" ref="M13:M18" si="0">J13/K13</f>
        <v>5</v>
      </c>
      <c r="N13" s="2"/>
      <c r="O13" s="2" t="s">
        <v>359</v>
      </c>
      <c r="P13" s="2" t="s">
        <v>1859</v>
      </c>
    </row>
    <row r="14" spans="1:16" x14ac:dyDescent="0.25">
      <c r="A14" s="17" t="s">
        <v>1636</v>
      </c>
      <c r="B14" s="2" t="s">
        <v>1626</v>
      </c>
      <c r="C14" s="2" t="s">
        <v>32</v>
      </c>
      <c r="D14" s="2" t="str">
        <f>VLOOKUP($C14,Sheet1!$A$2:$D$10,2,0)</f>
        <v>114010-50820</v>
      </c>
      <c r="E14" s="8" t="s">
        <v>98</v>
      </c>
      <c r="F14" s="12">
        <v>46051</v>
      </c>
      <c r="G14" s="13">
        <v>0.27083333333333331</v>
      </c>
      <c r="H14" s="2" t="s">
        <v>91</v>
      </c>
      <c r="I14" s="2" t="s">
        <v>54</v>
      </c>
      <c r="J14" s="2">
        <v>19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0"/>
        <v>19</v>
      </c>
      <c r="N14" s="2"/>
      <c r="O14" s="2" t="s">
        <v>359</v>
      </c>
      <c r="P14" s="2" t="s">
        <v>1904</v>
      </c>
    </row>
    <row r="15" spans="1:16" x14ac:dyDescent="0.25">
      <c r="A15" s="17" t="s">
        <v>1636</v>
      </c>
      <c r="B15" s="2" t="s">
        <v>1630</v>
      </c>
      <c r="C15" s="2" t="s">
        <v>29</v>
      </c>
      <c r="D15" s="2" t="str">
        <f>VLOOKUP($C15,Sheet1!$A$2:$D$10,2,0)</f>
        <v>114010-50830</v>
      </c>
      <c r="E15" s="8" t="s">
        <v>98</v>
      </c>
      <c r="F15" s="12">
        <v>46051</v>
      </c>
      <c r="G15" s="13">
        <v>0.27083333333333331</v>
      </c>
      <c r="H15" s="2" t="s">
        <v>91</v>
      </c>
      <c r="I15" s="2" t="s">
        <v>54</v>
      </c>
      <c r="J15" s="2">
        <v>11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0"/>
        <v>11</v>
      </c>
      <c r="N15" s="2"/>
      <c r="O15" s="2" t="s">
        <v>359</v>
      </c>
      <c r="P15" s="2" t="s">
        <v>1859</v>
      </c>
    </row>
    <row r="16" spans="1:16" s="11" customForma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v>65</v>
      </c>
      <c r="N16" s="10">
        <v>9</v>
      </c>
      <c r="O16" s="10"/>
      <c r="P16" s="10"/>
    </row>
    <row r="17" spans="1:16" x14ac:dyDescent="0.25">
      <c r="A17" s="17" t="s">
        <v>1637</v>
      </c>
      <c r="B17" s="2" t="s">
        <v>1557</v>
      </c>
      <c r="C17" s="2" t="s">
        <v>16</v>
      </c>
      <c r="D17" s="2" t="str">
        <f>VLOOKUP($C17,Sheet1!$A$2:$D$10,2,0)</f>
        <v>141140-91211</v>
      </c>
      <c r="E17" s="8" t="s">
        <v>70</v>
      </c>
      <c r="F17" s="12">
        <v>46051</v>
      </c>
      <c r="G17" s="13">
        <v>0.3125</v>
      </c>
      <c r="H17" s="2" t="s">
        <v>71</v>
      </c>
      <c r="I17" s="2" t="s">
        <v>54</v>
      </c>
      <c r="J17" s="2">
        <v>30</v>
      </c>
      <c r="K17" s="14">
        <f>VLOOKUP($C17,Sheet1!$A$2:$D$10,4,0)</f>
        <v>2</v>
      </c>
      <c r="L17" s="14" t="str">
        <f>VLOOKUP($C17,Sheet1!$A$2:$E$10,5,0)</f>
        <v>Bin</v>
      </c>
      <c r="M17" s="14">
        <f t="shared" si="0"/>
        <v>15</v>
      </c>
      <c r="N17" s="2"/>
      <c r="O17" s="2" t="s">
        <v>122</v>
      </c>
      <c r="P17" s="2" t="s">
        <v>1864</v>
      </c>
    </row>
    <row r="18" spans="1:16" x14ac:dyDescent="0.25">
      <c r="A18" s="17" t="s">
        <v>1637</v>
      </c>
      <c r="B18" s="2" t="s">
        <v>1564</v>
      </c>
      <c r="C18" s="2" t="s">
        <v>20</v>
      </c>
      <c r="D18" s="2" t="str">
        <f>VLOOKUP($C18,Sheet1!$A$2:$D$10,2,0)</f>
        <v>141150-91211</v>
      </c>
      <c r="E18" s="8" t="s">
        <v>78</v>
      </c>
      <c r="F18" s="12">
        <v>46051</v>
      </c>
      <c r="G18" s="13">
        <v>0.3125</v>
      </c>
      <c r="H18" s="2" t="s">
        <v>71</v>
      </c>
      <c r="I18" s="2" t="s">
        <v>54</v>
      </c>
      <c r="J18" s="2">
        <v>30</v>
      </c>
      <c r="K18" s="14">
        <f>VLOOKUP($C18,Sheet1!$A$2:$D$10,4,0)</f>
        <v>2</v>
      </c>
      <c r="L18" s="14" t="str">
        <f>VLOOKUP($C18,Sheet1!$A$2:$E$10,5,0)</f>
        <v>Bin</v>
      </c>
      <c r="M18" s="14">
        <f t="shared" si="0"/>
        <v>15</v>
      </c>
      <c r="N18" s="2"/>
      <c r="O18" s="2" t="s">
        <v>122</v>
      </c>
      <c r="P18" s="2" t="s">
        <v>724</v>
      </c>
    </row>
    <row r="19" spans="1:16" x14ac:dyDescent="0.25">
      <c r="A19" s="17" t="s">
        <v>1637</v>
      </c>
      <c r="B19" s="2" t="s">
        <v>1571</v>
      </c>
      <c r="C19" s="2" t="s">
        <v>23</v>
      </c>
      <c r="D19" s="2" t="str">
        <f>VLOOKUP($C19,Sheet1!$A$2:$D$10,2,0)</f>
        <v>141186-74360</v>
      </c>
      <c r="E19" s="8" t="s">
        <v>85</v>
      </c>
      <c r="F19" s="12">
        <v>46051</v>
      </c>
      <c r="G19" s="13">
        <v>0.3125</v>
      </c>
      <c r="H19" s="2" t="s">
        <v>71</v>
      </c>
      <c r="I19" s="2" t="s">
        <v>54</v>
      </c>
      <c r="J19" s="2">
        <v>80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2</v>
      </c>
      <c r="O19" s="2" t="s">
        <v>122</v>
      </c>
      <c r="P19" s="2" t="s">
        <v>1942</v>
      </c>
    </row>
    <row r="20" spans="1:16" x14ac:dyDescent="0.25">
      <c r="A20" s="17" t="s">
        <v>1638</v>
      </c>
      <c r="B20" s="2" t="s">
        <v>1578</v>
      </c>
      <c r="C20" s="2" t="s">
        <v>26</v>
      </c>
      <c r="D20" s="2" t="str">
        <f>VLOOKUP($C20,Sheet1!$A$2:$D$10,2,0)</f>
        <v>116040-92240</v>
      </c>
      <c r="E20" s="8" t="s">
        <v>90</v>
      </c>
      <c r="F20" s="12">
        <v>46051</v>
      </c>
      <c r="G20" s="13">
        <v>0.3125</v>
      </c>
      <c r="H20" s="2" t="s">
        <v>91</v>
      </c>
      <c r="I20" s="2" t="s">
        <v>54</v>
      </c>
      <c r="J20" s="2">
        <v>30</v>
      </c>
      <c r="K20" s="14">
        <f>VLOOKUP($C20,Sheet1!$A$2:$D$10,4,0)</f>
        <v>6</v>
      </c>
      <c r="L20" s="14" t="str">
        <f>VLOOKUP($C20,Sheet1!$A$2:$E$10,5,0)</f>
        <v>Bin</v>
      </c>
      <c r="M20" s="14">
        <f t="shared" ref="M20:M22" si="1">J20/K20</f>
        <v>5</v>
      </c>
      <c r="N20" s="2"/>
      <c r="O20" s="2" t="s">
        <v>122</v>
      </c>
      <c r="P20" s="2" t="s">
        <v>1859</v>
      </c>
    </row>
    <row r="21" spans="1:16" x14ac:dyDescent="0.25">
      <c r="A21" s="17" t="s">
        <v>1638</v>
      </c>
      <c r="B21" s="2" t="s">
        <v>1585</v>
      </c>
      <c r="C21" s="2" t="s">
        <v>32</v>
      </c>
      <c r="D21" s="2" t="str">
        <f>VLOOKUP($C21,Sheet1!$A$2:$D$10,2,0)</f>
        <v>114010-50820</v>
      </c>
      <c r="E21" s="8" t="s">
        <v>98</v>
      </c>
      <c r="F21" s="12">
        <v>46051</v>
      </c>
      <c r="G21" s="13">
        <v>0.3125</v>
      </c>
      <c r="H21" s="2" t="s">
        <v>91</v>
      </c>
      <c r="I21" s="2" t="s">
        <v>54</v>
      </c>
      <c r="J21" s="2">
        <v>20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1"/>
        <v>20</v>
      </c>
      <c r="N21" s="2"/>
      <c r="O21" s="2" t="s">
        <v>122</v>
      </c>
      <c r="P21" s="2" t="s">
        <v>1904</v>
      </c>
    </row>
    <row r="22" spans="1:16" ht="15.75" thickBot="1" x14ac:dyDescent="0.3">
      <c r="A22" s="17" t="s">
        <v>1638</v>
      </c>
      <c r="B22" s="2" t="s">
        <v>1592</v>
      </c>
      <c r="C22" s="2" t="s">
        <v>29</v>
      </c>
      <c r="D22" s="2" t="str">
        <f>VLOOKUP($C22,Sheet1!$A$2:$D$10,2,0)</f>
        <v>114010-50830</v>
      </c>
      <c r="E22" s="8" t="s">
        <v>98</v>
      </c>
      <c r="F22" s="12">
        <v>46051</v>
      </c>
      <c r="G22" s="25">
        <v>0.3125</v>
      </c>
      <c r="H22" s="2" t="s">
        <v>91</v>
      </c>
      <c r="I22" s="2" t="s">
        <v>54</v>
      </c>
      <c r="J22" s="2">
        <v>13</v>
      </c>
      <c r="K22" s="14">
        <f>VLOOKUP($C22,Sheet1!$A$2:$D$10,4,0)</f>
        <v>1</v>
      </c>
      <c r="L22" s="14" t="str">
        <f>VLOOKUP($C22,Sheet1!$A$2:$E$10,5,0)</f>
        <v>Bin</v>
      </c>
      <c r="M22" s="14">
        <f t="shared" si="1"/>
        <v>13</v>
      </c>
      <c r="N22" s="2"/>
      <c r="O22" s="2" t="s">
        <v>122</v>
      </c>
      <c r="P22" s="2" t="s">
        <v>1859</v>
      </c>
    </row>
    <row r="23" spans="1:16" ht="15.75" thickTop="1" x14ac:dyDescent="0.25">
      <c r="A23" s="17" t="s">
        <v>1635</v>
      </c>
      <c r="B23" s="2" t="s">
        <v>1537</v>
      </c>
      <c r="C23" s="2" t="s">
        <v>5</v>
      </c>
      <c r="D23" s="2" t="str">
        <f>VLOOKUP($C23,Sheet1!$A$2:$D$10,2,0)</f>
        <v>141110-14600</v>
      </c>
      <c r="E23" s="8" t="s">
        <v>52</v>
      </c>
      <c r="F23" s="12">
        <v>46051</v>
      </c>
      <c r="G23" s="26">
        <v>0.35416666666666669</v>
      </c>
      <c r="H23" s="2" t="s">
        <v>53</v>
      </c>
      <c r="I23" s="2" t="s">
        <v>54</v>
      </c>
      <c r="J23" s="2">
        <v>36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2">
        <v>2</v>
      </c>
      <c r="O23" s="2" t="s">
        <v>122</v>
      </c>
      <c r="P23" s="2" t="s">
        <v>1940</v>
      </c>
    </row>
    <row r="24" spans="1:16" x14ac:dyDescent="0.25">
      <c r="A24" s="17" t="s">
        <v>1635</v>
      </c>
      <c r="B24" s="2" t="s">
        <v>1544</v>
      </c>
      <c r="C24" s="2" t="s">
        <v>9</v>
      </c>
      <c r="D24" s="2" t="str">
        <f>VLOOKUP($C24,Sheet1!$A$2:$D$10,2,0)</f>
        <v>141120-14600</v>
      </c>
      <c r="E24" s="8" t="s">
        <v>60</v>
      </c>
      <c r="F24" s="12">
        <v>46051</v>
      </c>
      <c r="G24" s="23">
        <v>0.35416666666666669</v>
      </c>
      <c r="H24" s="2" t="s">
        <v>53</v>
      </c>
      <c r="I24" s="2" t="s">
        <v>54</v>
      </c>
      <c r="J24" s="2">
        <v>36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71"/>
      <c r="O24" s="2" t="s">
        <v>122</v>
      </c>
      <c r="P24" s="2" t="s">
        <v>1940</v>
      </c>
    </row>
    <row r="25" spans="1:16" x14ac:dyDescent="0.25">
      <c r="A25" s="17" t="s">
        <v>1635</v>
      </c>
      <c r="B25" s="2" t="s">
        <v>1600</v>
      </c>
      <c r="C25" s="2" t="s">
        <v>5</v>
      </c>
      <c r="D25" s="2" t="str">
        <f>VLOOKUP($C25,Sheet1!$A$2:$D$10,2,0)</f>
        <v>141110-14600</v>
      </c>
      <c r="E25" s="8" t="s">
        <v>52</v>
      </c>
      <c r="F25" s="12">
        <v>46051</v>
      </c>
      <c r="G25" s="23">
        <v>0.35416666666666669</v>
      </c>
      <c r="H25" s="2" t="s">
        <v>53</v>
      </c>
      <c r="I25" s="2" t="s">
        <v>54</v>
      </c>
      <c r="J25" s="2">
        <v>18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2">
        <v>1</v>
      </c>
      <c r="O25" s="2" t="s">
        <v>122</v>
      </c>
      <c r="P25" s="2" t="s">
        <v>1943</v>
      </c>
    </row>
    <row r="26" spans="1:16" x14ac:dyDescent="0.25">
      <c r="A26" s="17" t="s">
        <v>1635</v>
      </c>
      <c r="B26" s="2" t="s">
        <v>1604</v>
      </c>
      <c r="C26" s="2" t="s">
        <v>9</v>
      </c>
      <c r="D26" s="2" t="str">
        <f>VLOOKUP($C26,Sheet1!$A$2:$D$10,2,0)</f>
        <v>141120-14600</v>
      </c>
      <c r="E26" s="8" t="s">
        <v>60</v>
      </c>
      <c r="F26" s="12">
        <v>46051</v>
      </c>
      <c r="G26" s="23">
        <v>0.35416666666666669</v>
      </c>
      <c r="H26" s="2" t="s">
        <v>53</v>
      </c>
      <c r="I26" s="2" t="s">
        <v>54</v>
      </c>
      <c r="J26" s="2">
        <v>18</v>
      </c>
      <c r="K26" s="14">
        <f>VLOOKUP($C26,Sheet1!$A$2:$D$10,4,0)</f>
        <v>18</v>
      </c>
      <c r="L26" s="14" t="str">
        <f>VLOOKUP($C26,Sheet1!$A$2:$E$10,5,0)</f>
        <v>Trolley (H)</v>
      </c>
      <c r="M26" s="14"/>
      <c r="N26" s="71"/>
      <c r="O26" s="2" t="s">
        <v>122</v>
      </c>
      <c r="P26" s="2" t="s">
        <v>1944</v>
      </c>
    </row>
    <row r="27" spans="1:16" x14ac:dyDescent="0.25">
      <c r="A27" s="17" t="s">
        <v>1635</v>
      </c>
      <c r="B27" s="2" t="s">
        <v>1551</v>
      </c>
      <c r="C27" s="2" t="s">
        <v>12</v>
      </c>
      <c r="D27" s="2" t="str">
        <f>VLOOKUP($C27,Sheet1!$A$2:$D$10,2,0)</f>
        <v>141185-74670</v>
      </c>
      <c r="E27" s="8" t="s">
        <v>66</v>
      </c>
      <c r="F27" s="12">
        <v>46051</v>
      </c>
      <c r="G27" s="23">
        <v>0.35416666666666669</v>
      </c>
      <c r="H27" s="2" t="s">
        <v>53</v>
      </c>
      <c r="I27" s="2" t="s">
        <v>54</v>
      </c>
      <c r="J27" s="2">
        <v>40</v>
      </c>
      <c r="K27" s="14">
        <f>VLOOKUP($C27,Sheet1!$A$2:$D$10,4,0)</f>
        <v>40</v>
      </c>
      <c r="L27" s="14" t="str">
        <f>VLOOKUP($C27,Sheet1!$A$2:$E$10,5,0)</f>
        <v>Trolley</v>
      </c>
      <c r="M27" s="14"/>
      <c r="N27" s="2">
        <f>J27/K27</f>
        <v>1</v>
      </c>
      <c r="O27" s="2" t="s">
        <v>122</v>
      </c>
      <c r="P27" s="2">
        <v>910107701</v>
      </c>
    </row>
    <row r="28" spans="1:16" x14ac:dyDescent="0.25">
      <c r="A28" s="17" t="s">
        <v>1635</v>
      </c>
      <c r="B28" s="2" t="s">
        <v>1558</v>
      </c>
      <c r="C28" s="2" t="s">
        <v>16</v>
      </c>
      <c r="D28" s="2" t="str">
        <f>VLOOKUP($C28,Sheet1!$A$2:$D$10,2,0)</f>
        <v>141140-91211</v>
      </c>
      <c r="E28" s="8" t="s">
        <v>70</v>
      </c>
      <c r="F28" s="12">
        <v>46051</v>
      </c>
      <c r="G28" s="23">
        <v>0.35416666666666669</v>
      </c>
      <c r="H28" s="2" t="s">
        <v>71</v>
      </c>
      <c r="I28" s="2" t="s">
        <v>54</v>
      </c>
      <c r="J28" s="2">
        <v>28</v>
      </c>
      <c r="K28" s="14">
        <f>VLOOKUP($C28,Sheet1!$A$2:$D$10,4,0)</f>
        <v>2</v>
      </c>
      <c r="L28" s="14" t="str">
        <f>VLOOKUP($C28,Sheet1!$A$2:$E$10,5,0)</f>
        <v>Bin</v>
      </c>
      <c r="M28" s="14">
        <f t="shared" ref="M28:M31" si="2">J28/K28</f>
        <v>14</v>
      </c>
      <c r="N28" s="2"/>
      <c r="O28" s="2" t="s">
        <v>122</v>
      </c>
      <c r="P28" s="2" t="s">
        <v>1864</v>
      </c>
    </row>
    <row r="29" spans="1:16" x14ac:dyDescent="0.25">
      <c r="A29" s="17" t="s">
        <v>1635</v>
      </c>
      <c r="B29" s="2" t="s">
        <v>1611</v>
      </c>
      <c r="C29" s="2" t="s">
        <v>16</v>
      </c>
      <c r="D29" s="2" t="str">
        <f>VLOOKUP($C29,Sheet1!$A$2:$D$10,2,0)</f>
        <v>141140-91211</v>
      </c>
      <c r="E29" s="8" t="s">
        <v>70</v>
      </c>
      <c r="F29" s="12">
        <v>46051</v>
      </c>
      <c r="G29" s="23">
        <v>0.35416666666666669</v>
      </c>
      <c r="H29" s="2" t="s">
        <v>71</v>
      </c>
      <c r="I29" s="2" t="s">
        <v>54</v>
      </c>
      <c r="J29" s="2">
        <v>12</v>
      </c>
      <c r="K29" s="14">
        <f>VLOOKUP($C29,Sheet1!$A$2:$D$10,4,0)</f>
        <v>2</v>
      </c>
      <c r="L29" s="14" t="str">
        <f>VLOOKUP($C29,Sheet1!$A$2:$E$10,5,0)</f>
        <v>Bin</v>
      </c>
      <c r="M29" s="14">
        <f t="shared" si="2"/>
        <v>6</v>
      </c>
      <c r="N29" s="2"/>
      <c r="O29" s="2" t="s">
        <v>122</v>
      </c>
      <c r="P29" s="2" t="s">
        <v>1864</v>
      </c>
    </row>
    <row r="30" spans="1:16" x14ac:dyDescent="0.25">
      <c r="A30" s="17" t="s">
        <v>1635</v>
      </c>
      <c r="B30" s="2" t="s">
        <v>1565</v>
      </c>
      <c r="C30" s="2" t="s">
        <v>20</v>
      </c>
      <c r="D30" s="2" t="str">
        <f>VLOOKUP($C30,Sheet1!$A$2:$D$10,2,0)</f>
        <v>141150-91211</v>
      </c>
      <c r="E30" s="8" t="s">
        <v>78</v>
      </c>
      <c r="F30" s="12">
        <v>46051</v>
      </c>
      <c r="G30" s="23">
        <v>0.35416666666666669</v>
      </c>
      <c r="H30" s="2" t="s">
        <v>71</v>
      </c>
      <c r="I30" s="2" t="s">
        <v>54</v>
      </c>
      <c r="J30" s="2">
        <v>28</v>
      </c>
      <c r="K30" s="14">
        <f>VLOOKUP($C30,Sheet1!$A$2:$D$10,4,0)</f>
        <v>2</v>
      </c>
      <c r="L30" s="14" t="str">
        <f>VLOOKUP($C30,Sheet1!$A$2:$E$10,5,0)</f>
        <v>Bin</v>
      </c>
      <c r="M30" s="14">
        <f t="shared" si="2"/>
        <v>14</v>
      </c>
      <c r="N30" s="2"/>
      <c r="O30" s="2" t="s">
        <v>122</v>
      </c>
      <c r="P30" s="2" t="s">
        <v>724</v>
      </c>
    </row>
    <row r="31" spans="1:16" x14ac:dyDescent="0.25">
      <c r="A31" s="17" t="s">
        <v>1635</v>
      </c>
      <c r="B31" s="2" t="s">
        <v>1615</v>
      </c>
      <c r="C31" s="2" t="s">
        <v>20</v>
      </c>
      <c r="D31" s="2" t="str">
        <f>VLOOKUP($C31,Sheet1!$A$2:$D$10,2,0)</f>
        <v>141150-91211</v>
      </c>
      <c r="E31" s="8" t="s">
        <v>78</v>
      </c>
      <c r="F31" s="12">
        <v>46051</v>
      </c>
      <c r="G31" s="23">
        <v>0.35416666666666669</v>
      </c>
      <c r="H31" s="2" t="s">
        <v>71</v>
      </c>
      <c r="I31" s="2" t="s">
        <v>54</v>
      </c>
      <c r="J31" s="2">
        <v>12</v>
      </c>
      <c r="K31" s="14">
        <f>VLOOKUP($C31,Sheet1!$A$2:$D$10,4,0)</f>
        <v>2</v>
      </c>
      <c r="L31" s="14" t="str">
        <f>VLOOKUP($C31,Sheet1!$A$2:$E$10,5,0)</f>
        <v>Bin</v>
      </c>
      <c r="M31" s="14">
        <f t="shared" si="2"/>
        <v>6</v>
      </c>
      <c r="N31" s="2"/>
      <c r="O31" s="2" t="s">
        <v>122</v>
      </c>
      <c r="P31" s="2" t="s">
        <v>724</v>
      </c>
    </row>
    <row r="32" spans="1:16" x14ac:dyDescent="0.25">
      <c r="A32" s="17" t="s">
        <v>1639</v>
      </c>
      <c r="B32" s="2" t="s">
        <v>1579</v>
      </c>
      <c r="C32" s="2" t="s">
        <v>26</v>
      </c>
      <c r="D32" s="2" t="str">
        <f>VLOOKUP($C32,Sheet1!$A$2:$D$10,2,0)</f>
        <v>116040-92240</v>
      </c>
      <c r="E32" s="8" t="s">
        <v>90</v>
      </c>
      <c r="F32" s="12">
        <v>46051</v>
      </c>
      <c r="G32" s="23">
        <v>0.35416666666666669</v>
      </c>
      <c r="H32" s="2" t="s">
        <v>91</v>
      </c>
      <c r="I32" s="2" t="s">
        <v>54</v>
      </c>
      <c r="J32" s="2">
        <v>24</v>
      </c>
      <c r="K32" s="14">
        <f>VLOOKUP($C32,Sheet1!$A$2:$D$10,4,0)</f>
        <v>6</v>
      </c>
      <c r="L32" s="14" t="str">
        <f>VLOOKUP($C32,Sheet1!$A$2:$E$10,5,0)</f>
        <v>Bin</v>
      </c>
      <c r="M32" s="14">
        <f t="shared" ref="M32:M37" si="3">J32/K32</f>
        <v>4</v>
      </c>
      <c r="N32" s="2"/>
      <c r="O32" s="2" t="s">
        <v>122</v>
      </c>
      <c r="P32" s="2" t="s">
        <v>1859</v>
      </c>
    </row>
    <row r="33" spans="1:16" x14ac:dyDescent="0.25">
      <c r="A33" s="17" t="s">
        <v>1639</v>
      </c>
      <c r="B33" s="2" t="s">
        <v>1623</v>
      </c>
      <c r="C33" s="2" t="s">
        <v>26</v>
      </c>
      <c r="D33" s="2" t="str">
        <f>VLOOKUP($C33,Sheet1!$A$2:$D$10,2,0)</f>
        <v>116040-92240</v>
      </c>
      <c r="E33" s="8" t="s">
        <v>90</v>
      </c>
      <c r="F33" s="12">
        <v>46051</v>
      </c>
      <c r="G33" s="23">
        <v>0.35416666666666669</v>
      </c>
      <c r="H33" s="2" t="s">
        <v>91</v>
      </c>
      <c r="I33" s="2" t="s">
        <v>54</v>
      </c>
      <c r="J33" s="2">
        <v>12</v>
      </c>
      <c r="K33" s="14">
        <f>VLOOKUP($C33,Sheet1!$A$2:$D$10,4,0)</f>
        <v>6</v>
      </c>
      <c r="L33" s="14" t="str">
        <f>VLOOKUP($C33,Sheet1!$A$2:$E$10,5,0)</f>
        <v>Bin</v>
      </c>
      <c r="M33" s="14">
        <f t="shared" si="3"/>
        <v>2</v>
      </c>
      <c r="N33" s="2"/>
      <c r="O33" s="2" t="s">
        <v>122</v>
      </c>
      <c r="P33" s="2" t="s">
        <v>1859</v>
      </c>
    </row>
    <row r="34" spans="1:16" x14ac:dyDescent="0.25">
      <c r="A34" s="17" t="s">
        <v>1639</v>
      </c>
      <c r="B34" s="2" t="s">
        <v>1586</v>
      </c>
      <c r="C34" s="2" t="s">
        <v>32</v>
      </c>
      <c r="D34" s="2" t="str">
        <f>VLOOKUP($C34,Sheet1!$A$2:$D$10,2,0)</f>
        <v>114010-50820</v>
      </c>
      <c r="E34" s="8" t="s">
        <v>98</v>
      </c>
      <c r="F34" s="12">
        <v>46051</v>
      </c>
      <c r="G34" s="23">
        <v>0.35416666666666669</v>
      </c>
      <c r="H34" s="2" t="s">
        <v>91</v>
      </c>
      <c r="I34" s="2" t="s">
        <v>54</v>
      </c>
      <c r="J34" s="2">
        <v>15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si="3"/>
        <v>15</v>
      </c>
      <c r="N34" s="2"/>
      <c r="O34" s="2" t="s">
        <v>122</v>
      </c>
      <c r="P34" s="2" t="s">
        <v>1904</v>
      </c>
    </row>
    <row r="35" spans="1:16" x14ac:dyDescent="0.25">
      <c r="A35" s="17" t="s">
        <v>1639</v>
      </c>
      <c r="B35" s="2" t="s">
        <v>1627</v>
      </c>
      <c r="C35" s="2" t="s">
        <v>32</v>
      </c>
      <c r="D35" s="2" t="str">
        <f>VLOOKUP($C35,Sheet1!$A$2:$D$10,2,0)</f>
        <v>114010-50820</v>
      </c>
      <c r="E35" s="8" t="s">
        <v>98</v>
      </c>
      <c r="F35" s="12">
        <v>46051</v>
      </c>
      <c r="G35" s="23">
        <v>0.35416666666666669</v>
      </c>
      <c r="H35" s="2" t="s">
        <v>91</v>
      </c>
      <c r="I35" s="2" t="s">
        <v>54</v>
      </c>
      <c r="J35" s="2">
        <v>5</v>
      </c>
      <c r="K35" s="14">
        <f>VLOOKUP($C35,Sheet1!$A$2:$D$10,4,0)</f>
        <v>1</v>
      </c>
      <c r="L35" s="14" t="str">
        <f>VLOOKUP($C35,Sheet1!$A$2:$E$10,5,0)</f>
        <v>Bin</v>
      </c>
      <c r="M35" s="14">
        <f t="shared" si="3"/>
        <v>5</v>
      </c>
      <c r="N35" s="2"/>
      <c r="O35" s="2" t="s">
        <v>122</v>
      </c>
      <c r="P35" s="2" t="s">
        <v>1904</v>
      </c>
    </row>
    <row r="36" spans="1:16" x14ac:dyDescent="0.25">
      <c r="A36" s="17" t="s">
        <v>1639</v>
      </c>
      <c r="B36" s="2" t="s">
        <v>1593</v>
      </c>
      <c r="C36" s="2" t="s">
        <v>29</v>
      </c>
      <c r="D36" s="2" t="str">
        <f>VLOOKUP($C36,Sheet1!$A$2:$D$10,2,0)</f>
        <v>114010-50830</v>
      </c>
      <c r="E36" s="8" t="s">
        <v>98</v>
      </c>
      <c r="F36" s="12">
        <v>46051</v>
      </c>
      <c r="G36" s="23">
        <v>0.35416666666666669</v>
      </c>
      <c r="H36" s="2" t="s">
        <v>91</v>
      </c>
      <c r="I36" s="2" t="s">
        <v>54</v>
      </c>
      <c r="J36" s="2">
        <v>13</v>
      </c>
      <c r="K36" s="14">
        <f>VLOOKUP($C36,Sheet1!$A$2:$D$10,4,0)</f>
        <v>1</v>
      </c>
      <c r="L36" s="14" t="str">
        <f>VLOOKUP($C36,Sheet1!$A$2:$E$10,5,0)</f>
        <v>Bin</v>
      </c>
      <c r="M36" s="14">
        <f t="shared" si="3"/>
        <v>13</v>
      </c>
      <c r="N36" s="2"/>
      <c r="O36" s="2" t="s">
        <v>122</v>
      </c>
      <c r="P36" s="2" t="s">
        <v>1859</v>
      </c>
    </row>
    <row r="37" spans="1:16" x14ac:dyDescent="0.25">
      <c r="A37" s="17" t="s">
        <v>1639</v>
      </c>
      <c r="B37" s="2" t="s">
        <v>1631</v>
      </c>
      <c r="C37" s="2" t="s">
        <v>29</v>
      </c>
      <c r="D37" s="2" t="str">
        <f>VLOOKUP($C37,Sheet1!$A$2:$D$10,2,0)</f>
        <v>114010-50830</v>
      </c>
      <c r="E37" s="8" t="s">
        <v>98</v>
      </c>
      <c r="F37" s="12">
        <v>46051</v>
      </c>
      <c r="G37" s="23">
        <v>0.35416666666666669</v>
      </c>
      <c r="H37" s="2" t="s">
        <v>91</v>
      </c>
      <c r="I37" s="2" t="s">
        <v>54</v>
      </c>
      <c r="J37" s="2">
        <v>8</v>
      </c>
      <c r="K37" s="14">
        <f>VLOOKUP($C37,Sheet1!$A$2:$D$10,4,0)</f>
        <v>1</v>
      </c>
      <c r="L37" s="14" t="str">
        <f>VLOOKUP($C37,Sheet1!$A$2:$E$10,5,0)</f>
        <v>Bin</v>
      </c>
      <c r="M37" s="14">
        <f t="shared" si="3"/>
        <v>8</v>
      </c>
      <c r="N37" s="2"/>
      <c r="O37" s="2" t="s">
        <v>122</v>
      </c>
      <c r="P37" s="2" t="s">
        <v>1859</v>
      </c>
    </row>
    <row r="38" spans="1:16" s="11" customForma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>
        <v>155</v>
      </c>
      <c r="N38" s="10">
        <v>6</v>
      </c>
      <c r="O38" s="10"/>
      <c r="P38" s="10"/>
    </row>
    <row r="39" spans="1:16" x14ac:dyDescent="0.25">
      <c r="A39" s="17" t="s">
        <v>1640</v>
      </c>
      <c r="B39" s="2" t="s">
        <v>1572</v>
      </c>
      <c r="C39" s="2" t="s">
        <v>23</v>
      </c>
      <c r="D39" s="2" t="str">
        <f>VLOOKUP($C39,Sheet1!$A$2:$D$10,2,0)</f>
        <v>141186-74360</v>
      </c>
      <c r="E39" s="8" t="s">
        <v>85</v>
      </c>
      <c r="F39" s="12">
        <v>46051</v>
      </c>
      <c r="G39" s="23">
        <v>0.35416666666666669</v>
      </c>
      <c r="H39" s="2" t="s">
        <v>71</v>
      </c>
      <c r="I39" s="2" t="s">
        <v>54</v>
      </c>
      <c r="J39" s="2">
        <v>40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 t="shared" ref="N39:N40" si="4">J39/K39</f>
        <v>1</v>
      </c>
      <c r="O39" s="2" t="s">
        <v>119</v>
      </c>
      <c r="P39" s="2">
        <v>910107518</v>
      </c>
    </row>
    <row r="40" spans="1:16" ht="15.75" thickBot="1" x14ac:dyDescent="0.3">
      <c r="A40" s="17" t="s">
        <v>1640</v>
      </c>
      <c r="B40" s="2" t="s">
        <v>1619</v>
      </c>
      <c r="C40" s="2" t="s">
        <v>23</v>
      </c>
      <c r="D40" s="2" t="str">
        <f>VLOOKUP($C40,Sheet1!$A$2:$D$10,2,0)</f>
        <v>141186-74360</v>
      </c>
      <c r="E40" s="8" t="s">
        <v>85</v>
      </c>
      <c r="F40" s="12">
        <v>46051</v>
      </c>
      <c r="G40" s="24">
        <v>0.35416666666666669</v>
      </c>
      <c r="H40" s="2" t="s">
        <v>71</v>
      </c>
      <c r="I40" s="2" t="s">
        <v>54</v>
      </c>
      <c r="J40" s="2">
        <v>40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 t="shared" si="4"/>
        <v>1</v>
      </c>
      <c r="O40" s="2" t="s">
        <v>119</v>
      </c>
      <c r="P40" s="2">
        <v>910107518</v>
      </c>
    </row>
    <row r="41" spans="1:16" ht="15.75" thickTop="1" x14ac:dyDescent="0.25">
      <c r="A41" s="17" t="s">
        <v>1641</v>
      </c>
      <c r="B41" s="2" t="s">
        <v>1538</v>
      </c>
      <c r="C41" s="2" t="s">
        <v>5</v>
      </c>
      <c r="D41" s="2" t="str">
        <f>VLOOKUP($C41,Sheet1!$A$2:$D$10,2,0)</f>
        <v>141110-14600</v>
      </c>
      <c r="E41" s="8" t="s">
        <v>52</v>
      </c>
      <c r="F41" s="12">
        <v>46051</v>
      </c>
      <c r="G41" s="22">
        <v>0.4375</v>
      </c>
      <c r="H41" s="2" t="s">
        <v>53</v>
      </c>
      <c r="I41" s="2" t="s">
        <v>54</v>
      </c>
      <c r="J41" s="2">
        <v>18</v>
      </c>
      <c r="K41" s="14">
        <f>VLOOKUP($C41,Sheet1!$A$2:$D$10,4,0)</f>
        <v>18</v>
      </c>
      <c r="L41" s="14" t="str">
        <f>VLOOKUP($C41,Sheet1!$A$2:$E$10,5,0)</f>
        <v>Trolley (H)</v>
      </c>
      <c r="M41" s="14"/>
      <c r="N41" s="52">
        <v>1</v>
      </c>
      <c r="O41" s="2" t="s">
        <v>119</v>
      </c>
      <c r="P41" s="2" t="s">
        <v>1945</v>
      </c>
    </row>
    <row r="42" spans="1:16" x14ac:dyDescent="0.25">
      <c r="A42" s="17" t="s">
        <v>1641</v>
      </c>
      <c r="B42" s="2" t="s">
        <v>1545</v>
      </c>
      <c r="C42" s="2" t="s">
        <v>9</v>
      </c>
      <c r="D42" s="2" t="str">
        <f>VLOOKUP($C42,Sheet1!$A$2:$D$10,2,0)</f>
        <v>141120-14600</v>
      </c>
      <c r="E42" s="8" t="s">
        <v>60</v>
      </c>
      <c r="F42" s="12">
        <v>46051</v>
      </c>
      <c r="G42" s="13">
        <v>0.4375</v>
      </c>
      <c r="H42" s="2" t="s">
        <v>53</v>
      </c>
      <c r="I42" s="2" t="s">
        <v>54</v>
      </c>
      <c r="J42" s="2">
        <v>18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71"/>
      <c r="O42" s="2" t="s">
        <v>119</v>
      </c>
      <c r="P42" s="2" t="s">
        <v>1946</v>
      </c>
    </row>
    <row r="43" spans="1:16" x14ac:dyDescent="0.25">
      <c r="A43" s="17" t="s">
        <v>1641</v>
      </c>
      <c r="B43" s="2" t="s">
        <v>1552</v>
      </c>
      <c r="C43" s="2" t="s">
        <v>12</v>
      </c>
      <c r="D43" s="2" t="str">
        <f>VLOOKUP($C43,Sheet1!$A$2:$D$10,2,0)</f>
        <v>141185-74670</v>
      </c>
      <c r="E43" s="8" t="s">
        <v>66</v>
      </c>
      <c r="F43" s="12">
        <v>46051</v>
      </c>
      <c r="G43" s="13">
        <v>0.4375</v>
      </c>
      <c r="H43" s="2" t="s">
        <v>53</v>
      </c>
      <c r="I43" s="2" t="s">
        <v>54</v>
      </c>
      <c r="J43" s="2">
        <v>40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1</v>
      </c>
      <c r="O43" s="2" t="s">
        <v>119</v>
      </c>
      <c r="P43" s="2">
        <v>910107701</v>
      </c>
    </row>
    <row r="44" spans="1:16" x14ac:dyDescent="0.25">
      <c r="A44" s="17" t="s">
        <v>1641</v>
      </c>
      <c r="B44" s="2" t="s">
        <v>1559</v>
      </c>
      <c r="C44" s="2" t="s">
        <v>16</v>
      </c>
      <c r="D44" s="2" t="str">
        <f>VLOOKUP($C44,Sheet1!$A$2:$D$10,2,0)</f>
        <v>141140-91211</v>
      </c>
      <c r="E44" s="8" t="s">
        <v>70</v>
      </c>
      <c r="F44" s="12">
        <v>46051</v>
      </c>
      <c r="G44" s="13">
        <v>0.4375</v>
      </c>
      <c r="H44" s="2" t="s">
        <v>71</v>
      </c>
      <c r="I44" s="2" t="s">
        <v>54</v>
      </c>
      <c r="J44" s="2">
        <v>28</v>
      </c>
      <c r="K44" s="14">
        <f>VLOOKUP($C44,Sheet1!$A$2:$D$10,4,0)</f>
        <v>2</v>
      </c>
      <c r="L44" s="14" t="str">
        <f>VLOOKUP($C44,Sheet1!$A$2:$E$10,5,0)</f>
        <v>Bin</v>
      </c>
      <c r="M44" s="14">
        <f t="shared" ref="M44:M45" si="5">J44/K44</f>
        <v>14</v>
      </c>
      <c r="N44" s="2"/>
      <c r="O44" s="2" t="s">
        <v>119</v>
      </c>
      <c r="P44" s="2" t="s">
        <v>1864</v>
      </c>
    </row>
    <row r="45" spans="1:16" x14ac:dyDescent="0.25">
      <c r="A45" s="17" t="s">
        <v>1641</v>
      </c>
      <c r="B45" s="2" t="s">
        <v>1566</v>
      </c>
      <c r="C45" s="2" t="s">
        <v>20</v>
      </c>
      <c r="D45" s="2" t="str">
        <f>VLOOKUP($C45,Sheet1!$A$2:$D$10,2,0)</f>
        <v>141150-91211</v>
      </c>
      <c r="E45" s="8" t="s">
        <v>78</v>
      </c>
      <c r="F45" s="12">
        <v>46051</v>
      </c>
      <c r="G45" s="13">
        <v>0.4375</v>
      </c>
      <c r="H45" s="2" t="s">
        <v>71</v>
      </c>
      <c r="I45" s="2" t="s">
        <v>54</v>
      </c>
      <c r="J45" s="2">
        <v>28</v>
      </c>
      <c r="K45" s="14">
        <f>VLOOKUP($C45,Sheet1!$A$2:$D$10,4,0)</f>
        <v>2</v>
      </c>
      <c r="L45" s="14" t="str">
        <f>VLOOKUP($C45,Sheet1!$A$2:$E$10,5,0)</f>
        <v>Bin</v>
      </c>
      <c r="M45" s="14">
        <f t="shared" si="5"/>
        <v>14</v>
      </c>
      <c r="N45" s="2"/>
      <c r="O45" s="2" t="s">
        <v>119</v>
      </c>
      <c r="P45" s="2" t="s">
        <v>724</v>
      </c>
    </row>
    <row r="46" spans="1:16" x14ac:dyDescent="0.25">
      <c r="A46" s="17" t="s">
        <v>1641</v>
      </c>
      <c r="B46" s="2" t="s">
        <v>1573</v>
      </c>
      <c r="C46" s="2" t="s">
        <v>23</v>
      </c>
      <c r="D46" s="2" t="str">
        <f>VLOOKUP($C46,Sheet1!$A$2:$D$10,2,0)</f>
        <v>141186-74360</v>
      </c>
      <c r="E46" s="8" t="s">
        <v>85</v>
      </c>
      <c r="F46" s="12">
        <v>46051</v>
      </c>
      <c r="G46" s="13">
        <v>0.4375</v>
      </c>
      <c r="H46" s="2" t="s">
        <v>71</v>
      </c>
      <c r="I46" s="2" t="s">
        <v>54</v>
      </c>
      <c r="J46" s="2">
        <v>40</v>
      </c>
      <c r="K46" s="14">
        <f>VLOOKUP($C46,Sheet1!$A$2:$D$10,4,0)</f>
        <v>40</v>
      </c>
      <c r="L46" s="14" t="str">
        <f>VLOOKUP($C46,Sheet1!$A$2:$E$10,5,0)</f>
        <v>Trolley</v>
      </c>
      <c r="M46" s="14"/>
      <c r="N46" s="2">
        <f>J46/K46</f>
        <v>1</v>
      </c>
      <c r="O46" s="2" t="s">
        <v>119</v>
      </c>
      <c r="P46" s="2">
        <v>910107518</v>
      </c>
    </row>
    <row r="47" spans="1:16" x14ac:dyDescent="0.25">
      <c r="A47" s="17" t="s">
        <v>1642</v>
      </c>
      <c r="B47" s="2" t="s">
        <v>1580</v>
      </c>
      <c r="C47" s="2" t="s">
        <v>26</v>
      </c>
      <c r="D47" s="2" t="str">
        <f>VLOOKUP($C47,Sheet1!$A$2:$D$10,2,0)</f>
        <v>116040-92240</v>
      </c>
      <c r="E47" s="8" t="s">
        <v>90</v>
      </c>
      <c r="F47" s="12">
        <v>46051</v>
      </c>
      <c r="G47" s="13">
        <v>0.4375</v>
      </c>
      <c r="H47" s="2" t="s">
        <v>91</v>
      </c>
      <c r="I47" s="2" t="s">
        <v>54</v>
      </c>
      <c r="J47" s="2">
        <v>30</v>
      </c>
      <c r="K47" s="14">
        <f>VLOOKUP($C47,Sheet1!$A$2:$D$10,4,0)</f>
        <v>6</v>
      </c>
      <c r="L47" s="14" t="str">
        <f>VLOOKUP($C47,Sheet1!$A$2:$E$10,5,0)</f>
        <v>Bin</v>
      </c>
      <c r="M47" s="14">
        <f t="shared" ref="M47:M49" si="6">J47/K47</f>
        <v>5</v>
      </c>
      <c r="N47" s="2"/>
      <c r="O47" s="2" t="s">
        <v>119</v>
      </c>
      <c r="P47" s="2" t="s">
        <v>1859</v>
      </c>
    </row>
    <row r="48" spans="1:16" x14ac:dyDescent="0.25">
      <c r="A48" s="17" t="s">
        <v>1642</v>
      </c>
      <c r="B48" s="2" t="s">
        <v>1587</v>
      </c>
      <c r="C48" s="2" t="s">
        <v>32</v>
      </c>
      <c r="D48" s="2" t="str">
        <f>VLOOKUP($C48,Sheet1!$A$2:$D$10,2,0)</f>
        <v>114010-50820</v>
      </c>
      <c r="E48" s="8" t="s">
        <v>98</v>
      </c>
      <c r="F48" s="12">
        <v>46051</v>
      </c>
      <c r="G48" s="13">
        <v>0.4375</v>
      </c>
      <c r="H48" s="2" t="s">
        <v>91</v>
      </c>
      <c r="I48" s="2" t="s">
        <v>54</v>
      </c>
      <c r="J48" s="2">
        <v>15</v>
      </c>
      <c r="K48" s="14">
        <f>VLOOKUP($C48,Sheet1!$A$2:$D$10,4,0)</f>
        <v>1</v>
      </c>
      <c r="L48" s="14" t="str">
        <f>VLOOKUP($C48,Sheet1!$A$2:$E$10,5,0)</f>
        <v>Bin</v>
      </c>
      <c r="M48" s="14">
        <f t="shared" si="6"/>
        <v>15</v>
      </c>
      <c r="N48" s="2"/>
      <c r="O48" s="2" t="s">
        <v>119</v>
      </c>
      <c r="P48" s="2" t="s">
        <v>1904</v>
      </c>
    </row>
    <row r="49" spans="1:16" x14ac:dyDescent="0.25">
      <c r="A49" s="17" t="s">
        <v>1642</v>
      </c>
      <c r="B49" s="2" t="s">
        <v>1594</v>
      </c>
      <c r="C49" s="2" t="s">
        <v>29</v>
      </c>
      <c r="D49" s="2" t="str">
        <f>VLOOKUP($C49,Sheet1!$A$2:$D$10,2,0)</f>
        <v>114010-50830</v>
      </c>
      <c r="E49" s="8" t="s">
        <v>98</v>
      </c>
      <c r="F49" s="12">
        <v>46051</v>
      </c>
      <c r="G49" s="13">
        <v>0.4375</v>
      </c>
      <c r="H49" s="2" t="s">
        <v>91</v>
      </c>
      <c r="I49" s="2" t="s">
        <v>54</v>
      </c>
      <c r="J49" s="2">
        <v>13</v>
      </c>
      <c r="K49" s="14">
        <f>VLOOKUP($C49,Sheet1!$A$2:$D$10,4,0)</f>
        <v>1</v>
      </c>
      <c r="L49" s="14" t="str">
        <f>VLOOKUP($C49,Sheet1!$A$2:$E$10,5,0)</f>
        <v>Bin</v>
      </c>
      <c r="M49" s="14">
        <f t="shared" si="6"/>
        <v>13</v>
      </c>
      <c r="N49" s="2"/>
      <c r="O49" s="2" t="s">
        <v>119</v>
      </c>
      <c r="P49" s="2" t="s">
        <v>1859</v>
      </c>
    </row>
    <row r="50" spans="1:16" s="11" customForma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>
        <v>61</v>
      </c>
      <c r="N50" s="10">
        <v>5</v>
      </c>
      <c r="O50" s="10"/>
      <c r="P50" s="10"/>
    </row>
    <row r="51" spans="1:16" x14ac:dyDescent="0.25">
      <c r="A51" s="17" t="s">
        <v>1645</v>
      </c>
      <c r="B51" s="2" t="s">
        <v>1539</v>
      </c>
      <c r="C51" s="2" t="s">
        <v>5</v>
      </c>
      <c r="D51" s="2" t="str">
        <f>VLOOKUP($C51,Sheet1!$A$2:$D$10,2,0)</f>
        <v>141110-14600</v>
      </c>
      <c r="E51" s="8" t="s">
        <v>52</v>
      </c>
      <c r="F51" s="12">
        <v>46051</v>
      </c>
      <c r="G51" s="13">
        <v>0.52083333333333337</v>
      </c>
      <c r="H51" s="2" t="s">
        <v>53</v>
      </c>
      <c r="I51" s="2" t="s">
        <v>54</v>
      </c>
      <c r="J51" s="2">
        <v>36</v>
      </c>
      <c r="K51" s="14">
        <f>VLOOKUP($C51,Sheet1!$A$2:$D$10,4,0)</f>
        <v>18</v>
      </c>
      <c r="L51" s="14" t="str">
        <f>VLOOKUP($C51,Sheet1!$A$2:$E$10,5,0)</f>
        <v>Trolley (H)</v>
      </c>
      <c r="M51" s="14"/>
      <c r="N51" s="52">
        <v>2</v>
      </c>
      <c r="O51" s="2" t="s">
        <v>121</v>
      </c>
      <c r="P51" s="2" t="s">
        <v>1945</v>
      </c>
    </row>
    <row r="52" spans="1:16" x14ac:dyDescent="0.25">
      <c r="A52" s="17" t="s">
        <v>1645</v>
      </c>
      <c r="B52" s="2" t="s">
        <v>1546</v>
      </c>
      <c r="C52" s="2" t="s">
        <v>9</v>
      </c>
      <c r="D52" s="2" t="str">
        <f>VLOOKUP($C52,Sheet1!$A$2:$D$10,2,0)</f>
        <v>141120-14600</v>
      </c>
      <c r="E52" s="8" t="s">
        <v>60</v>
      </c>
      <c r="F52" s="12">
        <v>46051</v>
      </c>
      <c r="G52" s="13">
        <v>0.52083333333333337</v>
      </c>
      <c r="H52" s="2" t="s">
        <v>53</v>
      </c>
      <c r="I52" s="2" t="s">
        <v>54</v>
      </c>
      <c r="J52" s="2">
        <v>36</v>
      </c>
      <c r="K52" s="14">
        <f>VLOOKUP($C52,Sheet1!$A$2:$D$10,4,0)</f>
        <v>18</v>
      </c>
      <c r="L52" s="14" t="str">
        <f>VLOOKUP($C52,Sheet1!$A$2:$E$10,5,0)</f>
        <v>Trolley (H)</v>
      </c>
      <c r="M52" s="14"/>
      <c r="N52" s="71"/>
      <c r="O52" s="2" t="s">
        <v>121</v>
      </c>
      <c r="P52" s="2" t="s">
        <v>1946</v>
      </c>
    </row>
    <row r="53" spans="1:16" x14ac:dyDescent="0.25">
      <c r="A53" s="17" t="s">
        <v>1645</v>
      </c>
      <c r="B53" s="2" t="s">
        <v>1553</v>
      </c>
      <c r="C53" s="2" t="s">
        <v>12</v>
      </c>
      <c r="D53" s="2" t="str">
        <f>VLOOKUP($C53,Sheet1!$A$2:$D$10,2,0)</f>
        <v>141185-74670</v>
      </c>
      <c r="E53" s="8" t="s">
        <v>66</v>
      </c>
      <c r="F53" s="12">
        <v>46051</v>
      </c>
      <c r="G53" s="13">
        <v>0.52083333333333337</v>
      </c>
      <c r="H53" s="2" t="s">
        <v>53</v>
      </c>
      <c r="I53" s="2" t="s">
        <v>54</v>
      </c>
      <c r="J53" s="2">
        <v>80</v>
      </c>
      <c r="K53" s="14">
        <f>VLOOKUP($C53,Sheet1!$A$2:$D$10,4,0)</f>
        <v>40</v>
      </c>
      <c r="L53" s="14" t="str">
        <f>VLOOKUP($C53,Sheet1!$A$2:$E$10,5,0)</f>
        <v>Trolley</v>
      </c>
      <c r="M53" s="14"/>
      <c r="N53" s="2">
        <f>J53/K53</f>
        <v>2</v>
      </c>
      <c r="O53" s="2" t="s">
        <v>121</v>
      </c>
      <c r="P53" s="2">
        <v>910107701</v>
      </c>
    </row>
    <row r="54" spans="1:16" x14ac:dyDescent="0.25">
      <c r="A54" s="17" t="s">
        <v>1645</v>
      </c>
      <c r="B54" s="2" t="s">
        <v>1560</v>
      </c>
      <c r="C54" s="2" t="s">
        <v>16</v>
      </c>
      <c r="D54" s="2" t="str">
        <f>VLOOKUP($C54,Sheet1!$A$2:$D$10,2,0)</f>
        <v>141140-91211</v>
      </c>
      <c r="E54" s="8" t="s">
        <v>70</v>
      </c>
      <c r="F54" s="12">
        <v>46051</v>
      </c>
      <c r="G54" s="13">
        <v>0.52083333333333337</v>
      </c>
      <c r="H54" s="2" t="s">
        <v>71</v>
      </c>
      <c r="I54" s="2" t="s">
        <v>54</v>
      </c>
      <c r="J54" s="2">
        <v>42</v>
      </c>
      <c r="K54" s="14">
        <f>VLOOKUP($C54,Sheet1!$A$2:$D$10,4,0)</f>
        <v>2</v>
      </c>
      <c r="L54" s="14" t="str">
        <f>VLOOKUP($C54,Sheet1!$A$2:$E$10,5,0)</f>
        <v>Bin</v>
      </c>
      <c r="M54" s="14">
        <f t="shared" ref="M54:M55" si="7">J54/K54</f>
        <v>21</v>
      </c>
      <c r="N54" s="2"/>
      <c r="O54" s="2" t="s">
        <v>121</v>
      </c>
      <c r="P54" s="2" t="s">
        <v>1864</v>
      </c>
    </row>
    <row r="55" spans="1:16" x14ac:dyDescent="0.25">
      <c r="A55" s="17" t="s">
        <v>1645</v>
      </c>
      <c r="B55" s="2" t="s">
        <v>1567</v>
      </c>
      <c r="C55" s="2" t="s">
        <v>20</v>
      </c>
      <c r="D55" s="2" t="str">
        <f>VLOOKUP($C55,Sheet1!$A$2:$D$10,2,0)</f>
        <v>141150-91211</v>
      </c>
      <c r="E55" s="8" t="s">
        <v>78</v>
      </c>
      <c r="F55" s="12">
        <v>46051</v>
      </c>
      <c r="G55" s="13">
        <v>0.52083333333333337</v>
      </c>
      <c r="H55" s="2" t="s">
        <v>71</v>
      </c>
      <c r="I55" s="2" t="s">
        <v>54</v>
      </c>
      <c r="J55" s="2">
        <v>42</v>
      </c>
      <c r="K55" s="14">
        <f>VLOOKUP($C55,Sheet1!$A$2:$D$10,4,0)</f>
        <v>2</v>
      </c>
      <c r="L55" s="14" t="str">
        <f>VLOOKUP($C55,Sheet1!$A$2:$E$10,5,0)</f>
        <v>Bin</v>
      </c>
      <c r="M55" s="14">
        <f t="shared" si="7"/>
        <v>21</v>
      </c>
      <c r="N55" s="2"/>
      <c r="O55" s="2" t="s">
        <v>121</v>
      </c>
      <c r="P55" s="2" t="s">
        <v>724</v>
      </c>
    </row>
    <row r="56" spans="1:16" x14ac:dyDescent="0.25">
      <c r="A56" s="17" t="s">
        <v>1645</v>
      </c>
      <c r="B56" s="2" t="s">
        <v>1574</v>
      </c>
      <c r="C56" s="2" t="s">
        <v>23</v>
      </c>
      <c r="D56" s="2" t="str">
        <f>VLOOKUP($C56,Sheet1!$A$2:$D$10,2,0)</f>
        <v>141186-74360</v>
      </c>
      <c r="E56" s="8" t="s">
        <v>85</v>
      </c>
      <c r="F56" s="12">
        <v>46051</v>
      </c>
      <c r="G56" s="13">
        <v>0.52083333333333337</v>
      </c>
      <c r="H56" s="2" t="s">
        <v>71</v>
      </c>
      <c r="I56" s="2" t="s">
        <v>54</v>
      </c>
      <c r="J56" s="2">
        <v>80</v>
      </c>
      <c r="K56" s="14">
        <f>VLOOKUP($C56,Sheet1!$A$2:$D$10,4,0)</f>
        <v>40</v>
      </c>
      <c r="L56" s="14" t="str">
        <f>VLOOKUP($C56,Sheet1!$A$2:$E$10,5,0)</f>
        <v>Trolley</v>
      </c>
      <c r="M56" s="14"/>
      <c r="N56" s="2">
        <f>J56/K56</f>
        <v>2</v>
      </c>
      <c r="O56" s="2" t="s">
        <v>121</v>
      </c>
      <c r="P56" s="2">
        <v>910107518</v>
      </c>
    </row>
    <row r="57" spans="1:16" x14ac:dyDescent="0.25">
      <c r="A57" s="17" t="s">
        <v>1646</v>
      </c>
      <c r="B57" s="2" t="s">
        <v>1581</v>
      </c>
      <c r="C57" s="2" t="s">
        <v>26</v>
      </c>
      <c r="D57" s="2" t="str">
        <f>VLOOKUP($C57,Sheet1!$A$2:$D$10,2,0)</f>
        <v>116040-92240</v>
      </c>
      <c r="E57" s="8" t="s">
        <v>90</v>
      </c>
      <c r="F57" s="12">
        <v>46051</v>
      </c>
      <c r="G57" s="13">
        <v>0.52083333333333337</v>
      </c>
      <c r="H57" s="2" t="s">
        <v>91</v>
      </c>
      <c r="I57" s="2" t="s">
        <v>54</v>
      </c>
      <c r="J57" s="2">
        <v>42</v>
      </c>
      <c r="K57" s="14">
        <f>VLOOKUP($C57,Sheet1!$A$2:$D$10,4,0)</f>
        <v>6</v>
      </c>
      <c r="L57" s="14" t="str">
        <f>VLOOKUP($C57,Sheet1!$A$2:$E$10,5,0)</f>
        <v>Bin</v>
      </c>
      <c r="M57" s="14">
        <f t="shared" ref="M57:M59" si="8">J57/K57</f>
        <v>7</v>
      </c>
      <c r="N57" s="2"/>
      <c r="O57" s="2" t="s">
        <v>121</v>
      </c>
      <c r="P57" s="2" t="s">
        <v>1947</v>
      </c>
    </row>
    <row r="58" spans="1:16" x14ac:dyDescent="0.25">
      <c r="A58" s="17" t="s">
        <v>1646</v>
      </c>
      <c r="B58" s="2" t="s">
        <v>1588</v>
      </c>
      <c r="C58" s="2" t="s">
        <v>32</v>
      </c>
      <c r="D58" s="2" t="str">
        <f>VLOOKUP($C58,Sheet1!$A$2:$D$10,2,0)</f>
        <v>114010-50820</v>
      </c>
      <c r="E58" s="8" t="s">
        <v>98</v>
      </c>
      <c r="F58" s="12">
        <v>46051</v>
      </c>
      <c r="G58" s="13">
        <v>0.52083333333333337</v>
      </c>
      <c r="H58" s="2" t="s">
        <v>91</v>
      </c>
      <c r="I58" s="2" t="s">
        <v>54</v>
      </c>
      <c r="J58" s="2">
        <v>18</v>
      </c>
      <c r="K58" s="14">
        <f>VLOOKUP($C58,Sheet1!$A$2:$D$10,4,0)</f>
        <v>1</v>
      </c>
      <c r="L58" s="14" t="str">
        <f>VLOOKUP($C58,Sheet1!$A$2:$E$10,5,0)</f>
        <v>Bin</v>
      </c>
      <c r="M58" s="14">
        <f t="shared" si="8"/>
        <v>18</v>
      </c>
      <c r="N58" s="2"/>
      <c r="O58" s="2" t="s">
        <v>121</v>
      </c>
      <c r="P58" s="2" t="s">
        <v>1904</v>
      </c>
    </row>
    <row r="59" spans="1:16" x14ac:dyDescent="0.25">
      <c r="A59" s="17" t="s">
        <v>1646</v>
      </c>
      <c r="B59" s="2" t="s">
        <v>1595</v>
      </c>
      <c r="C59" s="2" t="s">
        <v>29</v>
      </c>
      <c r="D59" s="2" t="str">
        <f>VLOOKUP($C59,Sheet1!$A$2:$D$10,2,0)</f>
        <v>114010-50830</v>
      </c>
      <c r="E59" s="8" t="s">
        <v>98</v>
      </c>
      <c r="F59" s="12">
        <v>46051</v>
      </c>
      <c r="G59" s="13">
        <v>0.52083333333333337</v>
      </c>
      <c r="H59" s="2" t="s">
        <v>91</v>
      </c>
      <c r="I59" s="2" t="s">
        <v>54</v>
      </c>
      <c r="J59" s="2">
        <v>24</v>
      </c>
      <c r="K59" s="14">
        <f>VLOOKUP($C59,Sheet1!$A$2:$D$10,4,0)</f>
        <v>1</v>
      </c>
      <c r="L59" s="14" t="str">
        <f>VLOOKUP($C59,Sheet1!$A$2:$E$10,5,0)</f>
        <v>Bin</v>
      </c>
      <c r="M59" s="14">
        <f t="shared" si="8"/>
        <v>24</v>
      </c>
      <c r="N59" s="2"/>
      <c r="O59" s="2" t="s">
        <v>121</v>
      </c>
      <c r="P59" s="2" t="s">
        <v>1859</v>
      </c>
    </row>
    <row r="60" spans="1:16" s="11" customForma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>
        <v>91</v>
      </c>
      <c r="N60" s="10">
        <v>6</v>
      </c>
      <c r="O60" s="10"/>
      <c r="P60" s="10"/>
    </row>
    <row r="61" spans="1:16" x14ac:dyDescent="0.25">
      <c r="A61" s="17" t="s">
        <v>1643</v>
      </c>
      <c r="B61" s="2" t="s">
        <v>1540</v>
      </c>
      <c r="C61" s="2" t="s">
        <v>5</v>
      </c>
      <c r="D61" s="2" t="str">
        <f>VLOOKUP($C61,Sheet1!$A$2:$D$10,2,0)</f>
        <v>141110-14600</v>
      </c>
      <c r="E61" s="8" t="s">
        <v>52</v>
      </c>
      <c r="F61" s="12">
        <v>46051</v>
      </c>
      <c r="G61" s="13">
        <v>0.64583333333333337</v>
      </c>
      <c r="H61" s="2" t="s">
        <v>53</v>
      </c>
      <c r="I61" s="2" t="s">
        <v>54</v>
      </c>
      <c r="J61" s="2">
        <v>54</v>
      </c>
      <c r="K61" s="14">
        <f>VLOOKUP($C61,Sheet1!$A$2:$D$10,4,0)</f>
        <v>18</v>
      </c>
      <c r="L61" s="14" t="str">
        <f>VLOOKUP($C61,Sheet1!$A$2:$E$10,5,0)</f>
        <v>Trolley (H)</v>
      </c>
      <c r="M61" s="14"/>
      <c r="N61" s="52">
        <v>3</v>
      </c>
      <c r="O61" s="2" t="s">
        <v>122</v>
      </c>
      <c r="P61" s="2" t="s">
        <v>1949</v>
      </c>
    </row>
    <row r="62" spans="1:16" x14ac:dyDescent="0.25">
      <c r="A62" s="17" t="s">
        <v>1643</v>
      </c>
      <c r="B62" s="2" t="s">
        <v>1547</v>
      </c>
      <c r="C62" s="2" t="s">
        <v>9</v>
      </c>
      <c r="D62" s="2" t="str">
        <f>VLOOKUP($C62,Sheet1!$A$2:$D$10,2,0)</f>
        <v>141120-14600</v>
      </c>
      <c r="E62" s="8" t="s">
        <v>60</v>
      </c>
      <c r="F62" s="12">
        <v>46051</v>
      </c>
      <c r="G62" s="13">
        <v>0.64583333333333337</v>
      </c>
      <c r="H62" s="2" t="s">
        <v>53</v>
      </c>
      <c r="I62" s="2" t="s">
        <v>54</v>
      </c>
      <c r="J62" s="2">
        <v>54</v>
      </c>
      <c r="K62" s="14">
        <f>VLOOKUP($C62,Sheet1!$A$2:$D$10,4,0)</f>
        <v>18</v>
      </c>
      <c r="L62" s="14" t="str">
        <f>VLOOKUP($C62,Sheet1!$A$2:$E$10,5,0)</f>
        <v>Trolley (H)</v>
      </c>
      <c r="M62" s="14"/>
      <c r="N62" s="71"/>
      <c r="O62" s="2" t="s">
        <v>122</v>
      </c>
      <c r="P62" s="2" t="s">
        <v>1950</v>
      </c>
    </row>
    <row r="63" spans="1:16" x14ac:dyDescent="0.25">
      <c r="A63" s="17" t="s">
        <v>1643</v>
      </c>
      <c r="B63" s="2" t="s">
        <v>1554</v>
      </c>
      <c r="C63" s="2" t="s">
        <v>12</v>
      </c>
      <c r="D63" s="2" t="str">
        <f>VLOOKUP($C63,Sheet1!$A$2:$D$10,2,0)</f>
        <v>141185-74670</v>
      </c>
      <c r="E63" s="8" t="s">
        <v>66</v>
      </c>
      <c r="F63" s="12">
        <v>46051</v>
      </c>
      <c r="G63" s="13">
        <v>0.64583333333333337</v>
      </c>
      <c r="H63" s="2" t="s">
        <v>53</v>
      </c>
      <c r="I63" s="2" t="s">
        <v>54</v>
      </c>
      <c r="J63" s="2">
        <v>120</v>
      </c>
      <c r="K63" s="14">
        <f>VLOOKUP($C63,Sheet1!$A$2:$D$10,4,0)</f>
        <v>40</v>
      </c>
      <c r="L63" s="14" t="str">
        <f>VLOOKUP($C63,Sheet1!$A$2:$E$10,5,0)</f>
        <v>Trolley</v>
      </c>
      <c r="M63" s="14"/>
      <c r="N63" s="2">
        <f>J63/K63</f>
        <v>3</v>
      </c>
      <c r="O63" s="2" t="s">
        <v>122</v>
      </c>
      <c r="P63" s="2">
        <v>910107701</v>
      </c>
    </row>
    <row r="64" spans="1:16" x14ac:dyDescent="0.25">
      <c r="A64" s="17" t="s">
        <v>1643</v>
      </c>
      <c r="B64" s="2" t="s">
        <v>1561</v>
      </c>
      <c r="C64" s="2" t="s">
        <v>16</v>
      </c>
      <c r="D64" s="2" t="str">
        <f>VLOOKUP($C64,Sheet1!$A$2:$D$10,2,0)</f>
        <v>141140-91211</v>
      </c>
      <c r="E64" s="8" t="s">
        <v>70</v>
      </c>
      <c r="F64" s="12">
        <v>46051</v>
      </c>
      <c r="G64" s="13">
        <v>0.64583333333333337</v>
      </c>
      <c r="H64" s="2" t="s">
        <v>71</v>
      </c>
      <c r="I64" s="2" t="s">
        <v>54</v>
      </c>
      <c r="J64" s="2">
        <v>42</v>
      </c>
      <c r="K64" s="14">
        <f>VLOOKUP($C64,Sheet1!$A$2:$D$10,4,0)</f>
        <v>2</v>
      </c>
      <c r="L64" s="14" t="str">
        <f>VLOOKUP($C64,Sheet1!$A$2:$E$10,5,0)</f>
        <v>Bin</v>
      </c>
      <c r="M64" s="14">
        <f t="shared" ref="M64:M65" si="9">J64/K64</f>
        <v>21</v>
      </c>
      <c r="N64" s="2"/>
      <c r="O64" s="2" t="s">
        <v>122</v>
      </c>
      <c r="P64" s="2" t="s">
        <v>1864</v>
      </c>
    </row>
    <row r="65" spans="1:16" x14ac:dyDescent="0.25">
      <c r="A65" s="17" t="s">
        <v>1643</v>
      </c>
      <c r="B65" s="2" t="s">
        <v>1568</v>
      </c>
      <c r="C65" s="2" t="s">
        <v>20</v>
      </c>
      <c r="D65" s="2" t="str">
        <f>VLOOKUP($C65,Sheet1!$A$2:$D$10,2,0)</f>
        <v>141150-91211</v>
      </c>
      <c r="E65" s="8" t="s">
        <v>78</v>
      </c>
      <c r="F65" s="12">
        <v>46051</v>
      </c>
      <c r="G65" s="13">
        <v>0.64583333333333337</v>
      </c>
      <c r="H65" s="2" t="s">
        <v>71</v>
      </c>
      <c r="I65" s="2" t="s">
        <v>54</v>
      </c>
      <c r="J65" s="2">
        <v>42</v>
      </c>
      <c r="K65" s="14">
        <f>VLOOKUP($C65,Sheet1!$A$2:$D$10,4,0)</f>
        <v>2</v>
      </c>
      <c r="L65" s="14" t="str">
        <f>VLOOKUP($C65,Sheet1!$A$2:$E$10,5,0)</f>
        <v>Bin</v>
      </c>
      <c r="M65" s="14">
        <f t="shared" si="9"/>
        <v>21</v>
      </c>
      <c r="N65" s="2"/>
      <c r="O65" s="2" t="s">
        <v>122</v>
      </c>
      <c r="P65" s="2" t="s">
        <v>724</v>
      </c>
    </row>
    <row r="66" spans="1:16" x14ac:dyDescent="0.25">
      <c r="A66" s="17" t="s">
        <v>1643</v>
      </c>
      <c r="B66" s="2" t="s">
        <v>1575</v>
      </c>
      <c r="C66" s="2" t="s">
        <v>23</v>
      </c>
      <c r="D66" s="2" t="str">
        <f>VLOOKUP($C66,Sheet1!$A$2:$D$10,2,0)</f>
        <v>141186-74360</v>
      </c>
      <c r="E66" s="8" t="s">
        <v>85</v>
      </c>
      <c r="F66" s="12">
        <v>46051</v>
      </c>
      <c r="G66" s="13">
        <v>0.64583333333333337</v>
      </c>
      <c r="H66" s="2" t="s">
        <v>71</v>
      </c>
      <c r="I66" s="2" t="s">
        <v>54</v>
      </c>
      <c r="J66" s="2">
        <v>120</v>
      </c>
      <c r="K66" s="14">
        <f>VLOOKUP($C66,Sheet1!$A$2:$D$10,4,0)</f>
        <v>40</v>
      </c>
      <c r="L66" s="14" t="str">
        <f>VLOOKUP($C66,Sheet1!$A$2:$E$10,5,0)</f>
        <v>Trolley</v>
      </c>
      <c r="M66" s="14"/>
      <c r="N66" s="2">
        <f>J66/K66</f>
        <v>3</v>
      </c>
      <c r="O66" s="2" t="s">
        <v>122</v>
      </c>
      <c r="P66" s="2">
        <v>910107518</v>
      </c>
    </row>
    <row r="67" spans="1:16" x14ac:dyDescent="0.25">
      <c r="A67" s="17" t="s">
        <v>1644</v>
      </c>
      <c r="B67" s="2" t="s">
        <v>1582</v>
      </c>
      <c r="C67" s="2" t="s">
        <v>26</v>
      </c>
      <c r="D67" s="2" t="str">
        <f>VLOOKUP($C67,Sheet1!$A$2:$D$10,2,0)</f>
        <v>116040-92240</v>
      </c>
      <c r="E67" s="8" t="s">
        <v>90</v>
      </c>
      <c r="F67" s="12">
        <v>46051</v>
      </c>
      <c r="G67" s="13">
        <v>0.64583333333333337</v>
      </c>
      <c r="H67" s="2" t="s">
        <v>91</v>
      </c>
      <c r="I67" s="2" t="s">
        <v>54</v>
      </c>
      <c r="J67" s="2">
        <v>42</v>
      </c>
      <c r="K67" s="14">
        <f>VLOOKUP($C67,Sheet1!$A$2:$D$10,4,0)</f>
        <v>6</v>
      </c>
      <c r="L67" s="14" t="str">
        <f>VLOOKUP($C67,Sheet1!$A$2:$E$10,5,0)</f>
        <v>Bin</v>
      </c>
      <c r="M67" s="14">
        <f t="shared" ref="M67:M69" si="10">J67/K67</f>
        <v>7</v>
      </c>
      <c r="N67" s="2"/>
      <c r="O67" s="2" t="s">
        <v>122</v>
      </c>
      <c r="P67" s="2" t="s">
        <v>1948</v>
      </c>
    </row>
    <row r="68" spans="1:16" x14ac:dyDescent="0.25">
      <c r="A68" s="17" t="s">
        <v>1644</v>
      </c>
      <c r="B68" s="2" t="s">
        <v>1589</v>
      </c>
      <c r="C68" s="2" t="s">
        <v>32</v>
      </c>
      <c r="D68" s="2" t="str">
        <f>VLOOKUP($C68,Sheet1!$A$2:$D$10,2,0)</f>
        <v>114010-50820</v>
      </c>
      <c r="E68" s="8" t="s">
        <v>98</v>
      </c>
      <c r="F68" s="12">
        <v>46051</v>
      </c>
      <c r="G68" s="13">
        <v>0.64583333333333337</v>
      </c>
      <c r="H68" s="2" t="s">
        <v>91</v>
      </c>
      <c r="I68" s="2" t="s">
        <v>54</v>
      </c>
      <c r="J68" s="2">
        <v>19</v>
      </c>
      <c r="K68" s="14">
        <f>VLOOKUP($C68,Sheet1!$A$2:$D$10,4,0)</f>
        <v>1</v>
      </c>
      <c r="L68" s="14" t="str">
        <f>VLOOKUP($C68,Sheet1!$A$2:$E$10,5,0)</f>
        <v>Bin</v>
      </c>
      <c r="M68" s="14">
        <f t="shared" si="10"/>
        <v>19</v>
      </c>
      <c r="N68" s="2"/>
      <c r="O68" s="2" t="s">
        <v>122</v>
      </c>
      <c r="P68" s="2" t="s">
        <v>1904</v>
      </c>
    </row>
    <row r="69" spans="1:16" x14ac:dyDescent="0.25">
      <c r="A69" s="17" t="s">
        <v>1644</v>
      </c>
      <c r="B69" s="2" t="s">
        <v>1596</v>
      </c>
      <c r="C69" s="2" t="s">
        <v>29</v>
      </c>
      <c r="D69" s="2" t="str">
        <f>VLOOKUP($C69,Sheet1!$A$2:$D$10,2,0)</f>
        <v>114010-50830</v>
      </c>
      <c r="E69" s="8" t="s">
        <v>98</v>
      </c>
      <c r="F69" s="12">
        <v>46051</v>
      </c>
      <c r="G69" s="13">
        <v>0.64583333333333337</v>
      </c>
      <c r="H69" s="2" t="s">
        <v>91</v>
      </c>
      <c r="I69" s="2" t="s">
        <v>54</v>
      </c>
      <c r="J69" s="2">
        <v>23</v>
      </c>
      <c r="K69" s="14">
        <f>VLOOKUP($C69,Sheet1!$A$2:$D$10,4,0)</f>
        <v>1</v>
      </c>
      <c r="L69" s="14" t="str">
        <f>VLOOKUP($C69,Sheet1!$A$2:$E$10,5,0)</f>
        <v>Bin</v>
      </c>
      <c r="M69" s="14">
        <f t="shared" si="10"/>
        <v>23</v>
      </c>
      <c r="N69" s="2"/>
      <c r="O69" s="2" t="s">
        <v>122</v>
      </c>
      <c r="P69" s="2" t="s">
        <v>1859</v>
      </c>
    </row>
    <row r="70" spans="1:16" s="11" customForma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>
        <v>91</v>
      </c>
      <c r="N70" s="10">
        <v>9</v>
      </c>
      <c r="O70" s="10"/>
      <c r="P70" s="10"/>
    </row>
    <row r="71" spans="1:16" x14ac:dyDescent="0.25">
      <c r="A71" s="17" t="s">
        <v>1647</v>
      </c>
      <c r="B71" s="2" t="s">
        <v>1541</v>
      </c>
      <c r="C71" s="2" t="s">
        <v>5</v>
      </c>
      <c r="D71" s="2" t="str">
        <f>VLOOKUP($C71,Sheet1!$A$2:$D$10,2,0)</f>
        <v>141110-14600</v>
      </c>
      <c r="E71" s="8" t="s">
        <v>52</v>
      </c>
      <c r="F71" s="12">
        <v>46051</v>
      </c>
      <c r="G71" s="13">
        <v>0.77083333333333337</v>
      </c>
      <c r="H71" s="2" t="s">
        <v>53</v>
      </c>
      <c r="I71" s="2" t="s">
        <v>54</v>
      </c>
      <c r="J71" s="2">
        <v>36</v>
      </c>
      <c r="K71" s="14">
        <f>VLOOKUP($C71,Sheet1!$A$2:$D$10,4,0)</f>
        <v>18</v>
      </c>
      <c r="L71" s="14" t="str">
        <f>VLOOKUP($C71,Sheet1!$A$2:$E$10,5,0)</f>
        <v>Trolley (H)</v>
      </c>
      <c r="M71" s="14"/>
      <c r="N71" s="52">
        <v>2</v>
      </c>
      <c r="O71" s="2" t="s">
        <v>359</v>
      </c>
      <c r="P71" s="2" t="s">
        <v>1951</v>
      </c>
    </row>
    <row r="72" spans="1:16" x14ac:dyDescent="0.25">
      <c r="A72" s="17" t="s">
        <v>1647</v>
      </c>
      <c r="B72" s="2" t="s">
        <v>1548</v>
      </c>
      <c r="C72" s="2" t="s">
        <v>9</v>
      </c>
      <c r="D72" s="2" t="str">
        <f>VLOOKUP($C72,Sheet1!$A$2:$D$10,2,0)</f>
        <v>141120-14600</v>
      </c>
      <c r="E72" s="8" t="s">
        <v>60</v>
      </c>
      <c r="F72" s="12">
        <v>46051</v>
      </c>
      <c r="G72" s="13">
        <v>0.77083333333333337</v>
      </c>
      <c r="H72" s="2" t="s">
        <v>53</v>
      </c>
      <c r="I72" s="2" t="s">
        <v>54</v>
      </c>
      <c r="J72" s="2">
        <v>36</v>
      </c>
      <c r="K72" s="14">
        <f>VLOOKUP($C72,Sheet1!$A$2:$D$10,4,0)</f>
        <v>18</v>
      </c>
      <c r="L72" s="14" t="str">
        <f>VLOOKUP($C72,Sheet1!$A$2:$E$10,5,0)</f>
        <v>Trolley (H)</v>
      </c>
      <c r="M72" s="14"/>
      <c r="N72" s="71"/>
      <c r="O72" s="2" t="s">
        <v>359</v>
      </c>
      <c r="P72" s="2" t="s">
        <v>1952</v>
      </c>
    </row>
    <row r="73" spans="1:16" x14ac:dyDescent="0.25">
      <c r="A73" s="17" t="s">
        <v>1647</v>
      </c>
      <c r="B73" s="2" t="s">
        <v>1555</v>
      </c>
      <c r="C73" s="2" t="s">
        <v>12</v>
      </c>
      <c r="D73" s="2" t="str">
        <f>VLOOKUP($C73,Sheet1!$A$2:$D$10,2,0)</f>
        <v>141185-74670</v>
      </c>
      <c r="E73" s="8" t="s">
        <v>66</v>
      </c>
      <c r="F73" s="12">
        <v>46051</v>
      </c>
      <c r="G73" s="13">
        <v>0.77083333333333337</v>
      </c>
      <c r="H73" s="2" t="s">
        <v>53</v>
      </c>
      <c r="I73" s="2" t="s">
        <v>54</v>
      </c>
      <c r="J73" s="2">
        <v>80</v>
      </c>
      <c r="K73" s="14">
        <f>VLOOKUP($C73,Sheet1!$A$2:$D$10,4,0)</f>
        <v>40</v>
      </c>
      <c r="L73" s="14" t="str">
        <f>VLOOKUP($C73,Sheet1!$A$2:$E$10,5,0)</f>
        <v>Trolley</v>
      </c>
      <c r="M73" s="14"/>
      <c r="N73" s="2">
        <f>J73/K73</f>
        <v>2</v>
      </c>
      <c r="O73" s="2" t="s">
        <v>359</v>
      </c>
      <c r="P73" s="2">
        <v>910107701</v>
      </c>
    </row>
    <row r="74" spans="1:16" x14ac:dyDescent="0.25">
      <c r="A74" s="17" t="s">
        <v>1647</v>
      </c>
      <c r="B74" s="2" t="s">
        <v>1562</v>
      </c>
      <c r="C74" s="2" t="s">
        <v>16</v>
      </c>
      <c r="D74" s="2" t="str">
        <f>VLOOKUP($C74,Sheet1!$A$2:$D$10,2,0)</f>
        <v>141140-91211</v>
      </c>
      <c r="E74" s="8" t="s">
        <v>70</v>
      </c>
      <c r="F74" s="12">
        <v>46051</v>
      </c>
      <c r="G74" s="13">
        <v>0.77083333333333337</v>
      </c>
      <c r="H74" s="2" t="s">
        <v>71</v>
      </c>
      <c r="I74" s="2" t="s">
        <v>54</v>
      </c>
      <c r="J74" s="2">
        <v>42</v>
      </c>
      <c r="K74" s="14">
        <f>VLOOKUP($C74,Sheet1!$A$2:$D$10,4,0)</f>
        <v>2</v>
      </c>
      <c r="L74" s="14" t="str">
        <f>VLOOKUP($C74,Sheet1!$A$2:$E$10,5,0)</f>
        <v>Bin</v>
      </c>
      <c r="M74" s="14">
        <f t="shared" ref="M74:M75" si="11">J74/K74</f>
        <v>21</v>
      </c>
      <c r="N74" s="2"/>
      <c r="O74" s="2" t="s">
        <v>359</v>
      </c>
      <c r="P74" s="2" t="s">
        <v>1864</v>
      </c>
    </row>
    <row r="75" spans="1:16" x14ac:dyDescent="0.25">
      <c r="A75" s="17" t="s">
        <v>1647</v>
      </c>
      <c r="B75" s="2" t="s">
        <v>1569</v>
      </c>
      <c r="C75" s="2" t="s">
        <v>20</v>
      </c>
      <c r="D75" s="2" t="str">
        <f>VLOOKUP($C75,Sheet1!$A$2:$D$10,2,0)</f>
        <v>141150-91211</v>
      </c>
      <c r="E75" s="8" t="s">
        <v>78</v>
      </c>
      <c r="F75" s="12">
        <v>46051</v>
      </c>
      <c r="G75" s="13">
        <v>0.77083333333333337</v>
      </c>
      <c r="H75" s="2" t="s">
        <v>71</v>
      </c>
      <c r="I75" s="2" t="s">
        <v>54</v>
      </c>
      <c r="J75" s="2">
        <v>42</v>
      </c>
      <c r="K75" s="14">
        <f>VLOOKUP($C75,Sheet1!$A$2:$D$10,4,0)</f>
        <v>2</v>
      </c>
      <c r="L75" s="14" t="str">
        <f>VLOOKUP($C75,Sheet1!$A$2:$E$10,5,0)</f>
        <v>Bin</v>
      </c>
      <c r="M75" s="14">
        <f t="shared" si="11"/>
        <v>21</v>
      </c>
      <c r="N75" s="2"/>
      <c r="O75" s="2" t="s">
        <v>359</v>
      </c>
      <c r="P75" s="2" t="s">
        <v>724</v>
      </c>
    </row>
    <row r="76" spans="1:16" x14ac:dyDescent="0.25">
      <c r="A76" s="17" t="s">
        <v>1647</v>
      </c>
      <c r="B76" s="2" t="s">
        <v>1576</v>
      </c>
      <c r="C76" s="2" t="s">
        <v>23</v>
      </c>
      <c r="D76" s="2" t="str">
        <f>VLOOKUP($C76,Sheet1!$A$2:$D$10,2,0)</f>
        <v>141186-74360</v>
      </c>
      <c r="E76" s="8" t="s">
        <v>85</v>
      </c>
      <c r="F76" s="12">
        <v>46051</v>
      </c>
      <c r="G76" s="13">
        <v>0.77083333333333337</v>
      </c>
      <c r="H76" s="2" t="s">
        <v>71</v>
      </c>
      <c r="I76" s="2" t="s">
        <v>54</v>
      </c>
      <c r="J76" s="2">
        <v>80</v>
      </c>
      <c r="K76" s="14">
        <f>VLOOKUP($C76,Sheet1!$A$2:$D$10,4,0)</f>
        <v>40</v>
      </c>
      <c r="L76" s="14" t="str">
        <f>VLOOKUP($C76,Sheet1!$A$2:$E$10,5,0)</f>
        <v>Trolley</v>
      </c>
      <c r="M76" s="14"/>
      <c r="N76" s="2">
        <f>J76/K76</f>
        <v>2</v>
      </c>
      <c r="O76" s="2" t="s">
        <v>359</v>
      </c>
      <c r="P76" s="2">
        <v>910107518</v>
      </c>
    </row>
    <row r="77" spans="1:16" x14ac:dyDescent="0.25">
      <c r="A77" s="17" t="s">
        <v>1648</v>
      </c>
      <c r="B77" s="2" t="s">
        <v>1583</v>
      </c>
      <c r="C77" s="2" t="s">
        <v>26</v>
      </c>
      <c r="D77" s="2" t="str">
        <f>VLOOKUP($C77,Sheet1!$A$2:$D$10,2,0)</f>
        <v>116040-92240</v>
      </c>
      <c r="E77" s="8" t="s">
        <v>90</v>
      </c>
      <c r="F77" s="12">
        <v>46051</v>
      </c>
      <c r="G77" s="13">
        <v>0.77083333333333337</v>
      </c>
      <c r="H77" s="2" t="s">
        <v>91</v>
      </c>
      <c r="I77" s="2" t="s">
        <v>54</v>
      </c>
      <c r="J77" s="2">
        <v>42</v>
      </c>
      <c r="K77" s="49">
        <f>VLOOKUP($C77,Sheet1!$A$2:$D$10,4,0)</f>
        <v>6</v>
      </c>
      <c r="L77" s="14" t="str">
        <f>VLOOKUP($C77,Sheet1!$A$2:$E$10,5,0)</f>
        <v>Bin</v>
      </c>
      <c r="M77" s="14">
        <f t="shared" ref="M77:M79" si="12">J77/K77</f>
        <v>7</v>
      </c>
      <c r="N77" s="2"/>
      <c r="O77" s="2" t="s">
        <v>359</v>
      </c>
      <c r="P77" s="2" t="s">
        <v>1858</v>
      </c>
    </row>
    <row r="78" spans="1:16" x14ac:dyDescent="0.25">
      <c r="A78" s="17" t="s">
        <v>1648</v>
      </c>
      <c r="B78" s="2" t="s">
        <v>1590</v>
      </c>
      <c r="C78" s="2" t="s">
        <v>32</v>
      </c>
      <c r="D78" s="2" t="str">
        <f>VLOOKUP($C78,Sheet1!$A$2:$D$10,2,0)</f>
        <v>114010-50820</v>
      </c>
      <c r="E78" s="8" t="s">
        <v>98</v>
      </c>
      <c r="F78" s="12">
        <v>46051</v>
      </c>
      <c r="G78" s="13">
        <v>0.77083333333333337</v>
      </c>
      <c r="H78" s="2" t="s">
        <v>91</v>
      </c>
      <c r="I78" s="2" t="s">
        <v>54</v>
      </c>
      <c r="J78" s="2">
        <v>30</v>
      </c>
      <c r="K78" s="14">
        <f>VLOOKUP($C78,Sheet1!$A$2:$D$10,4,0)</f>
        <v>1</v>
      </c>
      <c r="L78" s="14" t="str">
        <f>VLOOKUP($C78,Sheet1!$A$2:$E$10,5,0)</f>
        <v>Bin</v>
      </c>
      <c r="M78" s="14">
        <f t="shared" si="12"/>
        <v>30</v>
      </c>
      <c r="N78" s="2"/>
      <c r="O78" s="2" t="s">
        <v>359</v>
      </c>
      <c r="P78" s="2" t="s">
        <v>1904</v>
      </c>
    </row>
    <row r="79" spans="1:16" x14ac:dyDescent="0.25">
      <c r="A79" s="17" t="s">
        <v>1648</v>
      </c>
      <c r="B79" s="2" t="s">
        <v>1597</v>
      </c>
      <c r="C79" s="2" t="s">
        <v>29</v>
      </c>
      <c r="D79" s="2" t="str">
        <f>VLOOKUP($C79,Sheet1!$A$2:$D$10,2,0)</f>
        <v>114010-50830</v>
      </c>
      <c r="E79" s="8" t="s">
        <v>98</v>
      </c>
      <c r="F79" s="12">
        <v>46051</v>
      </c>
      <c r="G79" s="13">
        <v>0.77083333333333337</v>
      </c>
      <c r="H79" s="2" t="s">
        <v>91</v>
      </c>
      <c r="I79" s="2" t="s">
        <v>54</v>
      </c>
      <c r="J79" s="2">
        <v>12</v>
      </c>
      <c r="K79" s="14">
        <f>VLOOKUP($C79,Sheet1!$A$2:$D$10,4,0)</f>
        <v>1</v>
      </c>
      <c r="L79" s="14" t="str">
        <f>VLOOKUP($C79,Sheet1!$A$2:$E$10,5,0)</f>
        <v>Bin</v>
      </c>
      <c r="M79" s="14">
        <f t="shared" si="12"/>
        <v>12</v>
      </c>
      <c r="N79" s="2"/>
      <c r="O79" s="2" t="s">
        <v>359</v>
      </c>
      <c r="P79" s="2" t="s">
        <v>1859</v>
      </c>
    </row>
    <row r="80" spans="1:16" s="11" customForma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>
        <v>91</v>
      </c>
      <c r="N80" s="10">
        <v>6</v>
      </c>
      <c r="O80" s="10"/>
      <c r="P80" s="10"/>
    </row>
    <row r="81" spans="1:16" x14ac:dyDescent="0.25">
      <c r="A81" s="17" t="s">
        <v>1649</v>
      </c>
      <c r="B81" s="2" t="s">
        <v>1542</v>
      </c>
      <c r="C81" s="2" t="s">
        <v>5</v>
      </c>
      <c r="D81" s="2" t="str">
        <f>VLOOKUP($C81,Sheet1!$A$2:$D$10,2,0)</f>
        <v>141110-14600</v>
      </c>
      <c r="E81" s="8" t="s">
        <v>52</v>
      </c>
      <c r="F81" s="12">
        <v>46051</v>
      </c>
      <c r="G81" s="13">
        <v>0.89583333333333337</v>
      </c>
      <c r="H81" s="2" t="s">
        <v>53</v>
      </c>
      <c r="I81" s="2" t="s">
        <v>54</v>
      </c>
      <c r="J81" s="2">
        <v>36</v>
      </c>
      <c r="K81" s="14">
        <f>VLOOKUP($C81,Sheet1!$A$2:$D$10,4,0)</f>
        <v>18</v>
      </c>
      <c r="L81" s="14" t="str">
        <f>VLOOKUP($C81,Sheet1!$A$2:$E$10,5,0)</f>
        <v>Trolley (H)</v>
      </c>
      <c r="M81" s="14"/>
      <c r="N81" s="52">
        <v>2</v>
      </c>
      <c r="O81" s="2" t="s">
        <v>119</v>
      </c>
      <c r="P81" s="2" t="s">
        <v>1953</v>
      </c>
    </row>
    <row r="82" spans="1:16" x14ac:dyDescent="0.25">
      <c r="A82" s="17" t="s">
        <v>1649</v>
      </c>
      <c r="B82" s="2" t="s">
        <v>1549</v>
      </c>
      <c r="C82" s="2" t="s">
        <v>9</v>
      </c>
      <c r="D82" s="2" t="str">
        <f>VLOOKUP($C82,Sheet1!$A$2:$D$10,2,0)</f>
        <v>141120-14600</v>
      </c>
      <c r="E82" s="8" t="s">
        <v>60</v>
      </c>
      <c r="F82" s="12">
        <v>46051</v>
      </c>
      <c r="G82" s="13">
        <v>0.89583333333333337</v>
      </c>
      <c r="H82" s="2" t="s">
        <v>53</v>
      </c>
      <c r="I82" s="2" t="s">
        <v>54</v>
      </c>
      <c r="J82" s="2">
        <v>36</v>
      </c>
      <c r="K82" s="14">
        <f>VLOOKUP($C82,Sheet1!$A$2:$D$10,4,0)</f>
        <v>18</v>
      </c>
      <c r="L82" s="14" t="str">
        <f>VLOOKUP($C82,Sheet1!$A$2:$E$10,5,0)</f>
        <v>Trolley (H)</v>
      </c>
      <c r="M82" s="14"/>
      <c r="N82" s="71"/>
      <c r="O82" s="2" t="s">
        <v>119</v>
      </c>
      <c r="P82" s="2" t="s">
        <v>1954</v>
      </c>
    </row>
    <row r="83" spans="1:16" x14ac:dyDescent="0.25">
      <c r="A83" s="17" t="s">
        <v>1649</v>
      </c>
      <c r="B83" s="2" t="s">
        <v>1556</v>
      </c>
      <c r="C83" s="2" t="s">
        <v>12</v>
      </c>
      <c r="D83" s="2" t="str">
        <f>VLOOKUP($C83,Sheet1!$A$2:$D$10,2,0)</f>
        <v>141185-74670</v>
      </c>
      <c r="E83" s="8" t="s">
        <v>66</v>
      </c>
      <c r="F83" s="12">
        <v>46051</v>
      </c>
      <c r="G83" s="13">
        <v>0.89583333333333337</v>
      </c>
      <c r="H83" s="2" t="s">
        <v>53</v>
      </c>
      <c r="I83" s="2" t="s">
        <v>54</v>
      </c>
      <c r="J83" s="2">
        <v>40</v>
      </c>
      <c r="K83" s="14">
        <f>VLOOKUP($C83,Sheet1!$A$2:$D$10,4,0)</f>
        <v>40</v>
      </c>
      <c r="L83" s="14" t="str">
        <f>VLOOKUP($C83,Sheet1!$A$2:$E$10,5,0)</f>
        <v>Trolley</v>
      </c>
      <c r="M83" s="14"/>
      <c r="N83" s="2">
        <f>J83/K83</f>
        <v>1</v>
      </c>
      <c r="O83" s="2" t="s">
        <v>119</v>
      </c>
      <c r="P83" s="2">
        <v>910107517</v>
      </c>
    </row>
    <row r="84" spans="1:16" x14ac:dyDescent="0.25">
      <c r="A84" s="17" t="s">
        <v>1649</v>
      </c>
      <c r="B84" s="2" t="s">
        <v>1563</v>
      </c>
      <c r="C84" s="2" t="s">
        <v>16</v>
      </c>
      <c r="D84" s="2" t="str">
        <f>VLOOKUP($C84,Sheet1!$A$2:$D$10,2,0)</f>
        <v>141140-91211</v>
      </c>
      <c r="E84" s="8" t="s">
        <v>70</v>
      </c>
      <c r="F84" s="12">
        <v>46051</v>
      </c>
      <c r="G84" s="13">
        <v>0.89583333333333337</v>
      </c>
      <c r="H84" s="2" t="s">
        <v>71</v>
      </c>
      <c r="I84" s="2" t="s">
        <v>54</v>
      </c>
      <c r="J84" s="2">
        <v>28</v>
      </c>
      <c r="K84" s="14">
        <f>VLOOKUP($C84,Sheet1!$A$2:$D$10,4,0)</f>
        <v>2</v>
      </c>
      <c r="L84" s="14" t="str">
        <f>VLOOKUP($C84,Sheet1!$A$2:$E$10,5,0)</f>
        <v>Bin</v>
      </c>
      <c r="M84" s="14">
        <f t="shared" ref="M84:M85" si="13">J84/K84</f>
        <v>14</v>
      </c>
      <c r="N84" s="2"/>
      <c r="O84" s="2" t="s">
        <v>119</v>
      </c>
      <c r="P84" s="2" t="s">
        <v>1864</v>
      </c>
    </row>
    <row r="85" spans="1:16" x14ac:dyDescent="0.25">
      <c r="A85" s="17" t="s">
        <v>1649</v>
      </c>
      <c r="B85" s="2" t="s">
        <v>1570</v>
      </c>
      <c r="C85" s="2" t="s">
        <v>20</v>
      </c>
      <c r="D85" s="2" t="str">
        <f>VLOOKUP($C85,Sheet1!$A$2:$D$10,2,0)</f>
        <v>141150-91211</v>
      </c>
      <c r="E85" s="8" t="s">
        <v>78</v>
      </c>
      <c r="F85" s="12">
        <v>46051</v>
      </c>
      <c r="G85" s="13">
        <v>0.89583333333333337</v>
      </c>
      <c r="H85" s="2" t="s">
        <v>71</v>
      </c>
      <c r="I85" s="2" t="s">
        <v>54</v>
      </c>
      <c r="J85" s="2">
        <v>28</v>
      </c>
      <c r="K85" s="14">
        <f>VLOOKUP($C85,Sheet1!$A$2:$D$10,4,0)</f>
        <v>2</v>
      </c>
      <c r="L85" s="14" t="str">
        <f>VLOOKUP($C85,Sheet1!$A$2:$E$10,5,0)</f>
        <v>Bin</v>
      </c>
      <c r="M85" s="14">
        <f t="shared" si="13"/>
        <v>14</v>
      </c>
      <c r="N85" s="2"/>
      <c r="O85" s="2" t="s">
        <v>119</v>
      </c>
      <c r="P85" s="2" t="s">
        <v>1955</v>
      </c>
    </row>
    <row r="86" spans="1:16" x14ac:dyDescent="0.25">
      <c r="A86" s="17" t="s">
        <v>1649</v>
      </c>
      <c r="B86" s="2" t="s">
        <v>1577</v>
      </c>
      <c r="C86" s="2" t="s">
        <v>23</v>
      </c>
      <c r="D86" s="2" t="str">
        <f>VLOOKUP($C86,Sheet1!$A$2:$D$10,2,0)</f>
        <v>141186-74360</v>
      </c>
      <c r="E86" s="8" t="s">
        <v>85</v>
      </c>
      <c r="F86" s="12">
        <v>46051</v>
      </c>
      <c r="G86" s="13">
        <v>0.89583333333333337</v>
      </c>
      <c r="H86" s="2" t="s">
        <v>71</v>
      </c>
      <c r="I86" s="2" t="s">
        <v>54</v>
      </c>
      <c r="J86" s="2">
        <v>40</v>
      </c>
      <c r="K86" s="14">
        <f>VLOOKUP($C86,Sheet1!$A$2:$D$10,4,0)</f>
        <v>40</v>
      </c>
      <c r="L86" s="14" t="str">
        <f>VLOOKUP($C86,Sheet1!$A$2:$E$10,5,0)</f>
        <v>Trolley</v>
      </c>
      <c r="M86" s="14"/>
      <c r="N86" s="2">
        <f>J86/K86</f>
        <v>1</v>
      </c>
      <c r="O86" s="2" t="s">
        <v>119</v>
      </c>
      <c r="P86" s="2">
        <v>910107518</v>
      </c>
    </row>
    <row r="87" spans="1:16" x14ac:dyDescent="0.25">
      <c r="A87" s="17" t="s">
        <v>1650</v>
      </c>
      <c r="B87" s="2" t="s">
        <v>1584</v>
      </c>
      <c r="C87" s="2" t="s">
        <v>26</v>
      </c>
      <c r="D87" s="2" t="str">
        <f>VLOOKUP($C87,Sheet1!$A$2:$D$10,2,0)</f>
        <v>116040-92240</v>
      </c>
      <c r="E87" s="8" t="s">
        <v>90</v>
      </c>
      <c r="F87" s="12">
        <v>46051</v>
      </c>
      <c r="G87" s="13">
        <v>0.89583333333333337</v>
      </c>
      <c r="H87" s="2" t="s">
        <v>91</v>
      </c>
      <c r="I87" s="2" t="s">
        <v>54</v>
      </c>
      <c r="J87" s="2">
        <v>30</v>
      </c>
      <c r="K87" s="14">
        <f>VLOOKUP($C87,Sheet1!$A$2:$D$10,4,0)</f>
        <v>6</v>
      </c>
      <c r="L87" s="14" t="str">
        <f>VLOOKUP($C87,Sheet1!$A$2:$E$10,5,0)</f>
        <v>Bin</v>
      </c>
      <c r="M87" s="14">
        <f t="shared" ref="M87:M89" si="14">J87/K87</f>
        <v>5</v>
      </c>
      <c r="N87" s="2"/>
      <c r="O87" s="2" t="s">
        <v>119</v>
      </c>
      <c r="P87" s="2" t="s">
        <v>1858</v>
      </c>
    </row>
    <row r="88" spans="1:16" x14ac:dyDescent="0.25">
      <c r="A88" s="17" t="s">
        <v>1650</v>
      </c>
      <c r="B88" s="2" t="s">
        <v>1591</v>
      </c>
      <c r="C88" s="2" t="s">
        <v>32</v>
      </c>
      <c r="D88" s="2" t="str">
        <f>VLOOKUP($C88,Sheet1!$A$2:$D$10,2,0)</f>
        <v>114010-50820</v>
      </c>
      <c r="E88" s="8" t="s">
        <v>98</v>
      </c>
      <c r="F88" s="12">
        <v>46051</v>
      </c>
      <c r="G88" s="13">
        <v>0.89583333333333337</v>
      </c>
      <c r="H88" s="2" t="s">
        <v>91</v>
      </c>
      <c r="I88" s="2" t="s">
        <v>54</v>
      </c>
      <c r="J88" s="2">
        <v>15</v>
      </c>
      <c r="K88" s="14">
        <f>VLOOKUP($C88,Sheet1!$A$2:$D$10,4,0)</f>
        <v>1</v>
      </c>
      <c r="L88" s="14" t="str">
        <f>VLOOKUP($C88,Sheet1!$A$2:$E$10,5,0)</f>
        <v>Bin</v>
      </c>
      <c r="M88" s="14">
        <f t="shared" si="14"/>
        <v>15</v>
      </c>
      <c r="N88" s="2"/>
      <c r="O88" s="2" t="s">
        <v>119</v>
      </c>
      <c r="P88" s="2" t="s">
        <v>1904</v>
      </c>
    </row>
    <row r="89" spans="1:16" x14ac:dyDescent="0.25">
      <c r="A89" s="17" t="s">
        <v>1650</v>
      </c>
      <c r="B89" s="2" t="s">
        <v>1598</v>
      </c>
      <c r="C89" s="2" t="s">
        <v>29</v>
      </c>
      <c r="D89" s="2" t="str">
        <f>VLOOKUP($C89,Sheet1!$A$2:$D$10,2,0)</f>
        <v>114010-50830</v>
      </c>
      <c r="E89" s="8" t="s">
        <v>98</v>
      </c>
      <c r="F89" s="12">
        <v>46051</v>
      </c>
      <c r="G89" s="13">
        <v>0.89583333333333337</v>
      </c>
      <c r="H89" s="2" t="s">
        <v>91</v>
      </c>
      <c r="I89" s="2" t="s">
        <v>54</v>
      </c>
      <c r="J89" s="2">
        <v>13</v>
      </c>
      <c r="K89" s="14">
        <f>VLOOKUP($C89,Sheet1!$A$2:$D$10,4,0)</f>
        <v>1</v>
      </c>
      <c r="L89" s="14" t="str">
        <f>VLOOKUP($C89,Sheet1!$A$2:$E$10,5,0)</f>
        <v>Bin</v>
      </c>
      <c r="M89" s="14">
        <f t="shared" si="14"/>
        <v>13</v>
      </c>
      <c r="N89" s="2"/>
      <c r="O89" s="2" t="s">
        <v>119</v>
      </c>
      <c r="P89" s="2" t="s">
        <v>1859</v>
      </c>
    </row>
    <row r="90" spans="1:16" s="11" customForma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>
        <v>61</v>
      </c>
      <c r="N90" s="10">
        <v>4</v>
      </c>
      <c r="O90" s="10"/>
      <c r="P90" s="10"/>
    </row>
    <row r="91" spans="1:16" x14ac:dyDescent="0.25">
      <c r="A91" s="17" t="s">
        <v>1651</v>
      </c>
      <c r="B91" s="2" t="s">
        <v>1601</v>
      </c>
      <c r="C91" s="2" t="s">
        <v>5</v>
      </c>
      <c r="D91" s="2" t="str">
        <f>VLOOKUP($C91,Sheet1!$A$2:$D$10,2,0)</f>
        <v>141110-14600</v>
      </c>
      <c r="E91" s="8" t="s">
        <v>52</v>
      </c>
      <c r="F91" s="12">
        <v>46051</v>
      </c>
      <c r="G91" s="13">
        <v>0.97916666666666663</v>
      </c>
      <c r="H91" s="2" t="s">
        <v>53</v>
      </c>
      <c r="I91" s="2" t="s">
        <v>54</v>
      </c>
      <c r="J91" s="2">
        <v>36</v>
      </c>
      <c r="K91" s="14">
        <f>VLOOKUP($C91,Sheet1!$A$2:$D$10,4,0)</f>
        <v>18</v>
      </c>
      <c r="L91" s="14" t="str">
        <f>VLOOKUP($C91,Sheet1!$A$2:$E$10,5,0)</f>
        <v>Trolley (H)</v>
      </c>
      <c r="M91" s="14"/>
      <c r="N91" s="52">
        <v>2</v>
      </c>
      <c r="O91" s="2" t="s">
        <v>121</v>
      </c>
      <c r="P91" s="2" t="s">
        <v>1954</v>
      </c>
    </row>
    <row r="92" spans="1:16" x14ac:dyDescent="0.25">
      <c r="A92" s="17" t="s">
        <v>1651</v>
      </c>
      <c r="B92" s="2" t="s">
        <v>1605</v>
      </c>
      <c r="C92" s="2" t="s">
        <v>9</v>
      </c>
      <c r="D92" s="2" t="str">
        <f>VLOOKUP($C92,Sheet1!$A$2:$D$10,2,0)</f>
        <v>141120-14600</v>
      </c>
      <c r="E92" s="8" t="s">
        <v>60</v>
      </c>
      <c r="F92" s="12">
        <v>46051</v>
      </c>
      <c r="G92" s="13">
        <v>0.97916666666666663</v>
      </c>
      <c r="H92" s="2" t="s">
        <v>53</v>
      </c>
      <c r="I92" s="2" t="s">
        <v>54</v>
      </c>
      <c r="J92" s="2">
        <v>36</v>
      </c>
      <c r="K92" s="14">
        <f>VLOOKUP($C92,Sheet1!$A$2:$D$10,4,0)</f>
        <v>18</v>
      </c>
      <c r="L92" s="14" t="str">
        <f>VLOOKUP($C92,Sheet1!$A$2:$E$10,5,0)</f>
        <v>Trolley (H)</v>
      </c>
      <c r="M92" s="14"/>
      <c r="N92" s="71"/>
      <c r="O92" s="2" t="s">
        <v>121</v>
      </c>
      <c r="P92" s="2" t="s">
        <v>1954</v>
      </c>
    </row>
    <row r="93" spans="1:16" x14ac:dyDescent="0.25">
      <c r="A93" s="17" t="s">
        <v>1651</v>
      </c>
      <c r="B93" s="2" t="s">
        <v>1608</v>
      </c>
      <c r="C93" s="2" t="s">
        <v>12</v>
      </c>
      <c r="D93" s="2" t="str">
        <f>VLOOKUP($C93,Sheet1!$A$2:$D$10,2,0)</f>
        <v>141185-74670</v>
      </c>
      <c r="E93" s="8" t="s">
        <v>66</v>
      </c>
      <c r="F93" s="12">
        <v>46051</v>
      </c>
      <c r="G93" s="13">
        <v>0.97916666666666663</v>
      </c>
      <c r="H93" s="2" t="s">
        <v>53</v>
      </c>
      <c r="I93" s="2" t="s">
        <v>54</v>
      </c>
      <c r="J93" s="2">
        <v>80</v>
      </c>
      <c r="K93" s="14">
        <f>VLOOKUP($C93,Sheet1!$A$2:$D$10,4,0)</f>
        <v>40</v>
      </c>
      <c r="L93" s="14" t="str">
        <f>VLOOKUP($C93,Sheet1!$A$2:$E$10,5,0)</f>
        <v>Trolley</v>
      </c>
      <c r="M93" s="14"/>
      <c r="N93" s="2">
        <f>J93/K93</f>
        <v>2</v>
      </c>
      <c r="O93" s="2" t="s">
        <v>121</v>
      </c>
      <c r="P93" s="2">
        <v>910107701</v>
      </c>
    </row>
    <row r="94" spans="1:16" x14ac:dyDescent="0.25">
      <c r="A94" s="17" t="s">
        <v>1651</v>
      </c>
      <c r="B94" s="2" t="s">
        <v>1612</v>
      </c>
      <c r="C94" s="2" t="s">
        <v>16</v>
      </c>
      <c r="D94" s="2" t="str">
        <f>VLOOKUP($C94,Sheet1!$A$2:$D$10,2,0)</f>
        <v>141140-91211</v>
      </c>
      <c r="E94" s="8" t="s">
        <v>70</v>
      </c>
      <c r="F94" s="12">
        <v>46051</v>
      </c>
      <c r="G94" s="13">
        <v>0.97916666666666663</v>
      </c>
      <c r="H94" s="2" t="s">
        <v>71</v>
      </c>
      <c r="I94" s="2" t="s">
        <v>54</v>
      </c>
      <c r="J94" s="2">
        <v>42</v>
      </c>
      <c r="K94" s="14">
        <f>VLOOKUP($C94,Sheet1!$A$2:$D$10,4,0)</f>
        <v>2</v>
      </c>
      <c r="L94" s="14" t="str">
        <f>VLOOKUP($C94,Sheet1!$A$2:$E$10,5,0)</f>
        <v>Bin</v>
      </c>
      <c r="M94" s="14">
        <f t="shared" ref="M94:M95" si="15">J94/K94</f>
        <v>21</v>
      </c>
      <c r="N94" s="2"/>
      <c r="O94" s="2" t="s">
        <v>121</v>
      </c>
      <c r="P94" s="2" t="s">
        <v>1864</v>
      </c>
    </row>
    <row r="95" spans="1:16" x14ac:dyDescent="0.25">
      <c r="A95" s="17" t="s">
        <v>1651</v>
      </c>
      <c r="B95" s="2" t="s">
        <v>1616</v>
      </c>
      <c r="C95" s="2" t="s">
        <v>20</v>
      </c>
      <c r="D95" s="2" t="str">
        <f>VLOOKUP($C95,Sheet1!$A$2:$D$10,2,0)</f>
        <v>141150-91211</v>
      </c>
      <c r="E95" s="8" t="s">
        <v>78</v>
      </c>
      <c r="F95" s="12">
        <v>46051</v>
      </c>
      <c r="G95" s="13">
        <v>0.97916666666666663</v>
      </c>
      <c r="H95" s="2" t="s">
        <v>71</v>
      </c>
      <c r="I95" s="2" t="s">
        <v>54</v>
      </c>
      <c r="J95" s="2">
        <v>42</v>
      </c>
      <c r="K95" s="14">
        <f>VLOOKUP($C95,Sheet1!$A$2:$D$10,4,0)</f>
        <v>2</v>
      </c>
      <c r="L95" s="14" t="str">
        <f>VLOOKUP($C95,Sheet1!$A$2:$E$10,5,0)</f>
        <v>Bin</v>
      </c>
      <c r="M95" s="14">
        <f t="shared" si="15"/>
        <v>21</v>
      </c>
      <c r="N95" s="2"/>
      <c r="O95" s="2" t="s">
        <v>121</v>
      </c>
      <c r="P95" s="2" t="s">
        <v>1864</v>
      </c>
    </row>
    <row r="96" spans="1:16" x14ac:dyDescent="0.25">
      <c r="A96" s="17" t="s">
        <v>1651</v>
      </c>
      <c r="B96" s="2" t="s">
        <v>1620</v>
      </c>
      <c r="C96" s="2" t="s">
        <v>23</v>
      </c>
      <c r="D96" s="2" t="str">
        <f>VLOOKUP($C96,Sheet1!$A$2:$D$10,2,0)</f>
        <v>141186-74360</v>
      </c>
      <c r="E96" s="8" t="s">
        <v>85</v>
      </c>
      <c r="F96" s="12">
        <v>46051</v>
      </c>
      <c r="G96" s="13">
        <v>0.97916666666666663</v>
      </c>
      <c r="H96" s="2" t="s">
        <v>71</v>
      </c>
      <c r="I96" s="2" t="s">
        <v>54</v>
      </c>
      <c r="J96" s="2">
        <v>80</v>
      </c>
      <c r="K96" s="14">
        <f>VLOOKUP($C96,Sheet1!$A$2:$D$10,4,0)</f>
        <v>40</v>
      </c>
      <c r="L96" s="14" t="str">
        <f>VLOOKUP($C96,Sheet1!$A$2:$E$10,5,0)</f>
        <v>Trolley</v>
      </c>
      <c r="M96" s="14"/>
      <c r="N96" s="2">
        <f>J96/K96</f>
        <v>2</v>
      </c>
      <c r="O96" s="2" t="s">
        <v>121</v>
      </c>
      <c r="P96" s="2">
        <v>910107518</v>
      </c>
    </row>
    <row r="97" spans="1:16" x14ac:dyDescent="0.25">
      <c r="A97" s="17" t="s">
        <v>1652</v>
      </c>
      <c r="B97" s="2" t="s">
        <v>1624</v>
      </c>
      <c r="C97" s="2" t="s">
        <v>26</v>
      </c>
      <c r="D97" s="2" t="str">
        <f>VLOOKUP($C97,Sheet1!$A$2:$D$10,2,0)</f>
        <v>116040-92240</v>
      </c>
      <c r="E97" s="8" t="s">
        <v>90</v>
      </c>
      <c r="F97" s="12">
        <v>46051</v>
      </c>
      <c r="G97" s="13">
        <v>0.97916666666666663</v>
      </c>
      <c r="H97" s="2" t="s">
        <v>91</v>
      </c>
      <c r="I97" s="2" t="s">
        <v>54</v>
      </c>
      <c r="J97" s="2">
        <v>42</v>
      </c>
      <c r="K97" s="14">
        <f>VLOOKUP($C97,Sheet1!$A$2:$D$10,4,0)</f>
        <v>6</v>
      </c>
      <c r="L97" s="14" t="str">
        <f>VLOOKUP($C97,Sheet1!$A$2:$E$10,5,0)</f>
        <v>Bin</v>
      </c>
      <c r="M97" s="14">
        <f t="shared" ref="M97:M99" si="16">J97/K97</f>
        <v>7</v>
      </c>
      <c r="N97" s="2"/>
      <c r="O97" s="2" t="s">
        <v>121</v>
      </c>
      <c r="P97" s="2" t="s">
        <v>1858</v>
      </c>
    </row>
    <row r="98" spans="1:16" x14ac:dyDescent="0.25">
      <c r="A98" s="17" t="s">
        <v>1652</v>
      </c>
      <c r="B98" s="2" t="s">
        <v>1628</v>
      </c>
      <c r="C98" s="2" t="s">
        <v>32</v>
      </c>
      <c r="D98" s="2" t="str">
        <f>VLOOKUP($C98,Sheet1!$A$2:$D$10,2,0)</f>
        <v>114010-50820</v>
      </c>
      <c r="E98" s="8" t="s">
        <v>98</v>
      </c>
      <c r="F98" s="12">
        <v>46051</v>
      </c>
      <c r="G98" s="13">
        <v>0.97916666666666663</v>
      </c>
      <c r="H98" s="2" t="s">
        <v>91</v>
      </c>
      <c r="I98" s="2" t="s">
        <v>54</v>
      </c>
      <c r="J98" s="2">
        <v>26</v>
      </c>
      <c r="K98" s="14">
        <f>VLOOKUP($C98,Sheet1!$A$2:$D$10,4,0)</f>
        <v>1</v>
      </c>
      <c r="L98" s="14" t="str">
        <f>VLOOKUP($C98,Sheet1!$A$2:$E$10,5,0)</f>
        <v>Bin</v>
      </c>
      <c r="M98" s="14">
        <f t="shared" si="16"/>
        <v>26</v>
      </c>
      <c r="N98" s="2"/>
      <c r="O98" s="2" t="s">
        <v>121</v>
      </c>
      <c r="P98" s="2" t="s">
        <v>1904</v>
      </c>
    </row>
    <row r="99" spans="1:16" x14ac:dyDescent="0.25">
      <c r="A99" s="17" t="s">
        <v>1652</v>
      </c>
      <c r="B99" s="2" t="s">
        <v>1632</v>
      </c>
      <c r="C99" s="2" t="s">
        <v>29</v>
      </c>
      <c r="D99" s="2" t="str">
        <f>VLOOKUP($C99,Sheet1!$A$2:$D$10,2,0)</f>
        <v>114010-50830</v>
      </c>
      <c r="E99" s="8" t="s">
        <v>98</v>
      </c>
      <c r="F99" s="12">
        <v>46051</v>
      </c>
      <c r="G99" s="13">
        <v>0.97916666666666663</v>
      </c>
      <c r="H99" s="2" t="s">
        <v>91</v>
      </c>
      <c r="I99" s="2" t="s">
        <v>54</v>
      </c>
      <c r="J99" s="2">
        <v>16</v>
      </c>
      <c r="K99" s="14">
        <f>VLOOKUP($C99,Sheet1!$A$2:$D$10,4,0)</f>
        <v>1</v>
      </c>
      <c r="L99" s="14" t="str">
        <f>VLOOKUP($C99,Sheet1!$A$2:$E$10,5,0)</f>
        <v>Bin</v>
      </c>
      <c r="M99" s="14">
        <f t="shared" si="16"/>
        <v>16</v>
      </c>
      <c r="N99" s="2"/>
      <c r="O99" s="2" t="s">
        <v>121</v>
      </c>
      <c r="P99" s="2" t="s">
        <v>1859</v>
      </c>
    </row>
    <row r="100" spans="1:16" s="11" customForma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>
        <v>91</v>
      </c>
      <c r="N100" s="10">
        <v>6</v>
      </c>
      <c r="O100" s="10"/>
      <c r="P100" s="10"/>
    </row>
    <row r="101" spans="1:16" x14ac:dyDescent="0.25">
      <c r="A101" s="17" t="s">
        <v>1653</v>
      </c>
      <c r="B101" s="2" t="s">
        <v>1602</v>
      </c>
      <c r="C101" s="2" t="s">
        <v>5</v>
      </c>
      <c r="D101" s="2" t="str">
        <f>VLOOKUP($C101,Sheet1!$A$2:$D$10,2,0)</f>
        <v>141110-14600</v>
      </c>
      <c r="E101" s="8" t="s">
        <v>52</v>
      </c>
      <c r="F101" s="12">
        <v>46052</v>
      </c>
      <c r="G101" s="13">
        <v>0.10416666666666667</v>
      </c>
      <c r="H101" s="2" t="s">
        <v>53</v>
      </c>
      <c r="I101" s="2" t="s">
        <v>54</v>
      </c>
      <c r="J101" s="2">
        <v>36</v>
      </c>
      <c r="K101" s="14">
        <f>VLOOKUP($C101,Sheet1!$A$2:$D$10,4,0)</f>
        <v>18</v>
      </c>
      <c r="L101" s="14" t="str">
        <f>VLOOKUP($C101,Sheet1!$A$2:$E$10,5,0)</f>
        <v>Trolley (H)</v>
      </c>
      <c r="M101" s="14"/>
      <c r="N101" s="52">
        <v>2</v>
      </c>
      <c r="O101" s="2" t="s">
        <v>122</v>
      </c>
      <c r="P101" s="2" t="s">
        <v>1954</v>
      </c>
    </row>
    <row r="102" spans="1:16" x14ac:dyDescent="0.25">
      <c r="A102" s="17" t="s">
        <v>1653</v>
      </c>
      <c r="B102" s="2" t="s">
        <v>1606</v>
      </c>
      <c r="C102" s="2" t="s">
        <v>9</v>
      </c>
      <c r="D102" s="2" t="str">
        <f>VLOOKUP($C102,Sheet1!$A$2:$D$10,2,0)</f>
        <v>141120-14600</v>
      </c>
      <c r="E102" s="8" t="s">
        <v>60</v>
      </c>
      <c r="F102" s="12">
        <v>46052</v>
      </c>
      <c r="G102" s="13">
        <v>0.10416666666666667</v>
      </c>
      <c r="H102" s="2" t="s">
        <v>53</v>
      </c>
      <c r="I102" s="2" t="s">
        <v>54</v>
      </c>
      <c r="J102" s="2">
        <v>36</v>
      </c>
      <c r="K102" s="14">
        <f>VLOOKUP($C102,Sheet1!$A$2:$D$10,4,0)</f>
        <v>18</v>
      </c>
      <c r="L102" s="14" t="str">
        <f>VLOOKUP($C102,Sheet1!$A$2:$E$10,5,0)</f>
        <v>Trolley (H)</v>
      </c>
      <c r="M102" s="14"/>
      <c r="N102" s="71"/>
      <c r="O102" s="2" t="s">
        <v>122</v>
      </c>
      <c r="P102" s="2" t="s">
        <v>1954</v>
      </c>
    </row>
    <row r="103" spans="1:16" x14ac:dyDescent="0.25">
      <c r="A103" s="17" t="s">
        <v>1653</v>
      </c>
      <c r="B103" s="2" t="s">
        <v>1609</v>
      </c>
      <c r="C103" s="2" t="s">
        <v>12</v>
      </c>
      <c r="D103" s="2" t="str">
        <f>VLOOKUP($C103,Sheet1!$A$2:$D$10,2,0)</f>
        <v>141185-74670</v>
      </c>
      <c r="E103" s="8" t="s">
        <v>66</v>
      </c>
      <c r="F103" s="12">
        <v>46052</v>
      </c>
      <c r="G103" s="13">
        <v>0.10416666666666667</v>
      </c>
      <c r="H103" s="2" t="s">
        <v>53</v>
      </c>
      <c r="I103" s="2" t="s">
        <v>54</v>
      </c>
      <c r="J103" s="2">
        <v>80</v>
      </c>
      <c r="K103" s="14">
        <f>VLOOKUP($C103,Sheet1!$A$2:$D$10,4,0)</f>
        <v>40</v>
      </c>
      <c r="L103" s="14" t="str">
        <f>VLOOKUP($C103,Sheet1!$A$2:$E$10,5,0)</f>
        <v>Trolley</v>
      </c>
      <c r="M103" s="14"/>
      <c r="N103" s="2">
        <f>J103/K103</f>
        <v>2</v>
      </c>
      <c r="O103" s="2" t="s">
        <v>122</v>
      </c>
      <c r="P103" s="2">
        <v>910107517</v>
      </c>
    </row>
    <row r="104" spans="1:16" x14ac:dyDescent="0.25">
      <c r="A104" s="17" t="s">
        <v>1653</v>
      </c>
      <c r="B104" s="2" t="s">
        <v>1613</v>
      </c>
      <c r="C104" s="2" t="s">
        <v>16</v>
      </c>
      <c r="D104" s="2" t="str">
        <f>VLOOKUP($C104,Sheet1!$A$2:$D$10,2,0)</f>
        <v>141140-91211</v>
      </c>
      <c r="E104" s="8" t="s">
        <v>70</v>
      </c>
      <c r="F104" s="12">
        <v>46052</v>
      </c>
      <c r="G104" s="13">
        <v>0.10416666666666667</v>
      </c>
      <c r="H104" s="2" t="s">
        <v>71</v>
      </c>
      <c r="I104" s="2" t="s">
        <v>54</v>
      </c>
      <c r="J104" s="2">
        <v>28</v>
      </c>
      <c r="K104" s="14">
        <f>VLOOKUP($C104,Sheet1!$A$2:$D$10,4,0)</f>
        <v>2</v>
      </c>
      <c r="L104" s="14" t="str">
        <f>VLOOKUP($C104,Sheet1!$A$2:$E$10,5,0)</f>
        <v>Bin</v>
      </c>
      <c r="M104" s="14">
        <f t="shared" ref="M104:M105" si="17">J104/K104</f>
        <v>14</v>
      </c>
      <c r="N104" s="2"/>
      <c r="O104" s="2" t="s">
        <v>122</v>
      </c>
      <c r="P104" s="2" t="s">
        <v>1864</v>
      </c>
    </row>
    <row r="105" spans="1:16" x14ac:dyDescent="0.25">
      <c r="A105" s="17" t="s">
        <v>1653</v>
      </c>
      <c r="B105" s="2" t="s">
        <v>1617</v>
      </c>
      <c r="C105" s="2" t="s">
        <v>20</v>
      </c>
      <c r="D105" s="2" t="str">
        <f>VLOOKUP($C105,Sheet1!$A$2:$D$10,2,0)</f>
        <v>141150-91211</v>
      </c>
      <c r="E105" s="8" t="s">
        <v>78</v>
      </c>
      <c r="F105" s="12">
        <v>46052</v>
      </c>
      <c r="G105" s="13">
        <v>0.10416666666666667</v>
      </c>
      <c r="H105" s="2" t="s">
        <v>71</v>
      </c>
      <c r="I105" s="2" t="s">
        <v>54</v>
      </c>
      <c r="J105" s="2">
        <v>28</v>
      </c>
      <c r="K105" s="14">
        <f>VLOOKUP($C105,Sheet1!$A$2:$D$10,4,0)</f>
        <v>2</v>
      </c>
      <c r="L105" s="14" t="str">
        <f>VLOOKUP($C105,Sheet1!$A$2:$E$10,5,0)</f>
        <v>Bin</v>
      </c>
      <c r="M105" s="14">
        <f t="shared" si="17"/>
        <v>14</v>
      </c>
      <c r="N105" s="2"/>
      <c r="O105" s="2" t="s">
        <v>122</v>
      </c>
      <c r="P105" s="2" t="s">
        <v>1864</v>
      </c>
    </row>
    <row r="106" spans="1:16" x14ac:dyDescent="0.25">
      <c r="A106" s="17" t="s">
        <v>1653</v>
      </c>
      <c r="B106" s="2" t="s">
        <v>1621</v>
      </c>
      <c r="C106" s="2" t="s">
        <v>23</v>
      </c>
      <c r="D106" s="2" t="str">
        <f>VLOOKUP($C106,Sheet1!$A$2:$D$10,2,0)</f>
        <v>141186-74360</v>
      </c>
      <c r="E106" s="8" t="s">
        <v>85</v>
      </c>
      <c r="F106" s="12">
        <v>46052</v>
      </c>
      <c r="G106" s="13">
        <v>0.10416666666666667</v>
      </c>
      <c r="H106" s="2" t="s">
        <v>71</v>
      </c>
      <c r="I106" s="2" t="s">
        <v>54</v>
      </c>
      <c r="J106" s="2">
        <v>80</v>
      </c>
      <c r="K106" s="14">
        <f>VLOOKUP($C106,Sheet1!$A$2:$D$10,4,0)</f>
        <v>40</v>
      </c>
      <c r="L106" s="14" t="str">
        <f>VLOOKUP($C106,Sheet1!$A$2:$E$10,5,0)</f>
        <v>Trolley</v>
      </c>
      <c r="M106" s="14"/>
      <c r="N106" s="2">
        <f>J106/K106</f>
        <v>2</v>
      </c>
      <c r="O106" s="2" t="s">
        <v>122</v>
      </c>
      <c r="P106" s="2">
        <v>910107518</v>
      </c>
    </row>
    <row r="107" spans="1:16" x14ac:dyDescent="0.25">
      <c r="A107" s="17" t="s">
        <v>1734</v>
      </c>
      <c r="B107" s="2" t="s">
        <v>1625</v>
      </c>
      <c r="C107" s="2" t="s">
        <v>26</v>
      </c>
      <c r="D107" s="2" t="str">
        <f>VLOOKUP($C107,Sheet1!$A$2:$D$10,2,0)</f>
        <v>116040-92240</v>
      </c>
      <c r="E107" s="8" t="s">
        <v>90</v>
      </c>
      <c r="F107" s="12">
        <v>46052</v>
      </c>
      <c r="G107" s="13">
        <v>0.10416666666666667</v>
      </c>
      <c r="H107" s="2" t="s">
        <v>91</v>
      </c>
      <c r="I107" s="2" t="s">
        <v>54</v>
      </c>
      <c r="J107" s="2">
        <v>24</v>
      </c>
      <c r="K107" s="14">
        <f>VLOOKUP($C107,Sheet1!$A$2:$D$10,4,0)</f>
        <v>6</v>
      </c>
      <c r="L107" s="14" t="str">
        <f>VLOOKUP($C107,Sheet1!$A$2:$E$10,5,0)</f>
        <v>Bin</v>
      </c>
      <c r="M107" s="14">
        <f t="shared" ref="M107:M109" si="18">J107/K107</f>
        <v>4</v>
      </c>
      <c r="N107" s="2"/>
      <c r="O107" s="2" t="s">
        <v>122</v>
      </c>
      <c r="P107" s="2" t="s">
        <v>1858</v>
      </c>
    </row>
    <row r="108" spans="1:16" x14ac:dyDescent="0.25">
      <c r="A108" s="17" t="s">
        <v>1734</v>
      </c>
      <c r="B108" s="2" t="s">
        <v>1629</v>
      </c>
      <c r="C108" s="2" t="s">
        <v>32</v>
      </c>
      <c r="D108" s="2" t="str">
        <f>VLOOKUP($C108,Sheet1!$A$2:$D$10,2,0)</f>
        <v>114010-50820</v>
      </c>
      <c r="E108" s="8" t="s">
        <v>98</v>
      </c>
      <c r="F108" s="12">
        <v>46052</v>
      </c>
      <c r="G108" s="13">
        <v>0.10416666666666667</v>
      </c>
      <c r="H108" s="2" t="s">
        <v>91</v>
      </c>
      <c r="I108" s="2" t="s">
        <v>54</v>
      </c>
      <c r="J108" s="2">
        <v>15</v>
      </c>
      <c r="K108" s="14">
        <f>VLOOKUP($C108,Sheet1!$A$2:$D$10,4,0)</f>
        <v>1</v>
      </c>
      <c r="L108" s="14" t="str">
        <f>VLOOKUP($C108,Sheet1!$A$2:$E$10,5,0)</f>
        <v>Bin</v>
      </c>
      <c r="M108" s="14">
        <f t="shared" si="18"/>
        <v>15</v>
      </c>
      <c r="N108" s="2"/>
      <c r="O108" s="2" t="s">
        <v>122</v>
      </c>
      <c r="P108" s="2" t="s">
        <v>1904</v>
      </c>
    </row>
    <row r="109" spans="1:16" x14ac:dyDescent="0.25">
      <c r="A109" s="17" t="s">
        <v>1734</v>
      </c>
      <c r="B109" s="2" t="s">
        <v>1633</v>
      </c>
      <c r="C109" s="2" t="s">
        <v>29</v>
      </c>
      <c r="D109" s="2" t="str">
        <f>VLOOKUP($C109,Sheet1!$A$2:$D$10,2,0)</f>
        <v>114010-50830</v>
      </c>
      <c r="E109" s="8" t="s">
        <v>98</v>
      </c>
      <c r="F109" s="12">
        <v>46052</v>
      </c>
      <c r="G109" s="13">
        <v>0.10416666666666667</v>
      </c>
      <c r="H109" s="2" t="s">
        <v>91</v>
      </c>
      <c r="I109" s="2" t="s">
        <v>54</v>
      </c>
      <c r="J109" s="2">
        <v>9</v>
      </c>
      <c r="K109" s="14">
        <f>VLOOKUP($C109,Sheet1!$A$2:$D$10,4,0)</f>
        <v>1</v>
      </c>
      <c r="L109" s="14" t="str">
        <f>VLOOKUP($C109,Sheet1!$A$2:$E$10,5,0)</f>
        <v>Bin</v>
      </c>
      <c r="M109" s="14">
        <f t="shared" si="18"/>
        <v>9</v>
      </c>
      <c r="N109" s="2"/>
      <c r="O109" s="2" t="s">
        <v>122</v>
      </c>
      <c r="P109" s="2" t="s">
        <v>1859</v>
      </c>
    </row>
    <row r="110" spans="1:16" s="11" customForma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>
        <v>56</v>
      </c>
      <c r="N110" s="10">
        <v>6</v>
      </c>
      <c r="O110" s="10"/>
      <c r="P110" s="10"/>
    </row>
    <row r="111" spans="1:16" x14ac:dyDescent="0.25">
      <c r="A111" s="2"/>
      <c r="B111" s="2"/>
      <c r="C111" s="2"/>
      <c r="D111" s="2"/>
      <c r="E111" s="8"/>
      <c r="F111" s="12"/>
      <c r="G111" s="13"/>
      <c r="H111" s="2"/>
      <c r="I111" s="2"/>
      <c r="J111" s="2"/>
      <c r="K111" s="14"/>
      <c r="L111" s="14"/>
      <c r="M111" s="14"/>
      <c r="N111" s="2"/>
      <c r="O111" s="2"/>
      <c r="P111" s="2"/>
    </row>
    <row r="112" spans="1:16" x14ac:dyDescent="0.25">
      <c r="A112" s="2"/>
      <c r="B112" s="2"/>
      <c r="C112" s="2"/>
      <c r="D112" s="2"/>
      <c r="E112" s="8"/>
      <c r="F112" s="12"/>
      <c r="G112" s="13"/>
      <c r="H112" s="2"/>
      <c r="I112" s="2"/>
      <c r="J112" s="2"/>
      <c r="K112" s="14"/>
      <c r="L112" s="14"/>
      <c r="M112" s="14"/>
      <c r="N112" s="2"/>
      <c r="O112" s="2"/>
      <c r="P112" s="2"/>
    </row>
  </sheetData>
  <autoFilter ref="A3:P110" xr:uid="{214ACD04-F5E4-4157-BBF1-ECDA15B45D04}"/>
  <mergeCells count="14">
    <mergeCell ref="N101:N102"/>
    <mergeCell ref="N41:N42"/>
    <mergeCell ref="N51:N52"/>
    <mergeCell ref="N61:N62"/>
    <mergeCell ref="N71:N72"/>
    <mergeCell ref="N81:N82"/>
    <mergeCell ref="N91:N92"/>
    <mergeCell ref="N23:N24"/>
    <mergeCell ref="N25:N26"/>
    <mergeCell ref="A1:F1"/>
    <mergeCell ref="J1:N1"/>
    <mergeCell ref="L2:N2"/>
    <mergeCell ref="N4:N5"/>
    <mergeCell ref="N6:N7"/>
  </mergeCells>
  <conditionalFormatting sqref="B2">
    <cfRule type="duplicateValues" dxfId="20" priority="2"/>
    <cfRule type="duplicateValues" dxfId="19" priority="3"/>
  </conditionalFormatting>
  <conditionalFormatting sqref="B51:B59 B4:B15 B17:B37 B61:B69 B71:B79 B81:B89 B91:B99 B101:B109 B111:B112 B39:B49">
    <cfRule type="duplicateValues" dxfId="18" priority="30"/>
  </conditionalFormatting>
  <conditionalFormatting sqref="C2:D2">
    <cfRule type="duplicateValues" dxfId="17" priority="4"/>
    <cfRule type="duplicateValues" dxfId="16" priority="5"/>
  </conditionalFormatting>
  <pageMargins left="0.17" right="0.22" top="0.22" bottom="0.17" header="0.17" footer="0.17"/>
  <pageSetup paperSize="9" scale="4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0B3C-C243-41A6-9748-470E1B8BFC4C}">
  <sheetPr>
    <pageSetUpPr fitToPage="1"/>
  </sheetPr>
  <dimension ref="A1:P92"/>
  <sheetViews>
    <sheetView tabSelected="1" topLeftCell="A67" workbookViewId="0">
      <selection activeCell="B87" sqref="B87"/>
    </sheetView>
  </sheetViews>
  <sheetFormatPr defaultColWidth="66.28515625" defaultRowHeight="15" x14ac:dyDescent="0.25"/>
  <cols>
    <col min="1" max="1" width="15.140625" bestFit="1" customWidth="1"/>
    <col min="2" max="2" width="17" bestFit="1" customWidth="1"/>
    <col min="3" max="3" width="14.140625" bestFit="1" customWidth="1"/>
    <col min="4" max="4" width="14.140625" customWidth="1"/>
    <col min="5" max="5" width="32.5703125" bestFit="1" customWidth="1"/>
    <col min="6" max="6" width="9.28515625" bestFit="1" customWidth="1"/>
    <col min="7" max="7" width="8.28515625" customWidth="1"/>
    <col min="8" max="8" width="12.140625" bestFit="1" customWidth="1"/>
    <col min="9" max="9" width="4.7109375" customWidth="1"/>
    <col min="10" max="10" width="8" bestFit="1" customWidth="1"/>
    <col min="11" max="11" width="9" customWidth="1"/>
    <col min="12" max="12" width="12.7109375" customWidth="1"/>
    <col min="13" max="13" width="7.140625" bestFit="1" customWidth="1"/>
    <col min="14" max="14" width="7.85546875" bestFit="1" customWidth="1"/>
    <col min="15" max="15" width="10.7109375" customWidth="1"/>
    <col min="16" max="16" width="37.4257812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6.5" customHeight="1" x14ac:dyDescent="0.25">
      <c r="A2" s="5" t="s">
        <v>36</v>
      </c>
      <c r="B2" s="6">
        <v>46052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1735</v>
      </c>
      <c r="B4" s="2" t="s">
        <v>1654</v>
      </c>
      <c r="C4" s="2" t="s">
        <v>5</v>
      </c>
      <c r="D4" s="2" t="str">
        <f>VLOOKUP($C4,Sheet1!$A$2:$D$10,2,0)</f>
        <v>141110-14600</v>
      </c>
      <c r="E4" s="8" t="s">
        <v>52</v>
      </c>
      <c r="F4" s="12">
        <v>46052</v>
      </c>
      <c r="G4" s="13">
        <v>0.3125</v>
      </c>
      <c r="H4" s="2" t="s">
        <v>53</v>
      </c>
      <c r="I4" s="2" t="s">
        <v>54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2</v>
      </c>
      <c r="O4" s="2" t="s">
        <v>359</v>
      </c>
      <c r="P4" s="2" t="s">
        <v>1856</v>
      </c>
    </row>
    <row r="5" spans="1:16" x14ac:dyDescent="0.25">
      <c r="A5" s="17" t="s">
        <v>1735</v>
      </c>
      <c r="B5" s="2" t="s">
        <v>1663</v>
      </c>
      <c r="C5" s="2" t="s">
        <v>9</v>
      </c>
      <c r="D5" s="2" t="str">
        <f>VLOOKUP($C5,Sheet1!$A$2:$D$10,2,0)</f>
        <v>141120-14600</v>
      </c>
      <c r="E5" s="8" t="s">
        <v>60</v>
      </c>
      <c r="F5" s="12">
        <v>46052</v>
      </c>
      <c r="G5" s="13">
        <v>0.3125</v>
      </c>
      <c r="H5" s="2" t="s">
        <v>53</v>
      </c>
      <c r="I5" s="2" t="s">
        <v>54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359</v>
      </c>
      <c r="P5" s="2" t="s">
        <v>1856</v>
      </c>
    </row>
    <row r="6" spans="1:16" x14ac:dyDescent="0.25">
      <c r="A6" s="17" t="s">
        <v>1735</v>
      </c>
      <c r="B6" s="2" t="s">
        <v>1655</v>
      </c>
      <c r="C6" s="2" t="s">
        <v>5</v>
      </c>
      <c r="D6" s="2" t="str">
        <f>VLOOKUP($C6,Sheet1!$A$2:$D$10,2,0)</f>
        <v>141110-14600</v>
      </c>
      <c r="E6" s="8" t="s">
        <v>52</v>
      </c>
      <c r="F6" s="12">
        <v>46052</v>
      </c>
      <c r="G6" s="13">
        <v>0.3125</v>
      </c>
      <c r="H6" s="2" t="s">
        <v>53</v>
      </c>
      <c r="I6" s="2" t="s">
        <v>54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2">
        <v>1</v>
      </c>
      <c r="O6" s="2" t="s">
        <v>359</v>
      </c>
      <c r="P6" s="2" t="s">
        <v>1856</v>
      </c>
    </row>
    <row r="7" spans="1:16" x14ac:dyDescent="0.25">
      <c r="A7" s="17" t="s">
        <v>1735</v>
      </c>
      <c r="B7" s="2" t="s">
        <v>1664</v>
      </c>
      <c r="C7" s="2" t="s">
        <v>9</v>
      </c>
      <c r="D7" s="2" t="str">
        <f>VLOOKUP($C7,Sheet1!$A$2:$D$10,2,0)</f>
        <v>141120-14600</v>
      </c>
      <c r="E7" s="8" t="s">
        <v>60</v>
      </c>
      <c r="F7" s="12">
        <v>46052</v>
      </c>
      <c r="G7" s="13">
        <v>0.3125</v>
      </c>
      <c r="H7" s="2" t="s">
        <v>53</v>
      </c>
      <c r="I7" s="2" t="s">
        <v>54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3"/>
      <c r="O7" s="2" t="s">
        <v>359</v>
      </c>
      <c r="P7" s="2" t="s">
        <v>1856</v>
      </c>
    </row>
    <row r="8" spans="1:16" x14ac:dyDescent="0.25">
      <c r="A8" s="17" t="s">
        <v>1735</v>
      </c>
      <c r="B8" s="2" t="s">
        <v>1672</v>
      </c>
      <c r="C8" s="2" t="s">
        <v>12</v>
      </c>
      <c r="D8" s="2" t="str">
        <f>VLOOKUP($C8,Sheet1!$A$2:$D$10,2,0)</f>
        <v>141185-74670</v>
      </c>
      <c r="E8" s="8" t="s">
        <v>66</v>
      </c>
      <c r="F8" s="12">
        <v>46052</v>
      </c>
      <c r="G8" s="13">
        <v>0.3125</v>
      </c>
      <c r="H8" s="2" t="s">
        <v>53</v>
      </c>
      <c r="I8" s="2" t="s">
        <v>54</v>
      </c>
      <c r="J8" s="2">
        <v>120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3</v>
      </c>
      <c r="O8" s="2" t="s">
        <v>359</v>
      </c>
      <c r="P8" s="2">
        <v>910107517</v>
      </c>
    </row>
    <row r="9" spans="1:16" x14ac:dyDescent="0.25">
      <c r="A9" s="17" t="s">
        <v>1735</v>
      </c>
      <c r="B9" s="2" t="s">
        <v>1681</v>
      </c>
      <c r="C9" s="2" t="s">
        <v>16</v>
      </c>
      <c r="D9" s="2" t="str">
        <f>VLOOKUP($C9,Sheet1!$A$2:$D$10,2,0)</f>
        <v>141140-91211</v>
      </c>
      <c r="E9" s="8" t="s">
        <v>70</v>
      </c>
      <c r="F9" s="12">
        <v>46052</v>
      </c>
      <c r="G9" s="13">
        <v>0.3125</v>
      </c>
      <c r="H9" s="2" t="s">
        <v>71</v>
      </c>
      <c r="I9" s="2" t="s">
        <v>54</v>
      </c>
      <c r="J9" s="2">
        <v>44</v>
      </c>
      <c r="K9" s="14">
        <f>VLOOKUP($C9,Sheet1!$A$2:$D$10,4,0)</f>
        <v>2</v>
      </c>
      <c r="L9" s="14" t="str">
        <f>VLOOKUP($C9,Sheet1!$A$2:$E$10,5,0)</f>
        <v>Bin</v>
      </c>
      <c r="M9" s="14">
        <f>J9/K9</f>
        <v>22</v>
      </c>
      <c r="N9" s="2"/>
      <c r="O9" s="2" t="s">
        <v>359</v>
      </c>
      <c r="P9" s="2" t="s">
        <v>1857</v>
      </c>
    </row>
    <row r="10" spans="1:16" x14ac:dyDescent="0.25">
      <c r="A10" s="17" t="s">
        <v>1735</v>
      </c>
      <c r="B10" s="2" t="s">
        <v>1690</v>
      </c>
      <c r="C10" s="2" t="s">
        <v>20</v>
      </c>
      <c r="D10" s="2" t="str">
        <f>VLOOKUP($C10,Sheet1!$A$2:$D$10,2,0)</f>
        <v>141150-91211</v>
      </c>
      <c r="E10" s="8" t="s">
        <v>78</v>
      </c>
      <c r="F10" s="12">
        <v>46052</v>
      </c>
      <c r="G10" s="13">
        <v>0.3125</v>
      </c>
      <c r="H10" s="2" t="s">
        <v>71</v>
      </c>
      <c r="I10" s="2" t="s">
        <v>54</v>
      </c>
      <c r="J10" s="2">
        <v>44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ref="M10" si="0">J10/K10</f>
        <v>22</v>
      </c>
      <c r="N10" s="2"/>
      <c r="O10" s="2" t="s">
        <v>359</v>
      </c>
      <c r="P10" s="2" t="s">
        <v>1857</v>
      </c>
    </row>
    <row r="11" spans="1:16" x14ac:dyDescent="0.25">
      <c r="A11" s="17" t="s">
        <v>1735</v>
      </c>
      <c r="B11" s="2" t="s">
        <v>1699</v>
      </c>
      <c r="C11" s="2" t="s">
        <v>23</v>
      </c>
      <c r="D11" s="2" t="str">
        <f>VLOOKUP($C11,Sheet1!$A$2:$D$10,2,0)</f>
        <v>141186-74360</v>
      </c>
      <c r="E11" s="8" t="s">
        <v>85</v>
      </c>
      <c r="F11" s="12">
        <v>46052</v>
      </c>
      <c r="G11" s="13">
        <v>0.3125</v>
      </c>
      <c r="H11" s="2" t="s">
        <v>71</v>
      </c>
      <c r="I11" s="2" t="s">
        <v>54</v>
      </c>
      <c r="J11" s="2">
        <v>80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 t="shared" ref="N11" si="1">J11/K11</f>
        <v>2</v>
      </c>
      <c r="O11" s="2" t="s">
        <v>359</v>
      </c>
      <c r="P11" s="2">
        <v>910107518</v>
      </c>
    </row>
    <row r="12" spans="1:16" x14ac:dyDescent="0.25">
      <c r="A12" s="17" t="s">
        <v>1736</v>
      </c>
      <c r="B12" s="2" t="s">
        <v>1708</v>
      </c>
      <c r="C12" s="2" t="s">
        <v>26</v>
      </c>
      <c r="D12" s="2" t="str">
        <f>VLOOKUP($C12,Sheet1!$A$2:$D$10,2,0)</f>
        <v>116040-92240</v>
      </c>
      <c r="E12" s="8" t="s">
        <v>90</v>
      </c>
      <c r="F12" s="12">
        <v>46052</v>
      </c>
      <c r="G12" s="13">
        <v>0.3125</v>
      </c>
      <c r="H12" s="2" t="s">
        <v>91</v>
      </c>
      <c r="I12" s="2" t="s">
        <v>54</v>
      </c>
      <c r="J12" s="2">
        <v>48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ref="M12:M16" si="2">J12/K12</f>
        <v>8</v>
      </c>
      <c r="N12" s="2"/>
      <c r="O12" s="2" t="s">
        <v>359</v>
      </c>
      <c r="P12" s="2" t="s">
        <v>1858</v>
      </c>
    </row>
    <row r="13" spans="1:16" x14ac:dyDescent="0.25">
      <c r="A13" s="17" t="s">
        <v>1736</v>
      </c>
      <c r="B13" s="2" t="s">
        <v>1709</v>
      </c>
      <c r="C13" s="2" t="s">
        <v>26</v>
      </c>
      <c r="D13" s="2" t="str">
        <f>VLOOKUP($C13,Sheet1!$A$2:$D$10,2,0)</f>
        <v>116040-92240</v>
      </c>
      <c r="E13" s="8" t="s">
        <v>90</v>
      </c>
      <c r="F13" s="12">
        <v>46052</v>
      </c>
      <c r="G13" s="13">
        <v>0.3125</v>
      </c>
      <c r="H13" s="2" t="s">
        <v>91</v>
      </c>
      <c r="I13" s="2" t="s">
        <v>54</v>
      </c>
      <c r="J13" s="2">
        <v>24</v>
      </c>
      <c r="K13" s="14">
        <f>VLOOKUP($C13,Sheet1!$A$2:$D$10,4,0)</f>
        <v>6</v>
      </c>
      <c r="L13" s="14" t="str">
        <f>VLOOKUP($C13,Sheet1!$A$2:$E$10,5,0)</f>
        <v>Bin</v>
      </c>
      <c r="M13" s="14">
        <f>J13/K13</f>
        <v>4</v>
      </c>
      <c r="N13" s="2"/>
      <c r="O13" s="2" t="s">
        <v>359</v>
      </c>
      <c r="P13" s="2" t="s">
        <v>1858</v>
      </c>
    </row>
    <row r="14" spans="1:16" x14ac:dyDescent="0.25">
      <c r="A14" s="17" t="s">
        <v>1736</v>
      </c>
      <c r="B14" s="2" t="s">
        <v>1717</v>
      </c>
      <c r="C14" s="2" t="s">
        <v>32</v>
      </c>
      <c r="D14" s="2" t="str">
        <f>VLOOKUP($C14,Sheet1!$A$2:$D$10,2,0)</f>
        <v>114010-50820</v>
      </c>
      <c r="E14" s="8" t="s">
        <v>98</v>
      </c>
      <c r="F14" s="12">
        <v>46052</v>
      </c>
      <c r="G14" s="13">
        <v>0.3125</v>
      </c>
      <c r="H14" s="2" t="s">
        <v>91</v>
      </c>
      <c r="I14" s="2" t="s">
        <v>54</v>
      </c>
      <c r="J14" s="2">
        <v>15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2"/>
        <v>15</v>
      </c>
      <c r="N14" s="2"/>
      <c r="O14" s="2" t="s">
        <v>359</v>
      </c>
      <c r="P14" s="2" t="s">
        <v>423</v>
      </c>
    </row>
    <row r="15" spans="1:16" x14ac:dyDescent="0.25">
      <c r="A15" s="17" t="s">
        <v>1736</v>
      </c>
      <c r="B15" s="2" t="s">
        <v>1727</v>
      </c>
      <c r="C15" s="2" t="s">
        <v>29</v>
      </c>
      <c r="D15" s="2" t="str">
        <f>VLOOKUP($C15,Sheet1!$A$2:$D$10,2,0)</f>
        <v>114010-50830</v>
      </c>
      <c r="E15" s="8" t="s">
        <v>98</v>
      </c>
      <c r="F15" s="12">
        <v>46052</v>
      </c>
      <c r="G15" s="13">
        <v>0.3125</v>
      </c>
      <c r="H15" s="2" t="s">
        <v>91</v>
      </c>
      <c r="I15" s="2" t="s">
        <v>54</v>
      </c>
      <c r="J15" s="2">
        <v>29</v>
      </c>
      <c r="K15" s="14">
        <f>VLOOKUP($C15,Sheet1!$A$2:$D$10,4,0)</f>
        <v>1</v>
      </c>
      <c r="L15" s="14" t="str">
        <f>VLOOKUP($C15,Sheet1!$A$2:$E$10,5,0)</f>
        <v>Bin</v>
      </c>
      <c r="M15" s="14">
        <f>J15/K15</f>
        <v>29</v>
      </c>
      <c r="N15" s="2"/>
      <c r="O15" s="2" t="s">
        <v>359</v>
      </c>
      <c r="P15" s="2" t="s">
        <v>1859</v>
      </c>
    </row>
    <row r="16" spans="1:16" x14ac:dyDescent="0.25">
      <c r="A16" s="17" t="s">
        <v>1736</v>
      </c>
      <c r="B16" s="2" t="s">
        <v>1728</v>
      </c>
      <c r="C16" s="2" t="s">
        <v>29</v>
      </c>
      <c r="D16" s="2" t="str">
        <f>VLOOKUP($C16,Sheet1!$A$2:$D$10,2,0)</f>
        <v>114010-50830</v>
      </c>
      <c r="E16" s="8" t="s">
        <v>98</v>
      </c>
      <c r="F16" s="12">
        <v>46052</v>
      </c>
      <c r="G16" s="13">
        <v>0.3125</v>
      </c>
      <c r="H16" s="2" t="s">
        <v>91</v>
      </c>
      <c r="I16" s="2" t="s">
        <v>54</v>
      </c>
      <c r="J16" s="2">
        <v>14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2"/>
        <v>14</v>
      </c>
      <c r="N16" s="2"/>
      <c r="O16" s="2" t="s">
        <v>359</v>
      </c>
      <c r="P16" s="2" t="s">
        <v>1859</v>
      </c>
    </row>
    <row r="17" spans="1:16" s="11" customForma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>
        <v>114</v>
      </c>
      <c r="N17" s="10">
        <v>8</v>
      </c>
      <c r="O17" s="10"/>
      <c r="P17" s="10"/>
    </row>
    <row r="18" spans="1:16" x14ac:dyDescent="0.25">
      <c r="A18" s="17" t="s">
        <v>1737</v>
      </c>
      <c r="B18" s="2" t="s">
        <v>1655</v>
      </c>
      <c r="C18" s="2" t="s">
        <v>5</v>
      </c>
      <c r="D18" s="2" t="str">
        <f>VLOOKUP($C18,Sheet1!$A$2:$D$10,2,0)</f>
        <v>141110-14600</v>
      </c>
      <c r="E18" s="8" t="s">
        <v>52</v>
      </c>
      <c r="F18" s="12">
        <v>46052</v>
      </c>
      <c r="G18" s="13">
        <v>0.3125</v>
      </c>
      <c r="H18" s="2" t="s">
        <v>53</v>
      </c>
      <c r="I18" s="2" t="s">
        <v>54</v>
      </c>
      <c r="J18" s="2">
        <v>18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2">
        <v>1</v>
      </c>
      <c r="O18" s="2" t="s">
        <v>119</v>
      </c>
      <c r="P18" s="2"/>
    </row>
    <row r="19" spans="1:16" x14ac:dyDescent="0.25">
      <c r="A19" s="17" t="s">
        <v>1737</v>
      </c>
      <c r="B19" s="2" t="s">
        <v>1664</v>
      </c>
      <c r="C19" s="2" t="s">
        <v>9</v>
      </c>
      <c r="D19" s="2" t="str">
        <f>VLOOKUP($C19,Sheet1!$A$2:$D$10,2,0)</f>
        <v>141120-14600</v>
      </c>
      <c r="E19" s="8" t="s">
        <v>60</v>
      </c>
      <c r="F19" s="12">
        <v>46052</v>
      </c>
      <c r="G19" s="13">
        <v>0.3125</v>
      </c>
      <c r="H19" s="2" t="s">
        <v>53</v>
      </c>
      <c r="I19" s="2" t="s">
        <v>54</v>
      </c>
      <c r="J19" s="2">
        <v>18</v>
      </c>
      <c r="K19" s="14">
        <f>VLOOKUP($C19,Sheet1!$A$2:$D$10,4,0)</f>
        <v>18</v>
      </c>
      <c r="L19" s="14" t="str">
        <f>VLOOKUP($C19,Sheet1!$A$2:$E$10,5,0)</f>
        <v>Trolley (H)</v>
      </c>
      <c r="M19" s="14"/>
      <c r="N19" s="53"/>
      <c r="O19" s="2" t="s">
        <v>119</v>
      </c>
      <c r="P19" s="2"/>
    </row>
    <row r="20" spans="1:16" x14ac:dyDescent="0.25">
      <c r="A20" s="17" t="s">
        <v>1737</v>
      </c>
      <c r="B20" s="2" t="s">
        <v>1673</v>
      </c>
      <c r="C20" s="2" t="s">
        <v>12</v>
      </c>
      <c r="D20" s="2" t="str">
        <f>VLOOKUP($C20,Sheet1!$A$2:$D$10,2,0)</f>
        <v>141185-74670</v>
      </c>
      <c r="E20" s="8" t="s">
        <v>66</v>
      </c>
      <c r="F20" s="12">
        <v>46052</v>
      </c>
      <c r="G20" s="13">
        <v>0.3125</v>
      </c>
      <c r="H20" s="2" t="s">
        <v>53</v>
      </c>
      <c r="I20" s="2" t="s">
        <v>54</v>
      </c>
      <c r="J20" s="2">
        <v>40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1</v>
      </c>
      <c r="O20" s="2" t="s">
        <v>119</v>
      </c>
      <c r="P20" s="2">
        <v>910107517</v>
      </c>
    </row>
    <row r="21" spans="1:16" x14ac:dyDescent="0.25">
      <c r="A21" s="17" t="s">
        <v>1737</v>
      </c>
      <c r="B21" s="2" t="s">
        <v>1682</v>
      </c>
      <c r="C21" s="2" t="s">
        <v>16</v>
      </c>
      <c r="D21" s="2" t="str">
        <f>VLOOKUP($C21,Sheet1!$A$2:$D$10,2,0)</f>
        <v>141140-91211</v>
      </c>
      <c r="E21" s="8" t="s">
        <v>70</v>
      </c>
      <c r="F21" s="12">
        <v>46052</v>
      </c>
      <c r="G21" s="13">
        <v>0.3125</v>
      </c>
      <c r="H21" s="2" t="s">
        <v>71</v>
      </c>
      <c r="I21" s="2" t="s">
        <v>54</v>
      </c>
      <c r="J21" s="2">
        <v>28</v>
      </c>
      <c r="K21" s="14">
        <f>VLOOKUP($C21,Sheet1!$A$2:$D$10,4,0)</f>
        <v>2</v>
      </c>
      <c r="L21" s="14" t="str">
        <f>VLOOKUP($C21,Sheet1!$A$2:$E$10,5,0)</f>
        <v>Bin</v>
      </c>
      <c r="M21" s="14">
        <f>J21/K21</f>
        <v>14</v>
      </c>
      <c r="N21" s="2"/>
      <c r="O21" s="2" t="s">
        <v>119</v>
      </c>
      <c r="P21" s="2" t="s">
        <v>1857</v>
      </c>
    </row>
    <row r="22" spans="1:16" x14ac:dyDescent="0.25">
      <c r="A22" s="17" t="s">
        <v>1737</v>
      </c>
      <c r="B22" s="2" t="s">
        <v>1691</v>
      </c>
      <c r="C22" s="2" t="s">
        <v>20</v>
      </c>
      <c r="D22" s="2" t="str">
        <f>VLOOKUP($C22,Sheet1!$A$2:$D$10,2,0)</f>
        <v>141150-91211</v>
      </c>
      <c r="E22" s="8" t="s">
        <v>78</v>
      </c>
      <c r="F22" s="12">
        <v>46052</v>
      </c>
      <c r="G22" s="13">
        <v>0.3125</v>
      </c>
      <c r="H22" s="2" t="s">
        <v>71</v>
      </c>
      <c r="I22" s="2" t="s">
        <v>54</v>
      </c>
      <c r="J22" s="2">
        <v>28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14</v>
      </c>
      <c r="N22" s="2"/>
      <c r="O22" s="2" t="s">
        <v>119</v>
      </c>
      <c r="P22" s="2" t="s">
        <v>1857</v>
      </c>
    </row>
    <row r="23" spans="1:16" x14ac:dyDescent="0.25">
      <c r="A23" s="17" t="s">
        <v>1737</v>
      </c>
      <c r="B23" s="2" t="s">
        <v>1700</v>
      </c>
      <c r="C23" s="2" t="s">
        <v>23</v>
      </c>
      <c r="D23" s="2" t="str">
        <f>VLOOKUP($C23,Sheet1!$A$2:$D$10,2,0)</f>
        <v>141186-74360</v>
      </c>
      <c r="E23" s="8" t="s">
        <v>85</v>
      </c>
      <c r="F23" s="12">
        <v>46052</v>
      </c>
      <c r="G23" s="13">
        <v>0.3125</v>
      </c>
      <c r="H23" s="2" t="s">
        <v>71</v>
      </c>
      <c r="I23" s="2" t="s">
        <v>54</v>
      </c>
      <c r="J23" s="2">
        <v>80</v>
      </c>
      <c r="K23" s="14">
        <f>VLOOKUP($C23,Sheet1!$A$2:$D$10,4,0)</f>
        <v>40</v>
      </c>
      <c r="L23" s="14" t="str">
        <f>VLOOKUP($C23,Sheet1!$A$2:$E$10,5,0)</f>
        <v>Trolley</v>
      </c>
      <c r="M23" s="14"/>
      <c r="N23" s="2">
        <f>J23/K23</f>
        <v>2</v>
      </c>
      <c r="O23" s="2" t="s">
        <v>119</v>
      </c>
      <c r="P23" s="2">
        <v>910107518</v>
      </c>
    </row>
    <row r="24" spans="1:16" ht="15.75" thickBot="1" x14ac:dyDescent="0.3">
      <c r="A24" s="17" t="s">
        <v>1738</v>
      </c>
      <c r="B24" s="2" t="s">
        <v>1718</v>
      </c>
      <c r="C24" s="2" t="s">
        <v>32</v>
      </c>
      <c r="D24" s="2" t="str">
        <f>VLOOKUP($C24,Sheet1!$A$2:$D$10,2,0)</f>
        <v>114010-50820</v>
      </c>
      <c r="E24" s="8" t="s">
        <v>98</v>
      </c>
      <c r="F24" s="12">
        <v>46052</v>
      </c>
      <c r="G24" s="25">
        <v>0.3125</v>
      </c>
      <c r="H24" s="2" t="s">
        <v>91</v>
      </c>
      <c r="I24" s="2" t="s">
        <v>54</v>
      </c>
      <c r="J24" s="2">
        <v>14</v>
      </c>
      <c r="K24" s="14">
        <f>VLOOKUP($C24,Sheet1!$A$2:$D$10,4,0)</f>
        <v>1</v>
      </c>
      <c r="L24" s="14" t="str">
        <f>VLOOKUP($C24,Sheet1!$A$2:$E$10,5,0)</f>
        <v>Bin</v>
      </c>
      <c r="M24" s="14">
        <f>J24/K24</f>
        <v>14</v>
      </c>
      <c r="N24" s="2"/>
      <c r="O24" s="2" t="s">
        <v>119</v>
      </c>
      <c r="P24" s="2" t="s">
        <v>724</v>
      </c>
    </row>
    <row r="25" spans="1:16" ht="15.75" thickTop="1" x14ac:dyDescent="0.25">
      <c r="A25" s="17" t="s">
        <v>1739</v>
      </c>
      <c r="B25" s="2" t="s">
        <v>1656</v>
      </c>
      <c r="C25" s="2" t="s">
        <v>5</v>
      </c>
      <c r="D25" s="2" t="str">
        <f>VLOOKUP($C25,Sheet1!$A$2:$D$10,2,0)</f>
        <v>141110-14600</v>
      </c>
      <c r="E25" s="8" t="s">
        <v>52</v>
      </c>
      <c r="F25" s="12">
        <v>46052</v>
      </c>
      <c r="G25" s="26">
        <v>0.35416666666666669</v>
      </c>
      <c r="H25" s="2" t="s">
        <v>53</v>
      </c>
      <c r="I25" s="2" t="s">
        <v>54</v>
      </c>
      <c r="J25" s="2">
        <v>36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2">
        <v>2</v>
      </c>
      <c r="O25" s="2" t="s">
        <v>119</v>
      </c>
      <c r="P25" s="2" t="s">
        <v>1856</v>
      </c>
    </row>
    <row r="26" spans="1:16" x14ac:dyDescent="0.25">
      <c r="A26" s="17" t="s">
        <v>1739</v>
      </c>
      <c r="B26" s="2" t="s">
        <v>1665</v>
      </c>
      <c r="C26" s="2" t="s">
        <v>9</v>
      </c>
      <c r="D26" s="2" t="str">
        <f>VLOOKUP($C26,Sheet1!$A$2:$D$10,2,0)</f>
        <v>141120-14600</v>
      </c>
      <c r="E26" s="8" t="s">
        <v>60</v>
      </c>
      <c r="F26" s="12">
        <v>46052</v>
      </c>
      <c r="G26" s="23">
        <v>0.35416666666666669</v>
      </c>
      <c r="H26" s="2" t="s">
        <v>53</v>
      </c>
      <c r="I26" s="2" t="s">
        <v>54</v>
      </c>
      <c r="J26" s="2">
        <v>36</v>
      </c>
      <c r="K26" s="14">
        <f>VLOOKUP($C26,Sheet1!$A$2:$D$10,4,0)</f>
        <v>18</v>
      </c>
      <c r="L26" s="14" t="str">
        <f>VLOOKUP($C26,Sheet1!$A$2:$E$10,5,0)</f>
        <v>Trolley (H)</v>
      </c>
      <c r="M26" s="14"/>
      <c r="N26" s="53"/>
      <c r="O26" s="2" t="s">
        <v>119</v>
      </c>
      <c r="P26" s="2" t="s">
        <v>1856</v>
      </c>
    </row>
    <row r="27" spans="1:16" x14ac:dyDescent="0.25">
      <c r="A27" s="17" t="s">
        <v>1739</v>
      </c>
      <c r="B27" s="2" t="s">
        <v>1674</v>
      </c>
      <c r="C27" s="2" t="s">
        <v>12</v>
      </c>
      <c r="D27" s="2" t="str">
        <f>VLOOKUP($C27,Sheet1!$A$2:$D$10,2,0)</f>
        <v>141185-74670</v>
      </c>
      <c r="E27" s="8" t="s">
        <v>66</v>
      </c>
      <c r="F27" s="12">
        <v>46052</v>
      </c>
      <c r="G27" s="23">
        <v>0.35416666666666669</v>
      </c>
      <c r="H27" s="2" t="s">
        <v>53</v>
      </c>
      <c r="I27" s="2" t="s">
        <v>54</v>
      </c>
      <c r="J27" s="2">
        <v>40</v>
      </c>
      <c r="K27" s="14">
        <f>VLOOKUP($C27,Sheet1!$A$2:$D$10,4,0)</f>
        <v>40</v>
      </c>
      <c r="L27" s="14" t="str">
        <f>VLOOKUP($C27,Sheet1!$A$2:$E$10,5,0)</f>
        <v>Trolley</v>
      </c>
      <c r="M27" s="14"/>
      <c r="N27" s="2">
        <f>J27/K27</f>
        <v>1</v>
      </c>
      <c r="O27" s="2" t="s">
        <v>119</v>
      </c>
      <c r="P27" s="2">
        <v>910107517</v>
      </c>
    </row>
    <row r="28" spans="1:16" x14ac:dyDescent="0.25">
      <c r="A28" s="17" t="s">
        <v>1739</v>
      </c>
      <c r="B28" s="2" t="s">
        <v>1683</v>
      </c>
      <c r="C28" s="2" t="s">
        <v>16</v>
      </c>
      <c r="D28" s="2" t="str">
        <f>VLOOKUP($C28,Sheet1!$A$2:$D$10,2,0)</f>
        <v>141140-91211</v>
      </c>
      <c r="E28" s="8" t="s">
        <v>70</v>
      </c>
      <c r="F28" s="12">
        <v>46052</v>
      </c>
      <c r="G28" s="23">
        <v>0.35416666666666669</v>
      </c>
      <c r="H28" s="2" t="s">
        <v>71</v>
      </c>
      <c r="I28" s="2" t="s">
        <v>54</v>
      </c>
      <c r="J28" s="2">
        <v>32</v>
      </c>
      <c r="K28" s="14">
        <f>VLOOKUP($C28,Sheet1!$A$2:$D$10,4,0)</f>
        <v>2</v>
      </c>
      <c r="L28" s="14" t="str">
        <f>VLOOKUP($C28,Sheet1!$A$2:$E$10,5,0)</f>
        <v>Bin</v>
      </c>
      <c r="M28" s="14">
        <f t="shared" ref="M28:M29" si="3">J28/K28</f>
        <v>16</v>
      </c>
      <c r="N28" s="2"/>
      <c r="O28" s="2" t="s">
        <v>119</v>
      </c>
      <c r="P28" s="2" t="s">
        <v>1857</v>
      </c>
    </row>
    <row r="29" spans="1:16" x14ac:dyDescent="0.25">
      <c r="A29" s="17" t="s">
        <v>1739</v>
      </c>
      <c r="B29" s="2" t="s">
        <v>1692</v>
      </c>
      <c r="C29" s="2" t="s">
        <v>20</v>
      </c>
      <c r="D29" s="2" t="str">
        <f>VLOOKUP($C29,Sheet1!$A$2:$D$10,2,0)</f>
        <v>141150-91211</v>
      </c>
      <c r="E29" s="8" t="s">
        <v>78</v>
      </c>
      <c r="F29" s="12">
        <v>46052</v>
      </c>
      <c r="G29" s="23">
        <v>0.35416666666666669</v>
      </c>
      <c r="H29" s="2" t="s">
        <v>71</v>
      </c>
      <c r="I29" s="2" t="s">
        <v>54</v>
      </c>
      <c r="J29" s="2">
        <v>32</v>
      </c>
      <c r="K29" s="14">
        <f>VLOOKUP($C29,Sheet1!$A$2:$D$10,4,0)</f>
        <v>2</v>
      </c>
      <c r="L29" s="14" t="str">
        <f>VLOOKUP($C29,Sheet1!$A$2:$E$10,5,0)</f>
        <v>Bin</v>
      </c>
      <c r="M29" s="14">
        <f t="shared" si="3"/>
        <v>16</v>
      </c>
      <c r="N29" s="2"/>
      <c r="O29" s="2" t="s">
        <v>119</v>
      </c>
      <c r="P29" s="2" t="s">
        <v>1857</v>
      </c>
    </row>
    <row r="30" spans="1:16" x14ac:dyDescent="0.25">
      <c r="A30" s="17" t="s">
        <v>1739</v>
      </c>
      <c r="B30" s="2" t="s">
        <v>1701</v>
      </c>
      <c r="C30" s="2" t="s">
        <v>23</v>
      </c>
      <c r="D30" s="2" t="str">
        <f>VLOOKUP($C30,Sheet1!$A$2:$D$10,2,0)</f>
        <v>141186-74360</v>
      </c>
      <c r="E30" s="8" t="s">
        <v>85</v>
      </c>
      <c r="F30" s="12">
        <v>46052</v>
      </c>
      <c r="G30" s="23">
        <v>0.35416666666666669</v>
      </c>
      <c r="H30" s="2" t="s">
        <v>71</v>
      </c>
      <c r="I30" s="2" t="s">
        <v>54</v>
      </c>
      <c r="J30" s="2">
        <v>40</v>
      </c>
      <c r="K30" s="14">
        <f>VLOOKUP($C30,Sheet1!$A$2:$D$10,4,0)</f>
        <v>40</v>
      </c>
      <c r="L30" s="14" t="str">
        <f>VLOOKUP($C30,Sheet1!$A$2:$E$10,5,0)</f>
        <v>Trolley</v>
      </c>
      <c r="M30" s="14"/>
      <c r="N30" s="2">
        <f>J30/K30</f>
        <v>1</v>
      </c>
      <c r="O30" s="2" t="s">
        <v>119</v>
      </c>
      <c r="P30" s="2">
        <v>910107518</v>
      </c>
    </row>
    <row r="31" spans="1:16" x14ac:dyDescent="0.25">
      <c r="A31" s="17" t="s">
        <v>1740</v>
      </c>
      <c r="B31" s="2" t="s">
        <v>1710</v>
      </c>
      <c r="C31" s="2" t="s">
        <v>26</v>
      </c>
      <c r="D31" s="2" t="str">
        <f>VLOOKUP($C31,Sheet1!$A$2:$D$10,2,0)</f>
        <v>116040-92240</v>
      </c>
      <c r="E31" s="8" t="s">
        <v>90</v>
      </c>
      <c r="F31" s="12">
        <v>46052</v>
      </c>
      <c r="G31" s="23">
        <v>0.35416666666666669</v>
      </c>
      <c r="H31" s="2" t="s">
        <v>91</v>
      </c>
      <c r="I31" s="2" t="s">
        <v>54</v>
      </c>
      <c r="J31" s="2">
        <v>30</v>
      </c>
      <c r="K31" s="14">
        <f>VLOOKUP($C31,Sheet1!$A$2:$D$10,4,0)</f>
        <v>6</v>
      </c>
      <c r="L31" s="14" t="str">
        <f>VLOOKUP($C31,Sheet1!$A$2:$E$10,5,0)</f>
        <v>Bin</v>
      </c>
      <c r="M31" s="14">
        <f t="shared" ref="M31:M33" si="4">J31/K31</f>
        <v>5</v>
      </c>
      <c r="N31" s="2"/>
      <c r="O31" s="2" t="s">
        <v>119</v>
      </c>
      <c r="P31" s="2" t="s">
        <v>1858</v>
      </c>
    </row>
    <row r="32" spans="1:16" x14ac:dyDescent="0.25">
      <c r="A32" s="17" t="s">
        <v>1740</v>
      </c>
      <c r="B32" s="2" t="s">
        <v>1719</v>
      </c>
      <c r="C32" s="2" t="s">
        <v>32</v>
      </c>
      <c r="D32" s="2" t="str">
        <f>VLOOKUP($C32,Sheet1!$A$2:$D$10,2,0)</f>
        <v>114010-50820</v>
      </c>
      <c r="E32" s="8" t="s">
        <v>98</v>
      </c>
      <c r="F32" s="12">
        <v>46052</v>
      </c>
      <c r="G32" s="23">
        <v>0.35416666666666669</v>
      </c>
      <c r="H32" s="2" t="s">
        <v>91</v>
      </c>
      <c r="I32" s="2" t="s">
        <v>54</v>
      </c>
      <c r="J32" s="2">
        <v>21</v>
      </c>
      <c r="K32" s="14">
        <f>VLOOKUP($C32,Sheet1!$A$2:$D$10,4,0)</f>
        <v>1</v>
      </c>
      <c r="L32" s="14" t="str">
        <f>VLOOKUP($C32,Sheet1!$A$2:$E$10,5,0)</f>
        <v>Bin</v>
      </c>
      <c r="M32" s="14">
        <f t="shared" si="4"/>
        <v>21</v>
      </c>
      <c r="N32" s="2"/>
      <c r="O32" s="2" t="s">
        <v>119</v>
      </c>
      <c r="P32" s="2" t="s">
        <v>423</v>
      </c>
    </row>
    <row r="33" spans="1:16" x14ac:dyDescent="0.25">
      <c r="A33" s="17" t="s">
        <v>1740</v>
      </c>
      <c r="B33" s="2" t="s">
        <v>1729</v>
      </c>
      <c r="C33" s="2" t="s">
        <v>29</v>
      </c>
      <c r="D33" s="2" t="str">
        <f>VLOOKUP($C33,Sheet1!$A$2:$D$10,2,0)</f>
        <v>114010-50830</v>
      </c>
      <c r="E33" s="8" t="s">
        <v>98</v>
      </c>
      <c r="F33" s="12">
        <v>46052</v>
      </c>
      <c r="G33" s="23">
        <v>0.35416666666666669</v>
      </c>
      <c r="H33" s="2" t="s">
        <v>91</v>
      </c>
      <c r="I33" s="2" t="s">
        <v>54</v>
      </c>
      <c r="J33" s="2">
        <v>11</v>
      </c>
      <c r="K33" s="14">
        <f>VLOOKUP($C33,Sheet1!$A$2:$D$10,4,0)</f>
        <v>1</v>
      </c>
      <c r="L33" s="14" t="str">
        <f>VLOOKUP($C33,Sheet1!$A$2:$E$10,5,0)</f>
        <v>Bin</v>
      </c>
      <c r="M33" s="14">
        <f t="shared" si="4"/>
        <v>11</v>
      </c>
      <c r="N33" s="2"/>
      <c r="O33" s="2" t="s">
        <v>119</v>
      </c>
      <c r="P33" s="2" t="s">
        <v>1859</v>
      </c>
    </row>
    <row r="34" spans="1:16" s="11" customForma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111</v>
      </c>
      <c r="N34" s="10">
        <v>8</v>
      </c>
      <c r="O34" s="10"/>
      <c r="P34" s="10"/>
    </row>
    <row r="35" spans="1:16" x14ac:dyDescent="0.25">
      <c r="A35" s="17" t="s">
        <v>1741</v>
      </c>
      <c r="B35" s="2" t="s">
        <v>1657</v>
      </c>
      <c r="C35" s="2" t="s">
        <v>5</v>
      </c>
      <c r="D35" s="2" t="str">
        <f>VLOOKUP($C35,Sheet1!$A$2:$D$10,2,0)</f>
        <v>141110-14600</v>
      </c>
      <c r="E35" s="8" t="s">
        <v>52</v>
      </c>
      <c r="F35" s="12">
        <v>46052</v>
      </c>
      <c r="G35" s="13">
        <v>0.4375</v>
      </c>
      <c r="H35" s="2" t="s">
        <v>53</v>
      </c>
      <c r="I35" s="2" t="s">
        <v>54</v>
      </c>
      <c r="J35" s="2">
        <v>36</v>
      </c>
      <c r="K35" s="14">
        <f>VLOOKUP($C35,Sheet1!$A$2:$D$10,4,0)</f>
        <v>18</v>
      </c>
      <c r="L35" s="14" t="str">
        <f>VLOOKUP($C35,Sheet1!$A$2:$E$10,5,0)</f>
        <v>Trolley (H)</v>
      </c>
      <c r="M35" s="14"/>
      <c r="N35" s="52">
        <v>2</v>
      </c>
      <c r="O35" s="2" t="s">
        <v>121</v>
      </c>
      <c r="P35" s="2"/>
    </row>
    <row r="36" spans="1:16" x14ac:dyDescent="0.25">
      <c r="A36" s="17" t="s">
        <v>1741</v>
      </c>
      <c r="B36" s="2" t="s">
        <v>1666</v>
      </c>
      <c r="C36" s="2" t="s">
        <v>9</v>
      </c>
      <c r="D36" s="2" t="str">
        <f>VLOOKUP($C36,Sheet1!$A$2:$D$10,2,0)</f>
        <v>141120-14600</v>
      </c>
      <c r="E36" s="8" t="s">
        <v>60</v>
      </c>
      <c r="F36" s="12">
        <v>46052</v>
      </c>
      <c r="G36" s="13">
        <v>0.4375</v>
      </c>
      <c r="H36" s="2" t="s">
        <v>53</v>
      </c>
      <c r="I36" s="2" t="s">
        <v>54</v>
      </c>
      <c r="J36" s="2">
        <v>36</v>
      </c>
      <c r="K36" s="14">
        <f>VLOOKUP($C36,Sheet1!$A$2:$D$10,4,0)</f>
        <v>18</v>
      </c>
      <c r="L36" s="14" t="str">
        <f>VLOOKUP($C36,Sheet1!$A$2:$E$10,5,0)</f>
        <v>Trolley (H)</v>
      </c>
      <c r="M36" s="14"/>
      <c r="N36" s="53"/>
      <c r="O36" s="2" t="s">
        <v>121</v>
      </c>
      <c r="P36" s="2"/>
    </row>
    <row r="37" spans="1:16" x14ac:dyDescent="0.25">
      <c r="A37" s="17" t="s">
        <v>1741</v>
      </c>
      <c r="B37" s="2" t="s">
        <v>1675</v>
      </c>
      <c r="C37" s="2" t="s">
        <v>12</v>
      </c>
      <c r="D37" s="2" t="str">
        <f>VLOOKUP($C37,Sheet1!$A$2:$D$10,2,0)</f>
        <v>141185-74670</v>
      </c>
      <c r="E37" s="8" t="s">
        <v>66</v>
      </c>
      <c r="F37" s="12">
        <v>46052</v>
      </c>
      <c r="G37" s="13">
        <v>0.4375</v>
      </c>
      <c r="H37" s="2" t="s">
        <v>53</v>
      </c>
      <c r="I37" s="2" t="s">
        <v>54</v>
      </c>
      <c r="J37" s="2">
        <v>80</v>
      </c>
      <c r="K37" s="14">
        <f>VLOOKUP($C37,Sheet1!$A$2:$D$10,4,0)</f>
        <v>40</v>
      </c>
      <c r="L37" s="14" t="str">
        <f>VLOOKUP($C37,Sheet1!$A$2:$E$10,5,0)</f>
        <v>Trolley</v>
      </c>
      <c r="M37" s="14"/>
      <c r="N37" s="2">
        <f>J37/K37</f>
        <v>2</v>
      </c>
      <c r="O37" s="2" t="s">
        <v>121</v>
      </c>
      <c r="P37" s="2">
        <v>910107517</v>
      </c>
    </row>
    <row r="38" spans="1:16" x14ac:dyDescent="0.25">
      <c r="A38" s="17" t="s">
        <v>1741</v>
      </c>
      <c r="B38" s="2" t="s">
        <v>1684</v>
      </c>
      <c r="C38" s="2" t="s">
        <v>16</v>
      </c>
      <c r="D38" s="2" t="str">
        <f>VLOOKUP($C38,Sheet1!$A$2:$D$10,2,0)</f>
        <v>141140-91211</v>
      </c>
      <c r="E38" s="8" t="s">
        <v>70</v>
      </c>
      <c r="F38" s="12">
        <v>46052</v>
      </c>
      <c r="G38" s="13">
        <v>0.4375</v>
      </c>
      <c r="H38" s="2" t="s">
        <v>71</v>
      </c>
      <c r="I38" s="2" t="s">
        <v>54</v>
      </c>
      <c r="J38" s="2">
        <v>32</v>
      </c>
      <c r="K38" s="14">
        <f>VLOOKUP($C38,Sheet1!$A$2:$D$10,4,0)</f>
        <v>2</v>
      </c>
      <c r="L38" s="14" t="str">
        <f>VLOOKUP($C38,Sheet1!$A$2:$E$10,5,0)</f>
        <v>Bin</v>
      </c>
      <c r="M38" s="14">
        <f t="shared" ref="M38:M39" si="5">J38/K38</f>
        <v>16</v>
      </c>
      <c r="N38" s="2"/>
      <c r="O38" s="2" t="s">
        <v>121</v>
      </c>
      <c r="P38" s="2" t="s">
        <v>1857</v>
      </c>
    </row>
    <row r="39" spans="1:16" x14ac:dyDescent="0.25">
      <c r="A39" s="17" t="s">
        <v>1741</v>
      </c>
      <c r="B39" s="2" t="s">
        <v>1693</v>
      </c>
      <c r="C39" s="2" t="s">
        <v>20</v>
      </c>
      <c r="D39" s="2" t="str">
        <f>VLOOKUP($C39,Sheet1!$A$2:$D$10,2,0)</f>
        <v>141150-91211</v>
      </c>
      <c r="E39" s="8" t="s">
        <v>78</v>
      </c>
      <c r="F39" s="12">
        <v>46052</v>
      </c>
      <c r="G39" s="13">
        <v>0.4375</v>
      </c>
      <c r="H39" s="2" t="s">
        <v>71</v>
      </c>
      <c r="I39" s="2" t="s">
        <v>54</v>
      </c>
      <c r="J39" s="2">
        <v>32</v>
      </c>
      <c r="K39" s="14">
        <f>VLOOKUP($C39,Sheet1!$A$2:$D$10,4,0)</f>
        <v>2</v>
      </c>
      <c r="L39" s="14" t="str">
        <f>VLOOKUP($C39,Sheet1!$A$2:$E$10,5,0)</f>
        <v>Bin</v>
      </c>
      <c r="M39" s="14">
        <f t="shared" si="5"/>
        <v>16</v>
      </c>
      <c r="N39" s="2"/>
      <c r="O39" s="2" t="s">
        <v>121</v>
      </c>
      <c r="P39" s="2" t="s">
        <v>1857</v>
      </c>
    </row>
    <row r="40" spans="1:16" x14ac:dyDescent="0.25">
      <c r="A40" s="17" t="s">
        <v>1741</v>
      </c>
      <c r="B40" s="2" t="s">
        <v>1702</v>
      </c>
      <c r="C40" s="2" t="s">
        <v>23</v>
      </c>
      <c r="D40" s="2" t="str">
        <f>VLOOKUP($C40,Sheet1!$A$2:$D$10,2,0)</f>
        <v>141186-74360</v>
      </c>
      <c r="E40" s="8" t="s">
        <v>85</v>
      </c>
      <c r="F40" s="12">
        <v>46052</v>
      </c>
      <c r="G40" s="13">
        <v>0.4375</v>
      </c>
      <c r="H40" s="2" t="s">
        <v>71</v>
      </c>
      <c r="I40" s="2" t="s">
        <v>54</v>
      </c>
      <c r="J40" s="2">
        <v>80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>J40/K40</f>
        <v>2</v>
      </c>
      <c r="O40" s="2" t="s">
        <v>121</v>
      </c>
      <c r="P40" s="2">
        <v>910107518</v>
      </c>
    </row>
    <row r="41" spans="1:16" x14ac:dyDescent="0.25">
      <c r="A41" s="17" t="s">
        <v>1742</v>
      </c>
      <c r="B41" s="2" t="s">
        <v>1711</v>
      </c>
      <c r="C41" s="2" t="s">
        <v>26</v>
      </c>
      <c r="D41" s="2" t="str">
        <f>VLOOKUP($C41,Sheet1!$A$2:$D$10,2,0)</f>
        <v>116040-92240</v>
      </c>
      <c r="E41" s="8" t="s">
        <v>90</v>
      </c>
      <c r="F41" s="12">
        <v>46052</v>
      </c>
      <c r="G41" s="13">
        <v>0.4375</v>
      </c>
      <c r="H41" s="2" t="s">
        <v>91</v>
      </c>
      <c r="I41" s="2" t="s">
        <v>54</v>
      </c>
      <c r="J41" s="2">
        <v>30</v>
      </c>
      <c r="K41" s="14">
        <f>VLOOKUP($C41,Sheet1!$A$2:$D$10,4,0)</f>
        <v>6</v>
      </c>
      <c r="L41" s="14" t="str">
        <f>VLOOKUP($C41,Sheet1!$A$2:$E$10,5,0)</f>
        <v>Bin</v>
      </c>
      <c r="M41" s="14">
        <f t="shared" ref="M41:M43" si="6">J41/K41</f>
        <v>5</v>
      </c>
      <c r="N41" s="2"/>
      <c r="O41" s="2" t="s">
        <v>121</v>
      </c>
      <c r="P41" s="2" t="s">
        <v>1858</v>
      </c>
    </row>
    <row r="42" spans="1:16" x14ac:dyDescent="0.25">
      <c r="A42" s="17" t="s">
        <v>1742</v>
      </c>
      <c r="B42" s="2" t="s">
        <v>1720</v>
      </c>
      <c r="C42" s="2" t="s">
        <v>32</v>
      </c>
      <c r="D42" s="2" t="str">
        <f>VLOOKUP($C42,Sheet1!$A$2:$D$10,2,0)</f>
        <v>114010-50820</v>
      </c>
      <c r="E42" s="8" t="s">
        <v>98</v>
      </c>
      <c r="F42" s="12">
        <v>46052</v>
      </c>
      <c r="G42" s="13">
        <v>0.4375</v>
      </c>
      <c r="H42" s="2" t="s">
        <v>91</v>
      </c>
      <c r="I42" s="2" t="s">
        <v>54</v>
      </c>
      <c r="J42" s="2">
        <v>16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si="6"/>
        <v>16</v>
      </c>
      <c r="N42" s="2"/>
      <c r="O42" s="2" t="s">
        <v>121</v>
      </c>
      <c r="P42" s="2" t="s">
        <v>724</v>
      </c>
    </row>
    <row r="43" spans="1:16" x14ac:dyDescent="0.25">
      <c r="A43" s="17" t="s">
        <v>1742</v>
      </c>
      <c r="B43" s="2" t="s">
        <v>1730</v>
      </c>
      <c r="C43" s="2" t="s">
        <v>29</v>
      </c>
      <c r="D43" s="2" t="str">
        <f>VLOOKUP($C43,Sheet1!$A$2:$D$10,2,0)</f>
        <v>114010-50830</v>
      </c>
      <c r="E43" s="8" t="s">
        <v>98</v>
      </c>
      <c r="F43" s="12">
        <v>46052</v>
      </c>
      <c r="G43" s="13">
        <v>0.4375</v>
      </c>
      <c r="H43" s="2" t="s">
        <v>91</v>
      </c>
      <c r="I43" s="2" t="s">
        <v>54</v>
      </c>
      <c r="J43" s="2">
        <v>16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6"/>
        <v>16</v>
      </c>
      <c r="N43" s="2"/>
      <c r="O43" s="2" t="s">
        <v>121</v>
      </c>
      <c r="P43" s="2" t="s">
        <v>1859</v>
      </c>
    </row>
    <row r="44" spans="1:16" s="11" customForma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>
        <v>69</v>
      </c>
      <c r="N44" s="10">
        <v>6</v>
      </c>
      <c r="O44" s="10"/>
      <c r="P44" s="10"/>
    </row>
    <row r="45" spans="1:16" x14ac:dyDescent="0.25">
      <c r="A45" s="17" t="s">
        <v>1743</v>
      </c>
      <c r="B45" s="2" t="s">
        <v>1658</v>
      </c>
      <c r="C45" s="2" t="s">
        <v>5</v>
      </c>
      <c r="D45" s="2" t="str">
        <f>VLOOKUP($C45,Sheet1!$A$2:$D$10,2,0)</f>
        <v>141110-14600</v>
      </c>
      <c r="E45" s="8" t="s">
        <v>52</v>
      </c>
      <c r="F45" s="12">
        <v>46052</v>
      </c>
      <c r="G45" s="13">
        <v>0.52083333333333337</v>
      </c>
      <c r="H45" s="2" t="s">
        <v>53</v>
      </c>
      <c r="I45" s="2" t="s">
        <v>54</v>
      </c>
      <c r="J45" s="2">
        <v>36</v>
      </c>
      <c r="K45" s="14">
        <f>VLOOKUP($C45,Sheet1!$A$2:$D$10,4,0)</f>
        <v>18</v>
      </c>
      <c r="L45" s="14" t="str">
        <f>VLOOKUP($C45,Sheet1!$A$2:$E$10,5,0)</f>
        <v>Trolley (H)</v>
      </c>
      <c r="M45" s="14"/>
      <c r="N45" s="52">
        <v>2</v>
      </c>
      <c r="O45" s="2" t="s">
        <v>122</v>
      </c>
      <c r="P45" s="2"/>
    </row>
    <row r="46" spans="1:16" x14ac:dyDescent="0.25">
      <c r="A46" s="17" t="s">
        <v>1743</v>
      </c>
      <c r="B46" s="2" t="s">
        <v>1667</v>
      </c>
      <c r="C46" s="2" t="s">
        <v>9</v>
      </c>
      <c r="D46" s="2" t="str">
        <f>VLOOKUP($C46,Sheet1!$A$2:$D$10,2,0)</f>
        <v>141120-14600</v>
      </c>
      <c r="E46" s="8" t="s">
        <v>60</v>
      </c>
      <c r="F46" s="12">
        <v>46052</v>
      </c>
      <c r="G46" s="13">
        <v>0.52083333333333337</v>
      </c>
      <c r="H46" s="2" t="s">
        <v>53</v>
      </c>
      <c r="I46" s="2" t="s">
        <v>54</v>
      </c>
      <c r="J46" s="2">
        <v>36</v>
      </c>
      <c r="K46" s="14">
        <f>VLOOKUP($C46,Sheet1!$A$2:$D$10,4,0)</f>
        <v>18</v>
      </c>
      <c r="L46" s="14" t="str">
        <f>VLOOKUP($C46,Sheet1!$A$2:$E$10,5,0)</f>
        <v>Trolley (H)</v>
      </c>
      <c r="M46" s="14"/>
      <c r="N46" s="53"/>
      <c r="O46" s="2" t="s">
        <v>122</v>
      </c>
      <c r="P46" s="2"/>
    </row>
    <row r="47" spans="1:16" x14ac:dyDescent="0.25">
      <c r="A47" s="17" t="s">
        <v>1743</v>
      </c>
      <c r="B47" s="2" t="s">
        <v>1676</v>
      </c>
      <c r="C47" s="2" t="s">
        <v>12</v>
      </c>
      <c r="D47" s="2" t="str">
        <f>VLOOKUP($C47,Sheet1!$A$2:$D$10,2,0)</f>
        <v>141185-74670</v>
      </c>
      <c r="E47" s="8" t="s">
        <v>66</v>
      </c>
      <c r="F47" s="12">
        <v>46052</v>
      </c>
      <c r="G47" s="13">
        <v>0.52083333333333337</v>
      </c>
      <c r="H47" s="2" t="s">
        <v>53</v>
      </c>
      <c r="I47" s="2" t="s">
        <v>54</v>
      </c>
      <c r="J47" s="2">
        <v>80</v>
      </c>
      <c r="K47" s="14">
        <f>VLOOKUP($C47,Sheet1!$A$2:$D$10,4,0)</f>
        <v>40</v>
      </c>
      <c r="L47" s="14" t="str">
        <f>VLOOKUP($C47,Sheet1!$A$2:$E$10,5,0)</f>
        <v>Trolley</v>
      </c>
      <c r="M47" s="14"/>
      <c r="N47" s="2">
        <f>J47/K47</f>
        <v>2</v>
      </c>
      <c r="O47" s="2" t="s">
        <v>122</v>
      </c>
      <c r="P47" s="2">
        <v>910107517</v>
      </c>
    </row>
    <row r="48" spans="1:16" x14ac:dyDescent="0.25">
      <c r="A48" s="17" t="s">
        <v>1743</v>
      </c>
      <c r="B48" s="2" t="s">
        <v>1685</v>
      </c>
      <c r="C48" s="2" t="s">
        <v>16</v>
      </c>
      <c r="D48" s="2" t="str">
        <f>VLOOKUP($C48,Sheet1!$A$2:$D$10,2,0)</f>
        <v>141140-91211</v>
      </c>
      <c r="E48" s="8" t="s">
        <v>70</v>
      </c>
      <c r="F48" s="12">
        <v>46052</v>
      </c>
      <c r="G48" s="13">
        <v>0.52083333333333337</v>
      </c>
      <c r="H48" s="2" t="s">
        <v>71</v>
      </c>
      <c r="I48" s="2" t="s">
        <v>54</v>
      </c>
      <c r="J48" s="2">
        <v>48</v>
      </c>
      <c r="K48" s="14">
        <f>VLOOKUP($C48,Sheet1!$A$2:$D$10,4,0)</f>
        <v>2</v>
      </c>
      <c r="L48" s="14" t="str">
        <f>VLOOKUP($C48,Sheet1!$A$2:$E$10,5,0)</f>
        <v>Bin</v>
      </c>
      <c r="M48" s="14">
        <f t="shared" ref="M48:M49" si="7">J48/K48</f>
        <v>24</v>
      </c>
      <c r="N48" s="2"/>
      <c r="O48" s="2" t="s">
        <v>122</v>
      </c>
      <c r="P48" s="2" t="s">
        <v>1857</v>
      </c>
    </row>
    <row r="49" spans="1:16" x14ac:dyDescent="0.25">
      <c r="A49" s="17" t="s">
        <v>1743</v>
      </c>
      <c r="B49" s="2" t="s">
        <v>1694</v>
      </c>
      <c r="C49" s="2" t="s">
        <v>20</v>
      </c>
      <c r="D49" s="2" t="str">
        <f>VLOOKUP($C49,Sheet1!$A$2:$D$10,2,0)</f>
        <v>141150-91211</v>
      </c>
      <c r="E49" s="8" t="s">
        <v>78</v>
      </c>
      <c r="F49" s="12">
        <v>46052</v>
      </c>
      <c r="G49" s="13">
        <v>0.52083333333333337</v>
      </c>
      <c r="H49" s="2" t="s">
        <v>71</v>
      </c>
      <c r="I49" s="2" t="s">
        <v>54</v>
      </c>
      <c r="J49" s="2">
        <v>48</v>
      </c>
      <c r="K49" s="14">
        <f>VLOOKUP($C49,Sheet1!$A$2:$D$10,4,0)</f>
        <v>2</v>
      </c>
      <c r="L49" s="14" t="str">
        <f>VLOOKUP($C49,Sheet1!$A$2:$E$10,5,0)</f>
        <v>Bin</v>
      </c>
      <c r="M49" s="14">
        <f t="shared" si="7"/>
        <v>24</v>
      </c>
      <c r="N49" s="2"/>
      <c r="O49" s="2" t="s">
        <v>122</v>
      </c>
      <c r="P49" s="2" t="s">
        <v>1857</v>
      </c>
    </row>
    <row r="50" spans="1:16" x14ac:dyDescent="0.25">
      <c r="A50" s="17" t="s">
        <v>1743</v>
      </c>
      <c r="B50" s="2" t="s">
        <v>1703</v>
      </c>
      <c r="C50" s="2" t="s">
        <v>23</v>
      </c>
      <c r="D50" s="2" t="str">
        <f>VLOOKUP($C50,Sheet1!$A$2:$D$10,2,0)</f>
        <v>141186-74360</v>
      </c>
      <c r="E50" s="8" t="s">
        <v>85</v>
      </c>
      <c r="F50" s="12">
        <v>46052</v>
      </c>
      <c r="G50" s="13">
        <v>0.52083333333333337</v>
      </c>
      <c r="H50" s="2" t="s">
        <v>71</v>
      </c>
      <c r="I50" s="2" t="s">
        <v>54</v>
      </c>
      <c r="J50" s="2">
        <v>80</v>
      </c>
      <c r="K50" s="14">
        <f>VLOOKUP($C50,Sheet1!$A$2:$D$10,4,0)</f>
        <v>40</v>
      </c>
      <c r="L50" s="14" t="str">
        <f>VLOOKUP($C50,Sheet1!$A$2:$E$10,5,0)</f>
        <v>Trolley</v>
      </c>
      <c r="M50" s="14"/>
      <c r="N50" s="2">
        <f>J50/K50</f>
        <v>2</v>
      </c>
      <c r="O50" s="2" t="s">
        <v>122</v>
      </c>
      <c r="P50" s="2">
        <v>910107518</v>
      </c>
    </row>
    <row r="51" spans="1:16" x14ac:dyDescent="0.25">
      <c r="A51" s="17" t="s">
        <v>1744</v>
      </c>
      <c r="B51" s="2" t="s">
        <v>1712</v>
      </c>
      <c r="C51" s="2" t="s">
        <v>26</v>
      </c>
      <c r="D51" s="2" t="str">
        <f>VLOOKUP($C51,Sheet1!$A$2:$D$10,2,0)</f>
        <v>116040-92240</v>
      </c>
      <c r="E51" s="8" t="s">
        <v>90</v>
      </c>
      <c r="F51" s="12">
        <v>46052</v>
      </c>
      <c r="G51" s="13">
        <v>0.52083333333333337</v>
      </c>
      <c r="H51" s="2" t="s">
        <v>91</v>
      </c>
      <c r="I51" s="2" t="s">
        <v>54</v>
      </c>
      <c r="J51" s="2">
        <v>48</v>
      </c>
      <c r="K51" s="14">
        <f>VLOOKUP($C51,Sheet1!$A$2:$D$10,4,0)</f>
        <v>6</v>
      </c>
      <c r="L51" s="14" t="str">
        <f>VLOOKUP($C51,Sheet1!$A$2:$E$10,5,0)</f>
        <v>Bin</v>
      </c>
      <c r="M51" s="14">
        <f t="shared" ref="M51:M53" si="8">J51/K51</f>
        <v>8</v>
      </c>
      <c r="N51" s="2"/>
      <c r="O51" s="2" t="s">
        <v>122</v>
      </c>
      <c r="P51" s="2" t="s">
        <v>1858</v>
      </c>
    </row>
    <row r="52" spans="1:16" x14ac:dyDescent="0.25">
      <c r="A52" s="17" t="s">
        <v>1744</v>
      </c>
      <c r="B52" s="2" t="s">
        <v>1721</v>
      </c>
      <c r="C52" s="2" t="s">
        <v>32</v>
      </c>
      <c r="D52" s="2" t="str">
        <f>VLOOKUP($C52,Sheet1!$A$2:$D$10,2,0)</f>
        <v>114010-50820</v>
      </c>
      <c r="E52" s="8" t="s">
        <v>98</v>
      </c>
      <c r="F52" s="12">
        <v>46052</v>
      </c>
      <c r="G52" s="13">
        <v>0.52083333333333337</v>
      </c>
      <c r="H52" s="2" t="s">
        <v>91</v>
      </c>
      <c r="I52" s="2" t="s">
        <v>54</v>
      </c>
      <c r="J52" s="2">
        <v>25</v>
      </c>
      <c r="K52" s="14">
        <f>VLOOKUP($C52,Sheet1!$A$2:$D$10,4,0)</f>
        <v>1</v>
      </c>
      <c r="L52" s="14" t="str">
        <f>VLOOKUP($C52,Sheet1!$A$2:$E$10,5,0)</f>
        <v>Bin</v>
      </c>
      <c r="M52" s="14">
        <f t="shared" si="8"/>
        <v>25</v>
      </c>
      <c r="N52" s="2"/>
      <c r="O52" s="2" t="s">
        <v>122</v>
      </c>
      <c r="P52" s="2" t="s">
        <v>724</v>
      </c>
    </row>
    <row r="53" spans="1:16" x14ac:dyDescent="0.25">
      <c r="A53" s="17" t="s">
        <v>1744</v>
      </c>
      <c r="B53" s="2" t="s">
        <v>1731</v>
      </c>
      <c r="C53" s="2" t="s">
        <v>29</v>
      </c>
      <c r="D53" s="2" t="str">
        <f>VLOOKUP($C53,Sheet1!$A$2:$D$10,2,0)</f>
        <v>114010-50830</v>
      </c>
      <c r="E53" s="8" t="s">
        <v>98</v>
      </c>
      <c r="F53" s="12">
        <v>46052</v>
      </c>
      <c r="G53" s="13">
        <v>0.52083333333333337</v>
      </c>
      <c r="H53" s="2" t="s">
        <v>91</v>
      </c>
      <c r="I53" s="2" t="s">
        <v>54</v>
      </c>
      <c r="J53" s="2">
        <v>23</v>
      </c>
      <c r="K53" s="14">
        <f>VLOOKUP($C53,Sheet1!$A$2:$D$10,4,0)</f>
        <v>1</v>
      </c>
      <c r="L53" s="14" t="str">
        <f>VLOOKUP($C53,Sheet1!$A$2:$E$10,5,0)</f>
        <v>Bin</v>
      </c>
      <c r="M53" s="14">
        <f t="shared" si="8"/>
        <v>23</v>
      </c>
      <c r="N53" s="2"/>
      <c r="O53" s="2" t="s">
        <v>122</v>
      </c>
      <c r="P53" s="2" t="s">
        <v>1859</v>
      </c>
    </row>
    <row r="54" spans="1:16" s="11" customForma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>
        <v>104</v>
      </c>
      <c r="N54" s="10">
        <v>6</v>
      </c>
      <c r="O54" s="10"/>
      <c r="P54" s="10"/>
    </row>
    <row r="55" spans="1:16" x14ac:dyDescent="0.25">
      <c r="A55" s="17" t="s">
        <v>1745</v>
      </c>
      <c r="B55" s="2" t="s">
        <v>1659</v>
      </c>
      <c r="C55" s="2" t="s">
        <v>5</v>
      </c>
      <c r="D55" s="2" t="str">
        <f>VLOOKUP($C55,Sheet1!$A$2:$D$10,2,0)</f>
        <v>141110-14600</v>
      </c>
      <c r="E55" s="8" t="s">
        <v>52</v>
      </c>
      <c r="F55" s="12">
        <v>46052</v>
      </c>
      <c r="G55" s="13">
        <v>0.64583333333333337</v>
      </c>
      <c r="H55" s="2" t="s">
        <v>53</v>
      </c>
      <c r="I55" s="2" t="s">
        <v>54</v>
      </c>
      <c r="J55" s="2">
        <v>54</v>
      </c>
      <c r="K55" s="14">
        <f>VLOOKUP($C55,Sheet1!$A$2:$D$10,4,0)</f>
        <v>18</v>
      </c>
      <c r="L55" s="14" t="str">
        <f>VLOOKUP($C55,Sheet1!$A$2:$E$10,5,0)</f>
        <v>Trolley (H)</v>
      </c>
      <c r="M55" s="14"/>
      <c r="N55" s="52">
        <v>3</v>
      </c>
      <c r="O55" s="2" t="s">
        <v>359</v>
      </c>
      <c r="P55" s="2" t="s">
        <v>1860</v>
      </c>
    </row>
    <row r="56" spans="1:16" x14ac:dyDescent="0.25">
      <c r="A56" s="17" t="s">
        <v>1745</v>
      </c>
      <c r="B56" s="2" t="s">
        <v>1668</v>
      </c>
      <c r="C56" s="2" t="s">
        <v>9</v>
      </c>
      <c r="D56" s="2" t="str">
        <f>VLOOKUP($C56,Sheet1!$A$2:$D$10,2,0)</f>
        <v>141120-14600</v>
      </c>
      <c r="E56" s="8" t="s">
        <v>60</v>
      </c>
      <c r="F56" s="12">
        <v>46052</v>
      </c>
      <c r="G56" s="13">
        <v>0.64583333333333337</v>
      </c>
      <c r="H56" s="2" t="s">
        <v>53</v>
      </c>
      <c r="I56" s="2" t="s">
        <v>54</v>
      </c>
      <c r="J56" s="2">
        <v>54</v>
      </c>
      <c r="K56" s="14">
        <f>VLOOKUP($C56,Sheet1!$A$2:$D$10,4,0)</f>
        <v>18</v>
      </c>
      <c r="L56" s="14" t="str">
        <f>VLOOKUP($C56,Sheet1!$A$2:$E$10,5,0)</f>
        <v>Trolley (H)</v>
      </c>
      <c r="M56" s="14"/>
      <c r="N56" s="53"/>
      <c r="O56" s="2" t="s">
        <v>359</v>
      </c>
      <c r="P56" s="2" t="s">
        <v>1860</v>
      </c>
    </row>
    <row r="57" spans="1:16" x14ac:dyDescent="0.25">
      <c r="A57" s="17" t="s">
        <v>1745</v>
      </c>
      <c r="B57" s="2" t="s">
        <v>1677</v>
      </c>
      <c r="C57" s="2" t="s">
        <v>12</v>
      </c>
      <c r="D57" s="2" t="str">
        <f>VLOOKUP($C57,Sheet1!$A$2:$D$10,2,0)</f>
        <v>141185-74670</v>
      </c>
      <c r="E57" s="8" t="s">
        <v>66</v>
      </c>
      <c r="F57" s="12">
        <v>46052</v>
      </c>
      <c r="G57" s="13">
        <v>0.64583333333333337</v>
      </c>
      <c r="H57" s="2" t="s">
        <v>53</v>
      </c>
      <c r="I57" s="2" t="s">
        <v>54</v>
      </c>
      <c r="J57" s="2">
        <v>120</v>
      </c>
      <c r="K57" s="14">
        <f>VLOOKUP($C57,Sheet1!$A$2:$D$10,4,0)</f>
        <v>40</v>
      </c>
      <c r="L57" s="14" t="str">
        <f>VLOOKUP($C57,Sheet1!$A$2:$E$10,5,0)</f>
        <v>Trolley</v>
      </c>
      <c r="M57" s="14"/>
      <c r="N57" s="2">
        <f>J57/K57</f>
        <v>3</v>
      </c>
      <c r="O57" s="2" t="s">
        <v>359</v>
      </c>
      <c r="P57" s="2">
        <v>910107517</v>
      </c>
    </row>
    <row r="58" spans="1:16" x14ac:dyDescent="0.25">
      <c r="A58" s="17" t="s">
        <v>1745</v>
      </c>
      <c r="B58" s="2" t="s">
        <v>1686</v>
      </c>
      <c r="C58" s="2" t="s">
        <v>16</v>
      </c>
      <c r="D58" s="2" t="str">
        <f>VLOOKUP($C58,Sheet1!$A$2:$D$10,2,0)</f>
        <v>141140-91211</v>
      </c>
      <c r="E58" s="8" t="s">
        <v>70</v>
      </c>
      <c r="F58" s="12">
        <v>46052</v>
      </c>
      <c r="G58" s="13">
        <v>0.64583333333333337</v>
      </c>
      <c r="H58" s="2" t="s">
        <v>71</v>
      </c>
      <c r="I58" s="2" t="s">
        <v>54</v>
      </c>
      <c r="J58" s="2">
        <v>48</v>
      </c>
      <c r="K58" s="14">
        <f>VLOOKUP($C58,Sheet1!$A$2:$D$10,4,0)</f>
        <v>2</v>
      </c>
      <c r="L58" s="14" t="str">
        <f>VLOOKUP($C58,Sheet1!$A$2:$E$10,5,0)</f>
        <v>Bin</v>
      </c>
      <c r="M58" s="14">
        <f t="shared" ref="M58:M59" si="9">J58/K58</f>
        <v>24</v>
      </c>
      <c r="N58" s="2"/>
      <c r="O58" s="2" t="s">
        <v>359</v>
      </c>
      <c r="P58" s="2" t="s">
        <v>1857</v>
      </c>
    </row>
    <row r="59" spans="1:16" x14ac:dyDescent="0.25">
      <c r="A59" s="17" t="s">
        <v>1745</v>
      </c>
      <c r="B59" s="2" t="s">
        <v>1695</v>
      </c>
      <c r="C59" s="2" t="s">
        <v>20</v>
      </c>
      <c r="D59" s="2" t="str">
        <f>VLOOKUP($C59,Sheet1!$A$2:$D$10,2,0)</f>
        <v>141150-91211</v>
      </c>
      <c r="E59" s="8" t="s">
        <v>78</v>
      </c>
      <c r="F59" s="12">
        <v>46052</v>
      </c>
      <c r="G59" s="13">
        <v>0.64583333333333337</v>
      </c>
      <c r="H59" s="2" t="s">
        <v>71</v>
      </c>
      <c r="I59" s="2" t="s">
        <v>54</v>
      </c>
      <c r="J59" s="2">
        <v>48</v>
      </c>
      <c r="K59" s="14">
        <f>VLOOKUP($C59,Sheet1!$A$2:$D$10,4,0)</f>
        <v>2</v>
      </c>
      <c r="L59" s="14" t="str">
        <f>VLOOKUP($C59,Sheet1!$A$2:$E$10,5,0)</f>
        <v>Bin</v>
      </c>
      <c r="M59" s="14">
        <f t="shared" si="9"/>
        <v>24</v>
      </c>
      <c r="N59" s="2"/>
      <c r="O59" s="2" t="s">
        <v>359</v>
      </c>
      <c r="P59" s="2" t="s">
        <v>1857</v>
      </c>
    </row>
    <row r="60" spans="1:16" x14ac:dyDescent="0.25">
      <c r="A60" s="17" t="s">
        <v>1745</v>
      </c>
      <c r="B60" s="2" t="s">
        <v>1704</v>
      </c>
      <c r="C60" s="2" t="s">
        <v>23</v>
      </c>
      <c r="D60" s="2" t="str">
        <f>VLOOKUP($C60,Sheet1!$A$2:$D$10,2,0)</f>
        <v>141186-74360</v>
      </c>
      <c r="E60" s="8" t="s">
        <v>85</v>
      </c>
      <c r="F60" s="12">
        <v>46052</v>
      </c>
      <c r="G60" s="13">
        <v>0.64583333333333337</v>
      </c>
      <c r="H60" s="2" t="s">
        <v>71</v>
      </c>
      <c r="I60" s="2" t="s">
        <v>54</v>
      </c>
      <c r="J60" s="2">
        <v>120</v>
      </c>
      <c r="K60" s="14">
        <f>VLOOKUP($C60,Sheet1!$A$2:$D$10,4,0)</f>
        <v>40</v>
      </c>
      <c r="L60" s="14" t="str">
        <f>VLOOKUP($C60,Sheet1!$A$2:$E$10,5,0)</f>
        <v>Trolley</v>
      </c>
      <c r="M60" s="14"/>
      <c r="N60" s="2">
        <f>J60/K60</f>
        <v>3</v>
      </c>
      <c r="O60" s="2" t="s">
        <v>359</v>
      </c>
      <c r="P60" s="2">
        <v>910107700</v>
      </c>
    </row>
    <row r="61" spans="1:16" x14ac:dyDescent="0.25">
      <c r="A61" s="17" t="s">
        <v>1746</v>
      </c>
      <c r="B61" s="2" t="s">
        <v>1713</v>
      </c>
      <c r="C61" s="2" t="s">
        <v>26</v>
      </c>
      <c r="D61" s="2" t="str">
        <f>VLOOKUP($C61,Sheet1!$A$2:$D$10,2,0)</f>
        <v>116040-92240</v>
      </c>
      <c r="E61" s="8" t="s">
        <v>90</v>
      </c>
      <c r="F61" s="12">
        <v>46052</v>
      </c>
      <c r="G61" s="13">
        <v>0.64583333333333337</v>
      </c>
      <c r="H61" s="2" t="s">
        <v>91</v>
      </c>
      <c r="I61" s="2" t="s">
        <v>54</v>
      </c>
      <c r="J61" s="2">
        <v>48</v>
      </c>
      <c r="K61" s="14">
        <f>VLOOKUP($C61,Sheet1!$A$2:$D$10,4,0)</f>
        <v>6</v>
      </c>
      <c r="L61" s="14" t="str">
        <f>VLOOKUP($C61,Sheet1!$A$2:$E$10,5,0)</f>
        <v>Bin</v>
      </c>
      <c r="M61" s="14">
        <f t="shared" ref="M61:M63" si="10">J61/K61</f>
        <v>8</v>
      </c>
      <c r="N61" s="2"/>
      <c r="O61" s="2" t="s">
        <v>359</v>
      </c>
      <c r="P61" s="2" t="s">
        <v>1858</v>
      </c>
    </row>
    <row r="62" spans="1:16" x14ac:dyDescent="0.25">
      <c r="A62" s="17" t="s">
        <v>1746</v>
      </c>
      <c r="B62" s="2" t="s">
        <v>1722</v>
      </c>
      <c r="C62" s="2" t="s">
        <v>32</v>
      </c>
      <c r="D62" s="2" t="str">
        <f>VLOOKUP($C62,Sheet1!$A$2:$D$10,2,0)</f>
        <v>114010-50820</v>
      </c>
      <c r="E62" s="8" t="s">
        <v>98</v>
      </c>
      <c r="F62" s="12">
        <v>46052</v>
      </c>
      <c r="G62" s="13">
        <v>0.64583333333333337</v>
      </c>
      <c r="H62" s="2" t="s">
        <v>91</v>
      </c>
      <c r="I62" s="2" t="s">
        <v>54</v>
      </c>
      <c r="J62" s="2">
        <v>24</v>
      </c>
      <c r="K62" s="14">
        <f>VLOOKUP($C62,Sheet1!$A$2:$D$10,4,0)</f>
        <v>1</v>
      </c>
      <c r="L62" s="14" t="str">
        <f>VLOOKUP($C62,Sheet1!$A$2:$E$10,5,0)</f>
        <v>Bin</v>
      </c>
      <c r="M62" s="14">
        <f t="shared" si="10"/>
        <v>24</v>
      </c>
      <c r="N62" s="2"/>
      <c r="O62" s="2" t="s">
        <v>359</v>
      </c>
      <c r="P62" s="2" t="s">
        <v>724</v>
      </c>
    </row>
    <row r="63" spans="1:16" x14ac:dyDescent="0.25">
      <c r="A63" s="17" t="s">
        <v>1746</v>
      </c>
      <c r="B63" s="2" t="s">
        <v>1732</v>
      </c>
      <c r="C63" s="2" t="s">
        <v>29</v>
      </c>
      <c r="D63" s="2" t="str">
        <f>VLOOKUP($C63,Sheet1!$A$2:$D$10,2,0)</f>
        <v>114010-50830</v>
      </c>
      <c r="E63" s="8" t="s">
        <v>98</v>
      </c>
      <c r="F63" s="12">
        <v>46052</v>
      </c>
      <c r="G63" s="13">
        <v>0.64583333333333337</v>
      </c>
      <c r="H63" s="2" t="s">
        <v>91</v>
      </c>
      <c r="I63" s="2" t="s">
        <v>54</v>
      </c>
      <c r="J63" s="2">
        <v>23</v>
      </c>
      <c r="K63" s="14">
        <f>VLOOKUP($C63,Sheet1!$A$2:$D$10,4,0)</f>
        <v>1</v>
      </c>
      <c r="L63" s="14" t="str">
        <f>VLOOKUP($C63,Sheet1!$A$2:$E$10,5,0)</f>
        <v>Bin</v>
      </c>
      <c r="M63" s="14">
        <f t="shared" si="10"/>
        <v>23</v>
      </c>
      <c r="N63" s="2"/>
      <c r="O63" s="2" t="s">
        <v>359</v>
      </c>
      <c r="P63" s="2" t="s">
        <v>1859</v>
      </c>
    </row>
    <row r="64" spans="1:16" s="11" customForma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>
        <v>103</v>
      </c>
      <c r="N64" s="10">
        <v>9</v>
      </c>
      <c r="O64" s="10"/>
      <c r="P64" s="10"/>
    </row>
    <row r="65" spans="1:16" x14ac:dyDescent="0.25">
      <c r="A65" s="17" t="s">
        <v>1747</v>
      </c>
      <c r="B65" s="2" t="s">
        <v>1660</v>
      </c>
      <c r="C65" s="2" t="s">
        <v>5</v>
      </c>
      <c r="D65" s="2" t="str">
        <f>VLOOKUP($C65,Sheet1!$A$2:$D$10,2,0)</f>
        <v>141110-14600</v>
      </c>
      <c r="E65" s="8" t="s">
        <v>52</v>
      </c>
      <c r="F65" s="12">
        <v>46052</v>
      </c>
      <c r="G65" s="13">
        <v>0.77083333333333337</v>
      </c>
      <c r="H65" s="2" t="s">
        <v>53</v>
      </c>
      <c r="I65" s="2" t="s">
        <v>54</v>
      </c>
      <c r="J65" s="2">
        <v>36</v>
      </c>
      <c r="K65" s="14">
        <f>VLOOKUP($C65,Sheet1!$A$2:$D$10,4,0)</f>
        <v>18</v>
      </c>
      <c r="L65" s="14" t="str">
        <f>VLOOKUP($C65,Sheet1!$A$2:$E$10,5,0)</f>
        <v>Trolley (H)</v>
      </c>
      <c r="M65" s="14"/>
      <c r="N65" s="52">
        <v>2</v>
      </c>
      <c r="O65" s="2" t="s">
        <v>119</v>
      </c>
      <c r="P65" s="2" t="s">
        <v>1860</v>
      </c>
    </row>
    <row r="66" spans="1:16" x14ac:dyDescent="0.25">
      <c r="A66" s="17" t="s">
        <v>1747</v>
      </c>
      <c r="B66" s="2" t="s">
        <v>1669</v>
      </c>
      <c r="C66" s="2" t="s">
        <v>9</v>
      </c>
      <c r="D66" s="2" t="str">
        <f>VLOOKUP($C66,Sheet1!$A$2:$D$10,2,0)</f>
        <v>141120-14600</v>
      </c>
      <c r="E66" s="8" t="s">
        <v>60</v>
      </c>
      <c r="F66" s="12">
        <v>46052</v>
      </c>
      <c r="G66" s="13">
        <v>0.77083333333333337</v>
      </c>
      <c r="H66" s="2" t="s">
        <v>53</v>
      </c>
      <c r="I66" s="2" t="s">
        <v>54</v>
      </c>
      <c r="J66" s="2">
        <v>36</v>
      </c>
      <c r="K66" s="14">
        <f>VLOOKUP($C66,Sheet1!$A$2:$D$10,4,0)</f>
        <v>18</v>
      </c>
      <c r="L66" s="14" t="str">
        <f>VLOOKUP($C66,Sheet1!$A$2:$E$10,5,0)</f>
        <v>Trolley (H)</v>
      </c>
      <c r="M66" s="14"/>
      <c r="N66" s="53"/>
      <c r="O66" s="2" t="s">
        <v>119</v>
      </c>
      <c r="P66" s="2" t="s">
        <v>1860</v>
      </c>
    </row>
    <row r="67" spans="1:16" x14ac:dyDescent="0.25">
      <c r="A67" s="17" t="s">
        <v>1747</v>
      </c>
      <c r="B67" s="2" t="s">
        <v>1678</v>
      </c>
      <c r="C67" s="2" t="s">
        <v>12</v>
      </c>
      <c r="D67" s="2" t="str">
        <f>VLOOKUP($C67,Sheet1!$A$2:$D$10,2,0)</f>
        <v>141185-74670</v>
      </c>
      <c r="E67" s="8" t="s">
        <v>66</v>
      </c>
      <c r="F67" s="12">
        <v>46052</v>
      </c>
      <c r="G67" s="13">
        <v>0.77083333333333337</v>
      </c>
      <c r="H67" s="2" t="s">
        <v>53</v>
      </c>
      <c r="I67" s="2" t="s">
        <v>54</v>
      </c>
      <c r="J67" s="2">
        <v>80</v>
      </c>
      <c r="K67" s="14">
        <f>VLOOKUP($C67,Sheet1!$A$2:$D$10,4,0)</f>
        <v>40</v>
      </c>
      <c r="L67" s="14" t="str">
        <f>VLOOKUP($C67,Sheet1!$A$2:$E$10,5,0)</f>
        <v>Trolley</v>
      </c>
      <c r="M67" s="14"/>
      <c r="N67" s="2">
        <f>J67/K67</f>
        <v>2</v>
      </c>
      <c r="O67" s="2" t="s">
        <v>119</v>
      </c>
      <c r="P67" s="2">
        <v>910107517</v>
      </c>
    </row>
    <row r="68" spans="1:16" x14ac:dyDescent="0.25">
      <c r="A68" s="17" t="s">
        <v>1747</v>
      </c>
      <c r="B68" s="2" t="s">
        <v>1687</v>
      </c>
      <c r="C68" s="2" t="s">
        <v>16</v>
      </c>
      <c r="D68" s="2" t="str">
        <f>VLOOKUP($C68,Sheet1!$A$2:$D$10,2,0)</f>
        <v>141140-91211</v>
      </c>
      <c r="E68" s="8" t="s">
        <v>70</v>
      </c>
      <c r="F68" s="12">
        <v>46052</v>
      </c>
      <c r="G68" s="13">
        <v>0.77083333333333337</v>
      </c>
      <c r="H68" s="2" t="s">
        <v>71</v>
      </c>
      <c r="I68" s="2" t="s">
        <v>54</v>
      </c>
      <c r="J68" s="2">
        <v>42</v>
      </c>
      <c r="K68" s="14">
        <f>VLOOKUP($C68,Sheet1!$A$2:$D$10,4,0)</f>
        <v>2</v>
      </c>
      <c r="L68" s="14" t="str">
        <f>VLOOKUP($C68,Sheet1!$A$2:$E$10,5,0)</f>
        <v>Bin</v>
      </c>
      <c r="M68" s="14">
        <f t="shared" ref="M68:M69" si="11">J68/K68</f>
        <v>21</v>
      </c>
      <c r="N68" s="2"/>
      <c r="O68" s="2" t="s">
        <v>119</v>
      </c>
      <c r="P68" s="2" t="s">
        <v>1857</v>
      </c>
    </row>
    <row r="69" spans="1:16" x14ac:dyDescent="0.25">
      <c r="A69" s="17" t="s">
        <v>1747</v>
      </c>
      <c r="B69" s="2" t="s">
        <v>1696</v>
      </c>
      <c r="C69" s="2" t="s">
        <v>20</v>
      </c>
      <c r="D69" s="2" t="str">
        <f>VLOOKUP($C69,Sheet1!$A$2:$D$10,2,0)</f>
        <v>141150-91211</v>
      </c>
      <c r="E69" s="8" t="s">
        <v>78</v>
      </c>
      <c r="F69" s="12">
        <v>46052</v>
      </c>
      <c r="G69" s="13">
        <v>0.77083333333333337</v>
      </c>
      <c r="H69" s="2" t="s">
        <v>71</v>
      </c>
      <c r="I69" s="2" t="s">
        <v>54</v>
      </c>
      <c r="J69" s="2">
        <v>42</v>
      </c>
      <c r="K69" s="14">
        <f>VLOOKUP($C69,Sheet1!$A$2:$D$10,4,0)</f>
        <v>2</v>
      </c>
      <c r="L69" s="14" t="str">
        <f>VLOOKUP($C69,Sheet1!$A$2:$E$10,5,0)</f>
        <v>Bin</v>
      </c>
      <c r="M69" s="14">
        <f t="shared" si="11"/>
        <v>21</v>
      </c>
      <c r="N69" s="2"/>
      <c r="O69" s="2" t="s">
        <v>119</v>
      </c>
      <c r="P69" s="2" t="s">
        <v>1857</v>
      </c>
    </row>
    <row r="70" spans="1:16" x14ac:dyDescent="0.25">
      <c r="A70" s="17" t="s">
        <v>1747</v>
      </c>
      <c r="B70" s="2" t="s">
        <v>1705</v>
      </c>
      <c r="C70" s="2" t="s">
        <v>23</v>
      </c>
      <c r="D70" s="2" t="str">
        <f>VLOOKUP($C70,Sheet1!$A$2:$D$10,2,0)</f>
        <v>141186-74360</v>
      </c>
      <c r="E70" s="8" t="s">
        <v>85</v>
      </c>
      <c r="F70" s="12">
        <v>46052</v>
      </c>
      <c r="G70" s="13">
        <v>0.77083333333333337</v>
      </c>
      <c r="H70" s="2" t="s">
        <v>71</v>
      </c>
      <c r="I70" s="2" t="s">
        <v>54</v>
      </c>
      <c r="J70" s="2">
        <v>80</v>
      </c>
      <c r="K70" s="14">
        <f>VLOOKUP($C70,Sheet1!$A$2:$D$10,4,0)</f>
        <v>40</v>
      </c>
      <c r="L70" s="14" t="str">
        <f>VLOOKUP($C70,Sheet1!$A$2:$E$10,5,0)</f>
        <v>Trolley</v>
      </c>
      <c r="M70" s="14"/>
      <c r="N70" s="2">
        <f>J70/K70</f>
        <v>2</v>
      </c>
      <c r="O70" s="2" t="s">
        <v>119</v>
      </c>
      <c r="P70" s="2">
        <v>910107700</v>
      </c>
    </row>
    <row r="71" spans="1:16" x14ac:dyDescent="0.25">
      <c r="A71" s="17" t="s">
        <v>1841</v>
      </c>
      <c r="B71" s="2" t="s">
        <v>1714</v>
      </c>
      <c r="C71" s="2" t="s">
        <v>26</v>
      </c>
      <c r="D71" s="2" t="str">
        <f>VLOOKUP($C71,Sheet1!$A$2:$D$10,2,0)</f>
        <v>116040-92240</v>
      </c>
      <c r="E71" s="8" t="s">
        <v>90</v>
      </c>
      <c r="F71" s="12">
        <v>46052</v>
      </c>
      <c r="G71" s="13">
        <v>0.77083333333333337</v>
      </c>
      <c r="H71" s="2" t="s">
        <v>91</v>
      </c>
      <c r="I71" s="2" t="s">
        <v>54</v>
      </c>
      <c r="J71" s="2">
        <v>42</v>
      </c>
      <c r="K71" s="14">
        <f>VLOOKUP($C71,Sheet1!$A$2:$D$10,4,0)</f>
        <v>6</v>
      </c>
      <c r="L71" s="14" t="str">
        <f>VLOOKUP($C71,Sheet1!$A$2:$E$10,5,0)</f>
        <v>Bin</v>
      </c>
      <c r="M71" s="14">
        <f>J71/K71</f>
        <v>7</v>
      </c>
      <c r="N71" s="2"/>
      <c r="O71" s="2" t="s">
        <v>119</v>
      </c>
      <c r="P71" s="2" t="s">
        <v>1858</v>
      </c>
    </row>
    <row r="72" spans="1:16" x14ac:dyDescent="0.25">
      <c r="A72" s="17" t="s">
        <v>1841</v>
      </c>
      <c r="B72" s="2" t="s">
        <v>1723</v>
      </c>
      <c r="C72" s="2" t="s">
        <v>32</v>
      </c>
      <c r="D72" s="2" t="str">
        <f>VLOOKUP($C72,Sheet1!$A$2:$D$10,2,0)</f>
        <v>114010-50820</v>
      </c>
      <c r="E72" s="8" t="s">
        <v>98</v>
      </c>
      <c r="F72" s="12">
        <v>46052</v>
      </c>
      <c r="G72" s="13">
        <v>0.77083333333333337</v>
      </c>
      <c r="H72" s="2" t="s">
        <v>91</v>
      </c>
      <c r="I72" s="2" t="s">
        <v>54</v>
      </c>
      <c r="J72" s="2">
        <v>25</v>
      </c>
      <c r="K72" s="14">
        <f>VLOOKUP($C72,Sheet1!$A$2:$D$10,4,0)</f>
        <v>1</v>
      </c>
      <c r="L72" s="14" t="str">
        <f>VLOOKUP($C72,Sheet1!$A$2:$E$10,5,0)</f>
        <v>Bin</v>
      </c>
      <c r="M72" s="14">
        <f t="shared" ref="M72:M73" si="12">J72/K72</f>
        <v>25</v>
      </c>
      <c r="N72" s="2"/>
      <c r="O72" s="2" t="s">
        <v>119</v>
      </c>
      <c r="P72" s="2" t="s">
        <v>724</v>
      </c>
    </row>
    <row r="73" spans="1:16" x14ac:dyDescent="0.25">
      <c r="A73" s="17" t="s">
        <v>1841</v>
      </c>
      <c r="B73" s="2" t="s">
        <v>1733</v>
      </c>
      <c r="C73" s="2" t="s">
        <v>29</v>
      </c>
      <c r="D73" s="2" t="str">
        <f>VLOOKUP($C73,Sheet1!$A$2:$D$10,2,0)</f>
        <v>114010-50830</v>
      </c>
      <c r="E73" s="8" t="s">
        <v>98</v>
      </c>
      <c r="F73" s="12">
        <v>46052</v>
      </c>
      <c r="G73" s="13">
        <v>0.77083333333333337</v>
      </c>
      <c r="H73" s="2" t="s">
        <v>91</v>
      </c>
      <c r="I73" s="2" t="s">
        <v>54</v>
      </c>
      <c r="J73" s="2">
        <v>8</v>
      </c>
      <c r="K73" s="14">
        <f>VLOOKUP($C73,Sheet1!$A$2:$D$10,4,0)</f>
        <v>1</v>
      </c>
      <c r="L73" s="14" t="str">
        <f>VLOOKUP($C73,Sheet1!$A$2:$E$10,5,0)</f>
        <v>Bin</v>
      </c>
      <c r="M73" s="14">
        <f t="shared" si="12"/>
        <v>8</v>
      </c>
      <c r="N73" s="2"/>
      <c r="O73" s="2" t="s">
        <v>119</v>
      </c>
      <c r="P73" s="2" t="s">
        <v>1859</v>
      </c>
    </row>
    <row r="74" spans="1:16" s="11" customForma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>
        <v>82</v>
      </c>
      <c r="N74" s="10">
        <v>6</v>
      </c>
      <c r="O74" s="10"/>
      <c r="P74" s="10"/>
    </row>
    <row r="75" spans="1:16" x14ac:dyDescent="0.25">
      <c r="A75" s="17" t="s">
        <v>1748</v>
      </c>
      <c r="B75" s="50" t="s">
        <v>1661</v>
      </c>
      <c r="C75" s="2" t="s">
        <v>5</v>
      </c>
      <c r="D75" s="2" t="str">
        <f>VLOOKUP($C75,Sheet1!$A$2:$D$10,2,0)</f>
        <v>141110-14600</v>
      </c>
      <c r="E75" s="8" t="s">
        <v>52</v>
      </c>
      <c r="F75" s="12">
        <v>46052</v>
      </c>
      <c r="G75" s="13">
        <v>0.89583333333333337</v>
      </c>
      <c r="H75" s="2" t="s">
        <v>53</v>
      </c>
      <c r="I75" s="2" t="s">
        <v>54</v>
      </c>
      <c r="J75" s="2">
        <v>36</v>
      </c>
      <c r="K75" s="14">
        <f>VLOOKUP($C75,Sheet1!$A$2:$D$10,4,0)</f>
        <v>18</v>
      </c>
      <c r="L75" s="14" t="str">
        <f>VLOOKUP($C75,Sheet1!$A$2:$E$10,5,0)</f>
        <v>Trolley (H)</v>
      </c>
      <c r="M75" s="14"/>
      <c r="N75" s="52">
        <v>2</v>
      </c>
      <c r="O75" s="2" t="s">
        <v>121</v>
      </c>
      <c r="P75" s="2" t="s">
        <v>1860</v>
      </c>
    </row>
    <row r="76" spans="1:16" x14ac:dyDescent="0.25">
      <c r="A76" s="17" t="s">
        <v>1748</v>
      </c>
      <c r="B76" s="50" t="s">
        <v>1670</v>
      </c>
      <c r="C76" s="2" t="s">
        <v>9</v>
      </c>
      <c r="D76" s="2" t="str">
        <f>VLOOKUP($C76,Sheet1!$A$2:$D$10,2,0)</f>
        <v>141120-14600</v>
      </c>
      <c r="E76" s="8" t="s">
        <v>60</v>
      </c>
      <c r="F76" s="12">
        <v>46052</v>
      </c>
      <c r="G76" s="13">
        <v>0.89583333333333337</v>
      </c>
      <c r="H76" s="2" t="s">
        <v>53</v>
      </c>
      <c r="I76" s="2" t="s">
        <v>54</v>
      </c>
      <c r="J76" s="2">
        <v>36</v>
      </c>
      <c r="K76" s="14">
        <f>VLOOKUP($C76,Sheet1!$A$2:$D$10,4,0)</f>
        <v>18</v>
      </c>
      <c r="L76" s="14" t="str">
        <f>VLOOKUP($C76,Sheet1!$A$2:$E$10,5,0)</f>
        <v>Trolley (H)</v>
      </c>
      <c r="M76" s="14"/>
      <c r="N76" s="53"/>
      <c r="O76" s="2" t="s">
        <v>121</v>
      </c>
      <c r="P76" s="2" t="s">
        <v>1860</v>
      </c>
    </row>
    <row r="77" spans="1:16" x14ac:dyDescent="0.25">
      <c r="A77" s="17" t="s">
        <v>1748</v>
      </c>
      <c r="B77" s="50" t="s">
        <v>1679</v>
      </c>
      <c r="C77" s="2" t="s">
        <v>12</v>
      </c>
      <c r="D77" s="2" t="str">
        <f>VLOOKUP($C77,Sheet1!$A$2:$D$10,2,0)</f>
        <v>141185-74670</v>
      </c>
      <c r="E77" s="8" t="s">
        <v>66</v>
      </c>
      <c r="F77" s="12">
        <v>46052</v>
      </c>
      <c r="G77" s="13">
        <v>0.89583333333333337</v>
      </c>
      <c r="H77" s="2" t="s">
        <v>53</v>
      </c>
      <c r="I77" s="2" t="s">
        <v>54</v>
      </c>
      <c r="J77" s="2">
        <v>40</v>
      </c>
      <c r="K77" s="14">
        <f>VLOOKUP($C77,Sheet1!$A$2:$D$10,4,0)</f>
        <v>40</v>
      </c>
      <c r="L77" s="14" t="str">
        <f>VLOOKUP($C77,Sheet1!$A$2:$E$10,5,0)</f>
        <v>Trolley</v>
      </c>
      <c r="M77" s="14"/>
      <c r="N77" s="2">
        <v>1</v>
      </c>
      <c r="O77" s="2" t="s">
        <v>121</v>
      </c>
      <c r="P77" s="2">
        <v>910107517</v>
      </c>
    </row>
    <row r="78" spans="1:16" x14ac:dyDescent="0.25">
      <c r="A78" s="17" t="s">
        <v>1748</v>
      </c>
      <c r="B78" s="50" t="s">
        <v>1688</v>
      </c>
      <c r="C78" s="2" t="s">
        <v>16</v>
      </c>
      <c r="D78" s="2" t="str">
        <f>VLOOKUP($C78,Sheet1!$A$2:$D$10,2,0)</f>
        <v>141140-91211</v>
      </c>
      <c r="E78" s="8" t="s">
        <v>70</v>
      </c>
      <c r="F78" s="12">
        <v>46052</v>
      </c>
      <c r="G78" s="13">
        <v>0.89583333333333337</v>
      </c>
      <c r="H78" s="2" t="s">
        <v>71</v>
      </c>
      <c r="I78" s="2" t="s">
        <v>54</v>
      </c>
      <c r="J78" s="2">
        <v>28</v>
      </c>
      <c r="K78" s="14">
        <f>VLOOKUP($C78,Sheet1!$A$2:$D$10,4,0)</f>
        <v>2</v>
      </c>
      <c r="L78" s="14" t="str">
        <f>VLOOKUP($C78,Sheet1!$A$2:$E$10,5,0)</f>
        <v>Bin</v>
      </c>
      <c r="M78" s="14">
        <f t="shared" ref="M78:M79" si="13">J78/K78</f>
        <v>14</v>
      </c>
      <c r="N78" s="2"/>
      <c r="O78" s="2" t="s">
        <v>121</v>
      </c>
      <c r="P78" s="2" t="s">
        <v>1857</v>
      </c>
    </row>
    <row r="79" spans="1:16" x14ac:dyDescent="0.25">
      <c r="A79" s="17" t="s">
        <v>1748</v>
      </c>
      <c r="B79" s="50" t="s">
        <v>1697</v>
      </c>
      <c r="C79" s="2" t="s">
        <v>20</v>
      </c>
      <c r="D79" s="2" t="str">
        <f>VLOOKUP($C79,Sheet1!$A$2:$D$10,2,0)</f>
        <v>141150-91211</v>
      </c>
      <c r="E79" s="8" t="s">
        <v>78</v>
      </c>
      <c r="F79" s="12">
        <v>46052</v>
      </c>
      <c r="G79" s="13">
        <v>0.89583333333333337</v>
      </c>
      <c r="H79" s="2" t="s">
        <v>71</v>
      </c>
      <c r="I79" s="2" t="s">
        <v>54</v>
      </c>
      <c r="J79" s="2">
        <v>28</v>
      </c>
      <c r="K79" s="14">
        <f>VLOOKUP($C79,Sheet1!$A$2:$D$10,4,0)</f>
        <v>2</v>
      </c>
      <c r="L79" s="14" t="str">
        <f>VLOOKUP($C79,Sheet1!$A$2:$E$10,5,0)</f>
        <v>Bin</v>
      </c>
      <c r="M79" s="14">
        <f t="shared" si="13"/>
        <v>14</v>
      </c>
      <c r="N79" s="2"/>
      <c r="O79" s="2" t="s">
        <v>121</v>
      </c>
      <c r="P79" s="2" t="s">
        <v>1857</v>
      </c>
    </row>
    <row r="80" spans="1:16" x14ac:dyDescent="0.25">
      <c r="A80" s="17" t="s">
        <v>1748</v>
      </c>
      <c r="B80" s="50" t="s">
        <v>1706</v>
      </c>
      <c r="C80" s="2" t="s">
        <v>23</v>
      </c>
      <c r="D80" s="2" t="str">
        <f>VLOOKUP($C80,Sheet1!$A$2:$D$10,2,0)</f>
        <v>141186-74360</v>
      </c>
      <c r="E80" s="8" t="s">
        <v>85</v>
      </c>
      <c r="F80" s="12">
        <v>46052</v>
      </c>
      <c r="G80" s="13">
        <v>0.89583333333333337</v>
      </c>
      <c r="H80" s="2" t="s">
        <v>71</v>
      </c>
      <c r="I80" s="2" t="s">
        <v>54</v>
      </c>
      <c r="J80" s="2">
        <v>40</v>
      </c>
      <c r="K80" s="14">
        <f>VLOOKUP($C80,Sheet1!$A$2:$D$10,4,0)</f>
        <v>40</v>
      </c>
      <c r="L80" s="14" t="str">
        <f>VLOOKUP($C80,Sheet1!$A$2:$E$10,5,0)</f>
        <v>Trolley</v>
      </c>
      <c r="M80" s="14"/>
      <c r="N80" s="2">
        <v>1</v>
      </c>
      <c r="O80" s="2" t="s">
        <v>121</v>
      </c>
      <c r="P80" s="2">
        <v>910107700</v>
      </c>
    </row>
    <row r="81" spans="1:16" x14ac:dyDescent="0.25">
      <c r="A81" s="17" t="s">
        <v>1842</v>
      </c>
      <c r="B81" s="2" t="s">
        <v>1715</v>
      </c>
      <c r="C81" s="2" t="s">
        <v>26</v>
      </c>
      <c r="D81" s="2" t="str">
        <f>VLOOKUP($C81,Sheet1!$A$2:$D$10,2,0)</f>
        <v>116040-92240</v>
      </c>
      <c r="E81" s="8" t="s">
        <v>90</v>
      </c>
      <c r="F81" s="12">
        <v>46052</v>
      </c>
      <c r="G81" s="13">
        <v>0.89583333333333337</v>
      </c>
      <c r="H81" s="2" t="s">
        <v>91</v>
      </c>
      <c r="I81" s="2" t="s">
        <v>54</v>
      </c>
      <c r="J81" s="2">
        <v>30</v>
      </c>
      <c r="K81" s="14">
        <f>VLOOKUP($C81,Sheet1!$A$2:$D$10,4,0)</f>
        <v>6</v>
      </c>
      <c r="L81" s="14" t="str">
        <f>VLOOKUP($C81,Sheet1!$A$2:$E$10,5,0)</f>
        <v>Bin</v>
      </c>
      <c r="M81" s="14">
        <f t="shared" ref="M81:M82" si="14">J81/K81</f>
        <v>5</v>
      </c>
      <c r="N81" s="2"/>
      <c r="O81" s="2" t="s">
        <v>121</v>
      </c>
      <c r="P81" s="2" t="s">
        <v>1858</v>
      </c>
    </row>
    <row r="82" spans="1:16" ht="15.75" thickBot="1" x14ac:dyDescent="0.3">
      <c r="A82" s="17" t="s">
        <v>1842</v>
      </c>
      <c r="B82" s="2" t="s">
        <v>1724</v>
      </c>
      <c r="C82" s="2" t="s">
        <v>32</v>
      </c>
      <c r="D82" s="2" t="str">
        <f>VLOOKUP($C82,Sheet1!$A$2:$D$10,2,0)</f>
        <v>114010-50820</v>
      </c>
      <c r="E82" s="8" t="s">
        <v>98</v>
      </c>
      <c r="F82" s="12">
        <v>46052</v>
      </c>
      <c r="G82" s="25">
        <v>0.89583333333333337</v>
      </c>
      <c r="H82" s="2" t="s">
        <v>91</v>
      </c>
      <c r="I82" s="2" t="s">
        <v>54</v>
      </c>
      <c r="J82" s="2">
        <v>16</v>
      </c>
      <c r="K82" s="14">
        <f>VLOOKUP($C82,Sheet1!$A$2:$D$10,4,0)</f>
        <v>1</v>
      </c>
      <c r="L82" s="14" t="str">
        <f>VLOOKUP($C82,Sheet1!$A$2:$E$10,5,0)</f>
        <v>Bin</v>
      </c>
      <c r="M82" s="14">
        <f t="shared" si="14"/>
        <v>16</v>
      </c>
      <c r="N82" s="2"/>
      <c r="O82" s="2" t="s">
        <v>121</v>
      </c>
      <c r="P82" s="2" t="s">
        <v>724</v>
      </c>
    </row>
    <row r="83" spans="1:16" ht="15.75" thickTop="1" x14ac:dyDescent="0.25">
      <c r="A83" s="17" t="s">
        <v>1843</v>
      </c>
      <c r="B83" s="2" t="s">
        <v>1662</v>
      </c>
      <c r="C83" s="2" t="s">
        <v>5</v>
      </c>
      <c r="D83" s="2" t="str">
        <f>VLOOKUP($C83,Sheet1!$A$2:$D$10,2,0)</f>
        <v>141110-14600</v>
      </c>
      <c r="E83" s="8" t="s">
        <v>52</v>
      </c>
      <c r="F83" s="12">
        <v>46052</v>
      </c>
      <c r="G83" s="26">
        <v>0.97916666666666663</v>
      </c>
      <c r="H83" s="2" t="s">
        <v>53</v>
      </c>
      <c r="I83" s="2" t="s">
        <v>54</v>
      </c>
      <c r="J83" s="2">
        <v>18</v>
      </c>
      <c r="K83" s="14">
        <f>VLOOKUP($C83,Sheet1!$A$2:$D$10,4,0)</f>
        <v>18</v>
      </c>
      <c r="L83" s="14" t="str">
        <f>VLOOKUP($C83,Sheet1!$A$2:$E$10,5,0)</f>
        <v>Trolley (H)</v>
      </c>
      <c r="M83" s="14"/>
      <c r="N83" s="52">
        <v>1</v>
      </c>
      <c r="O83" s="2" t="s">
        <v>121</v>
      </c>
      <c r="P83" s="2" t="s">
        <v>1860</v>
      </c>
    </row>
    <row r="84" spans="1:16" x14ac:dyDescent="0.25">
      <c r="A84" s="17" t="s">
        <v>1843</v>
      </c>
      <c r="B84" s="2" t="s">
        <v>1671</v>
      </c>
      <c r="C84" s="2" t="s">
        <v>9</v>
      </c>
      <c r="D84" s="2" t="str">
        <f>VLOOKUP($C84,Sheet1!$A$2:$D$10,2,0)</f>
        <v>141120-14600</v>
      </c>
      <c r="E84" s="8" t="s">
        <v>60</v>
      </c>
      <c r="F84" s="12">
        <v>46052</v>
      </c>
      <c r="G84" s="23">
        <v>0.97916666666666663</v>
      </c>
      <c r="H84" s="2" t="s">
        <v>53</v>
      </c>
      <c r="I84" s="2" t="s">
        <v>54</v>
      </c>
      <c r="J84" s="2">
        <v>18</v>
      </c>
      <c r="K84" s="14">
        <f>VLOOKUP($C84,Sheet1!$A$2:$D$10,4,0)</f>
        <v>18</v>
      </c>
      <c r="L84" s="14" t="str">
        <f>VLOOKUP($C84,Sheet1!$A$2:$E$10,5,0)</f>
        <v>Trolley (H)</v>
      </c>
      <c r="M84" s="14"/>
      <c r="N84" s="53"/>
      <c r="O84" s="2" t="s">
        <v>121</v>
      </c>
      <c r="P84" s="2" t="s">
        <v>1860</v>
      </c>
    </row>
    <row r="85" spans="1:16" x14ac:dyDescent="0.25">
      <c r="A85" s="17" t="s">
        <v>1843</v>
      </c>
      <c r="B85" s="2" t="s">
        <v>1680</v>
      </c>
      <c r="C85" s="2" t="s">
        <v>12</v>
      </c>
      <c r="D85" s="2" t="str">
        <f>VLOOKUP($C85,Sheet1!$A$2:$D$10,2,0)</f>
        <v>141185-74670</v>
      </c>
      <c r="E85" s="8" t="s">
        <v>66</v>
      </c>
      <c r="F85" s="12">
        <v>46052</v>
      </c>
      <c r="G85" s="23">
        <v>0.97916666666666663</v>
      </c>
      <c r="H85" s="2" t="s">
        <v>53</v>
      </c>
      <c r="I85" s="2" t="s">
        <v>54</v>
      </c>
      <c r="J85" s="2">
        <v>40</v>
      </c>
      <c r="K85" s="14">
        <f>VLOOKUP($C85,Sheet1!$A$2:$D$10,4,0)</f>
        <v>40</v>
      </c>
      <c r="L85" s="14" t="str">
        <f>VLOOKUP($C85,Sheet1!$A$2:$E$10,5,0)</f>
        <v>Trolley</v>
      </c>
      <c r="M85" s="14"/>
      <c r="N85" s="2">
        <v>1</v>
      </c>
      <c r="O85" s="2" t="s">
        <v>121</v>
      </c>
      <c r="P85" s="2">
        <v>910107517</v>
      </c>
    </row>
    <row r="86" spans="1:16" x14ac:dyDescent="0.25">
      <c r="A86" s="17" t="s">
        <v>1843</v>
      </c>
      <c r="B86" s="2" t="s">
        <v>1689</v>
      </c>
      <c r="C86" s="2" t="s">
        <v>16</v>
      </c>
      <c r="D86" s="2" t="str">
        <f>VLOOKUP($C86,Sheet1!$A$2:$D$10,2,0)</f>
        <v>141140-91211</v>
      </c>
      <c r="E86" s="8" t="s">
        <v>70</v>
      </c>
      <c r="F86" s="12">
        <v>46052</v>
      </c>
      <c r="G86" s="23">
        <v>0.97916666666666663</v>
      </c>
      <c r="H86" s="2" t="s">
        <v>71</v>
      </c>
      <c r="I86" s="2" t="s">
        <v>54</v>
      </c>
      <c r="J86" s="2">
        <v>42</v>
      </c>
      <c r="K86" s="14">
        <f>VLOOKUP($C86,Sheet1!$A$2:$D$10,4,0)</f>
        <v>2</v>
      </c>
      <c r="L86" s="14" t="str">
        <f>VLOOKUP($C86,Sheet1!$A$2:$E$10,5,0)</f>
        <v>Bin</v>
      </c>
      <c r="M86" s="14">
        <f t="shared" ref="M86:M87" si="15">J86/K86</f>
        <v>21</v>
      </c>
      <c r="N86" s="2"/>
      <c r="O86" s="2" t="s">
        <v>121</v>
      </c>
      <c r="P86" s="2" t="s">
        <v>1857</v>
      </c>
    </row>
    <row r="87" spans="1:16" x14ac:dyDescent="0.25">
      <c r="A87" s="17" t="s">
        <v>1843</v>
      </c>
      <c r="B87" s="2" t="s">
        <v>1698</v>
      </c>
      <c r="C87" s="2" t="s">
        <v>20</v>
      </c>
      <c r="D87" s="2" t="str">
        <f>VLOOKUP($C87,Sheet1!$A$2:$D$10,2,0)</f>
        <v>141150-91211</v>
      </c>
      <c r="E87" s="8" t="s">
        <v>78</v>
      </c>
      <c r="F87" s="12">
        <v>46052</v>
      </c>
      <c r="G87" s="23">
        <v>0.97916666666666663</v>
      </c>
      <c r="H87" s="2" t="s">
        <v>71</v>
      </c>
      <c r="I87" s="2" t="s">
        <v>54</v>
      </c>
      <c r="J87" s="2">
        <v>42</v>
      </c>
      <c r="K87" s="14">
        <f>VLOOKUP($C87,Sheet1!$A$2:$D$10,4,0)</f>
        <v>2</v>
      </c>
      <c r="L87" s="14" t="str">
        <f>VLOOKUP($C87,Sheet1!$A$2:$E$10,5,0)</f>
        <v>Bin</v>
      </c>
      <c r="M87" s="14">
        <f t="shared" si="15"/>
        <v>21</v>
      </c>
      <c r="N87" s="2"/>
      <c r="O87" s="2" t="s">
        <v>121</v>
      </c>
      <c r="P87" s="2" t="s">
        <v>1857</v>
      </c>
    </row>
    <row r="88" spans="1:16" x14ac:dyDescent="0.25">
      <c r="A88" s="17" t="s">
        <v>1843</v>
      </c>
      <c r="B88" s="2" t="s">
        <v>1707</v>
      </c>
      <c r="C88" s="2" t="s">
        <v>23</v>
      </c>
      <c r="D88" s="2" t="str">
        <f>VLOOKUP($C88,Sheet1!$A$2:$D$10,2,0)</f>
        <v>141186-74360</v>
      </c>
      <c r="E88" s="8" t="s">
        <v>85</v>
      </c>
      <c r="F88" s="12">
        <v>46052</v>
      </c>
      <c r="G88" s="23">
        <v>0.97916666666666663</v>
      </c>
      <c r="H88" s="2" t="s">
        <v>71</v>
      </c>
      <c r="I88" s="2" t="s">
        <v>54</v>
      </c>
      <c r="J88" s="2">
        <v>40</v>
      </c>
      <c r="K88" s="14">
        <f>VLOOKUP($C88,Sheet1!$A$2:$D$10,4,0)</f>
        <v>40</v>
      </c>
      <c r="L88" s="14" t="str">
        <f>VLOOKUP($C88,Sheet1!$A$2:$E$10,5,0)</f>
        <v>Trolley</v>
      </c>
      <c r="M88" s="14"/>
      <c r="N88" s="2">
        <v>1</v>
      </c>
      <c r="O88" s="2" t="s">
        <v>121</v>
      </c>
      <c r="P88" s="2">
        <v>910107700</v>
      </c>
    </row>
    <row r="89" spans="1:16" x14ac:dyDescent="0.25">
      <c r="A89" s="17" t="s">
        <v>1844</v>
      </c>
      <c r="B89" s="2" t="s">
        <v>1716</v>
      </c>
      <c r="C89" s="2" t="s">
        <v>26</v>
      </c>
      <c r="D89" s="2" t="str">
        <f>VLOOKUP($C89,Sheet1!$A$2:$D$10,2,0)</f>
        <v>116040-92240</v>
      </c>
      <c r="E89" s="8" t="s">
        <v>90</v>
      </c>
      <c r="F89" s="12">
        <v>46052</v>
      </c>
      <c r="G89" s="23">
        <v>0.97916666666666663</v>
      </c>
      <c r="H89" s="2" t="s">
        <v>91</v>
      </c>
      <c r="I89" s="2" t="s">
        <v>54</v>
      </c>
      <c r="J89" s="2">
        <v>30</v>
      </c>
      <c r="K89" s="14">
        <f>VLOOKUP($C89,Sheet1!$A$2:$D$10,4,0)</f>
        <v>6</v>
      </c>
      <c r="L89" s="14" t="str">
        <f>VLOOKUP($C89,Sheet1!$A$2:$E$10,5,0)</f>
        <v>Bin</v>
      </c>
      <c r="M89" s="14">
        <f t="shared" ref="M89:M91" si="16">J89/K89</f>
        <v>5</v>
      </c>
      <c r="N89" s="2"/>
      <c r="O89" s="2" t="s">
        <v>121</v>
      </c>
      <c r="P89" s="2" t="s">
        <v>1858</v>
      </c>
    </row>
    <row r="90" spans="1:16" ht="15.75" thickBot="1" x14ac:dyDescent="0.3">
      <c r="A90" s="17" t="s">
        <v>1844</v>
      </c>
      <c r="B90" s="2" t="s">
        <v>1725</v>
      </c>
      <c r="C90" s="2" t="s">
        <v>32</v>
      </c>
      <c r="D90" s="2" t="str">
        <f>VLOOKUP($C90,Sheet1!$A$2:$D$10,2,0)</f>
        <v>114010-50820</v>
      </c>
      <c r="E90" s="8" t="s">
        <v>98</v>
      </c>
      <c r="F90" s="12">
        <v>46052</v>
      </c>
      <c r="G90" s="24">
        <v>0.97916666666666663</v>
      </c>
      <c r="H90" s="2" t="s">
        <v>91</v>
      </c>
      <c r="I90" s="2" t="s">
        <v>54</v>
      </c>
      <c r="J90" s="2">
        <v>35</v>
      </c>
      <c r="K90" s="14">
        <f>VLOOKUP($C90,Sheet1!$A$2:$D$10,4,0)</f>
        <v>1</v>
      </c>
      <c r="L90" s="14" t="str">
        <f>VLOOKUP($C90,Sheet1!$A$2:$E$10,5,0)</f>
        <v>Bin</v>
      </c>
      <c r="M90" s="14">
        <f t="shared" si="16"/>
        <v>35</v>
      </c>
      <c r="N90" s="2"/>
      <c r="O90" s="2" t="s">
        <v>121</v>
      </c>
      <c r="P90" s="2" t="s">
        <v>724</v>
      </c>
    </row>
    <row r="91" spans="1:16" ht="15.75" thickTop="1" x14ac:dyDescent="0.25">
      <c r="A91" s="51" t="s">
        <v>1845</v>
      </c>
      <c r="B91" s="72" t="s">
        <v>1726</v>
      </c>
      <c r="C91" s="2" t="s">
        <v>32</v>
      </c>
      <c r="D91" s="2" t="str">
        <f>VLOOKUP($C91,Sheet1!$A$2:$D$10,2,0)</f>
        <v>114010-50820</v>
      </c>
      <c r="E91" s="8" t="s">
        <v>98</v>
      </c>
      <c r="F91" s="12">
        <v>46053</v>
      </c>
      <c r="G91" s="22">
        <v>0.10416666666666667</v>
      </c>
      <c r="H91" s="2" t="s">
        <v>91</v>
      </c>
      <c r="I91" s="2" t="s">
        <v>54</v>
      </c>
      <c r="J91" s="2">
        <v>9</v>
      </c>
      <c r="K91" s="14">
        <f>VLOOKUP($C91,Sheet1!$A$2:$D$10,4,0)</f>
        <v>1</v>
      </c>
      <c r="L91" s="14" t="str">
        <f>VLOOKUP($C91,Sheet1!$A$2:$E$10,5,0)</f>
        <v>Bin</v>
      </c>
      <c r="M91" s="14">
        <f t="shared" si="16"/>
        <v>9</v>
      </c>
      <c r="N91" s="2"/>
      <c r="O91" s="2" t="s">
        <v>121</v>
      </c>
      <c r="P91" s="2" t="s">
        <v>724</v>
      </c>
    </row>
    <row r="92" spans="1:16" s="11" customForma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>
        <v>140</v>
      </c>
      <c r="N92" s="10">
        <v>7</v>
      </c>
      <c r="O92" s="10"/>
      <c r="P92" s="10"/>
    </row>
  </sheetData>
  <autoFilter ref="A3:P92" xr:uid="{29100B3C-C243-41A6-9748-470E1B8BFC4C}"/>
  <mergeCells count="13">
    <mergeCell ref="N18:N19"/>
    <mergeCell ref="N45:N46"/>
    <mergeCell ref="N55:N56"/>
    <mergeCell ref="A1:F1"/>
    <mergeCell ref="J1:N1"/>
    <mergeCell ref="L2:N2"/>
    <mergeCell ref="N4:N5"/>
    <mergeCell ref="N6:N7"/>
    <mergeCell ref="N65:N66"/>
    <mergeCell ref="N75:N76"/>
    <mergeCell ref="N83:N84"/>
    <mergeCell ref="N25:N26"/>
    <mergeCell ref="N35:N36"/>
  </mergeCells>
  <conditionalFormatting sqref="B2">
    <cfRule type="duplicateValues" dxfId="15" priority="3"/>
    <cfRule type="duplicateValues" dxfId="14" priority="4"/>
  </conditionalFormatting>
  <conditionalFormatting sqref="B4:B16 B18:B33 B35:B43 B45:B53 B55:B63 B65:B73 B75:B90">
    <cfRule type="duplicateValues" dxfId="13" priority="34"/>
  </conditionalFormatting>
  <conditionalFormatting sqref="B91">
    <cfRule type="duplicateValues" dxfId="12" priority="1"/>
  </conditionalFormatting>
  <conditionalFormatting sqref="C2:D2">
    <cfRule type="duplicateValues" dxfId="11" priority="5"/>
    <cfRule type="duplicateValues" dxfId="10" priority="6"/>
  </conditionalFormatting>
  <pageMargins left="0.17" right="0.17" top="0.2" bottom="0.75" header="0.17" footer="0.3"/>
  <pageSetup paperSize="9" scale="5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0FDF-9DE9-442A-9A5F-420CF45A2CB3}">
  <sheetPr>
    <pageSetUpPr fitToPage="1"/>
  </sheetPr>
  <dimension ref="A1:P107"/>
  <sheetViews>
    <sheetView topLeftCell="A34" zoomScaleNormal="100" workbookViewId="0">
      <selection activeCell="E44" sqref="E44"/>
    </sheetView>
  </sheetViews>
  <sheetFormatPr defaultColWidth="29.85546875" defaultRowHeight="15" x14ac:dyDescent="0.25"/>
  <cols>
    <col min="1" max="1" width="15.140625" bestFit="1" customWidth="1"/>
    <col min="2" max="2" width="17" bestFit="1" customWidth="1"/>
    <col min="3" max="3" width="14.140625" bestFit="1" customWidth="1"/>
    <col min="4" max="4" width="14.140625" customWidth="1"/>
    <col min="5" max="5" width="32.5703125" bestFit="1" customWidth="1"/>
    <col min="6" max="6" width="12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3.5703125" customWidth="1"/>
    <col min="13" max="13" width="7.140625" bestFit="1" customWidth="1"/>
    <col min="14" max="14" width="7.85546875" bestFit="1" customWidth="1"/>
    <col min="15" max="15" width="10.7109375" customWidth="1"/>
    <col min="16" max="16" width="39.85546875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6.5" customHeight="1" x14ac:dyDescent="0.25">
      <c r="A2" s="5" t="s">
        <v>36</v>
      </c>
      <c r="B2" s="6">
        <v>46053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17" t="s">
        <v>1846</v>
      </c>
      <c r="B4" s="2" t="s">
        <v>1749</v>
      </c>
      <c r="C4" s="2" t="s">
        <v>5</v>
      </c>
      <c r="D4" s="2" t="str">
        <f>VLOOKUP($C4,Sheet1!$A$2:$D$10,2,0)</f>
        <v>141110-14600</v>
      </c>
      <c r="E4" s="8" t="s">
        <v>52</v>
      </c>
      <c r="F4" s="12">
        <v>46053</v>
      </c>
      <c r="G4" s="13">
        <v>0.3125</v>
      </c>
      <c r="H4" s="2" t="s">
        <v>53</v>
      </c>
      <c r="I4" s="2" t="s">
        <v>54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2">
        <v>1</v>
      </c>
      <c r="O4" s="2" t="s">
        <v>122</v>
      </c>
      <c r="P4" s="2" t="s">
        <v>2055</v>
      </c>
    </row>
    <row r="5" spans="1:16" x14ac:dyDescent="0.25">
      <c r="A5" s="17" t="s">
        <v>1846</v>
      </c>
      <c r="B5" s="2" t="s">
        <v>1758</v>
      </c>
      <c r="C5" s="2" t="s">
        <v>9</v>
      </c>
      <c r="D5" s="2" t="str">
        <f>VLOOKUP($C5,Sheet1!$A$2:$D$10,2,0)</f>
        <v>141120-14600</v>
      </c>
      <c r="E5" s="8" t="s">
        <v>60</v>
      </c>
      <c r="F5" s="12">
        <v>46053</v>
      </c>
      <c r="G5" s="13">
        <v>0.3125</v>
      </c>
      <c r="H5" s="2" t="s">
        <v>53</v>
      </c>
      <c r="I5" s="2" t="s">
        <v>54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3"/>
      <c r="O5" s="2" t="s">
        <v>122</v>
      </c>
      <c r="P5" s="2" t="s">
        <v>1860</v>
      </c>
    </row>
    <row r="6" spans="1:16" x14ac:dyDescent="0.25">
      <c r="A6" s="17" t="s">
        <v>1846</v>
      </c>
      <c r="B6" s="2" t="s">
        <v>1750</v>
      </c>
      <c r="C6" s="2" t="s">
        <v>5</v>
      </c>
      <c r="D6" s="2" t="str">
        <f>VLOOKUP($C6,Sheet1!$A$2:$D$10,2,0)</f>
        <v>141110-14600</v>
      </c>
      <c r="E6" s="8" t="s">
        <v>52</v>
      </c>
      <c r="F6" s="12">
        <v>46053</v>
      </c>
      <c r="G6" s="13">
        <v>0.3125</v>
      </c>
      <c r="H6" s="2" t="s">
        <v>53</v>
      </c>
      <c r="I6" s="2" t="s">
        <v>54</v>
      </c>
      <c r="J6" s="2">
        <v>36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2">
        <v>2</v>
      </c>
      <c r="O6" s="2" t="s">
        <v>122</v>
      </c>
      <c r="P6" s="2" t="s">
        <v>1860</v>
      </c>
    </row>
    <row r="7" spans="1:16" x14ac:dyDescent="0.25">
      <c r="A7" s="17" t="s">
        <v>1846</v>
      </c>
      <c r="B7" s="2" t="s">
        <v>1759</v>
      </c>
      <c r="C7" s="2" t="s">
        <v>9</v>
      </c>
      <c r="D7" s="2" t="str">
        <f>VLOOKUP($C7,Sheet1!$A$2:$D$10,2,0)</f>
        <v>141120-14600</v>
      </c>
      <c r="E7" s="8" t="s">
        <v>60</v>
      </c>
      <c r="F7" s="12">
        <v>46053</v>
      </c>
      <c r="G7" s="13">
        <v>0.3125</v>
      </c>
      <c r="H7" s="2" t="s">
        <v>53</v>
      </c>
      <c r="I7" s="2" t="s">
        <v>54</v>
      </c>
      <c r="J7" s="2">
        <v>36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3"/>
      <c r="O7" s="2" t="s">
        <v>122</v>
      </c>
      <c r="P7" s="2" t="s">
        <v>1860</v>
      </c>
    </row>
    <row r="8" spans="1:16" x14ac:dyDescent="0.25">
      <c r="A8" s="17" t="s">
        <v>1846</v>
      </c>
      <c r="B8" s="2" t="s">
        <v>1767</v>
      </c>
      <c r="C8" s="2" t="s">
        <v>12</v>
      </c>
      <c r="D8" s="2" t="str">
        <f>VLOOKUP($C8,Sheet1!$A$2:$D$10,2,0)</f>
        <v>141185-74670</v>
      </c>
      <c r="E8" s="8" t="s">
        <v>66</v>
      </c>
      <c r="F8" s="12">
        <v>46053</v>
      </c>
      <c r="G8" s="13">
        <v>0.3125</v>
      </c>
      <c r="H8" s="2" t="s">
        <v>53</v>
      </c>
      <c r="I8" s="2" t="s">
        <v>54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122</v>
      </c>
      <c r="P8" s="2">
        <v>910107517</v>
      </c>
    </row>
    <row r="9" spans="1:16" x14ac:dyDescent="0.25">
      <c r="A9" s="17" t="s">
        <v>1846</v>
      </c>
      <c r="B9" s="2" t="s">
        <v>1768</v>
      </c>
      <c r="C9" s="2" t="s">
        <v>12</v>
      </c>
      <c r="D9" s="2" t="str">
        <f>VLOOKUP($C9,Sheet1!$A$2:$D$10,2,0)</f>
        <v>141185-74670</v>
      </c>
      <c r="E9" s="8" t="s">
        <v>66</v>
      </c>
      <c r="F9" s="12">
        <v>46053</v>
      </c>
      <c r="G9" s="13">
        <v>0.3125</v>
      </c>
      <c r="H9" s="2" t="s">
        <v>53</v>
      </c>
      <c r="I9" s="2" t="s">
        <v>54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122</v>
      </c>
      <c r="P9" s="2">
        <v>910107517</v>
      </c>
    </row>
    <row r="10" spans="1:16" x14ac:dyDescent="0.25">
      <c r="A10" s="17" t="s">
        <v>1846</v>
      </c>
      <c r="B10" s="2" t="s">
        <v>1776</v>
      </c>
      <c r="C10" s="2" t="s">
        <v>16</v>
      </c>
      <c r="D10" s="2" t="str">
        <f>VLOOKUP($C10,Sheet1!$A$2:$D$10,2,0)</f>
        <v>141140-91211</v>
      </c>
      <c r="E10" s="8" t="s">
        <v>70</v>
      </c>
      <c r="F10" s="12">
        <v>46053</v>
      </c>
      <c r="G10" s="13">
        <v>0.3125</v>
      </c>
      <c r="H10" s="2" t="s">
        <v>71</v>
      </c>
      <c r="I10" s="2" t="s">
        <v>54</v>
      </c>
      <c r="J10" s="2">
        <v>16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8</v>
      </c>
      <c r="N10" s="2"/>
      <c r="O10" s="2" t="s">
        <v>122</v>
      </c>
      <c r="P10" s="2" t="s">
        <v>1857</v>
      </c>
    </row>
    <row r="11" spans="1:16" x14ac:dyDescent="0.25">
      <c r="A11" s="17" t="s">
        <v>1846</v>
      </c>
      <c r="B11" s="2" t="s">
        <v>1777</v>
      </c>
      <c r="C11" s="2" t="s">
        <v>16</v>
      </c>
      <c r="D11" s="2" t="str">
        <f>VLOOKUP($C11,Sheet1!$A$2:$D$10,2,0)</f>
        <v>141140-91211</v>
      </c>
      <c r="E11" s="8" t="s">
        <v>70</v>
      </c>
      <c r="F11" s="12">
        <v>46053</v>
      </c>
      <c r="G11" s="13">
        <v>0.3125</v>
      </c>
      <c r="H11" s="2" t="s">
        <v>71</v>
      </c>
      <c r="I11" s="2" t="s">
        <v>54</v>
      </c>
      <c r="J11" s="2">
        <v>30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ref="M11:M13" si="0">J11/K11</f>
        <v>15</v>
      </c>
      <c r="N11" s="2"/>
      <c r="O11" s="2" t="s">
        <v>122</v>
      </c>
      <c r="P11" s="2" t="s">
        <v>1857</v>
      </c>
    </row>
    <row r="12" spans="1:16" x14ac:dyDescent="0.25">
      <c r="A12" s="17" t="s">
        <v>1846</v>
      </c>
      <c r="B12" s="2" t="s">
        <v>1785</v>
      </c>
      <c r="C12" s="2" t="s">
        <v>20</v>
      </c>
      <c r="D12" s="2" t="str">
        <f>VLOOKUP($C12,Sheet1!$A$2:$D$10,2,0)</f>
        <v>141150-91211</v>
      </c>
      <c r="E12" s="8" t="s">
        <v>78</v>
      </c>
      <c r="F12" s="12">
        <v>46053</v>
      </c>
      <c r="G12" s="13">
        <v>0.3125</v>
      </c>
      <c r="H12" s="2" t="s">
        <v>71</v>
      </c>
      <c r="I12" s="2" t="s">
        <v>54</v>
      </c>
      <c r="J12" s="2">
        <v>18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9</v>
      </c>
      <c r="N12" s="2"/>
      <c r="O12" s="2" t="s">
        <v>122</v>
      </c>
      <c r="P12" s="2" t="s">
        <v>1857</v>
      </c>
    </row>
    <row r="13" spans="1:16" x14ac:dyDescent="0.25">
      <c r="A13" s="17" t="s">
        <v>1846</v>
      </c>
      <c r="B13" s="2" t="s">
        <v>1786</v>
      </c>
      <c r="C13" s="2" t="s">
        <v>20</v>
      </c>
      <c r="D13" s="2" t="str">
        <f>VLOOKUP($C13,Sheet1!$A$2:$D$10,2,0)</f>
        <v>141150-91211</v>
      </c>
      <c r="E13" s="8" t="s">
        <v>78</v>
      </c>
      <c r="F13" s="12">
        <v>46053</v>
      </c>
      <c r="G13" s="13">
        <v>0.3125</v>
      </c>
      <c r="H13" s="2" t="s">
        <v>71</v>
      </c>
      <c r="I13" s="2" t="s">
        <v>54</v>
      </c>
      <c r="J13" s="2">
        <v>30</v>
      </c>
      <c r="K13" s="14">
        <f>VLOOKUP($C13,Sheet1!$A$2:$D$10,4,0)</f>
        <v>2</v>
      </c>
      <c r="L13" s="14" t="str">
        <f>VLOOKUP($C13,Sheet1!$A$2:$E$10,5,0)</f>
        <v>Bin</v>
      </c>
      <c r="M13" s="14">
        <f t="shared" si="0"/>
        <v>15</v>
      </c>
      <c r="N13" s="2"/>
      <c r="O13" s="2" t="s">
        <v>122</v>
      </c>
      <c r="P13" s="2" t="s">
        <v>1857</v>
      </c>
    </row>
    <row r="14" spans="1:16" x14ac:dyDescent="0.25">
      <c r="A14" s="17" t="s">
        <v>1846</v>
      </c>
      <c r="B14" s="2" t="s">
        <v>1794</v>
      </c>
      <c r="C14" s="2" t="s">
        <v>23</v>
      </c>
      <c r="D14" s="2" t="str">
        <f>VLOOKUP($C14,Sheet1!$A$2:$D$10,2,0)</f>
        <v>141186-74360</v>
      </c>
      <c r="E14" s="8" t="s">
        <v>85</v>
      </c>
      <c r="F14" s="12">
        <v>46053</v>
      </c>
      <c r="G14" s="13">
        <v>0.3125</v>
      </c>
      <c r="H14" s="2" t="s">
        <v>71</v>
      </c>
      <c r="I14" s="2" t="s">
        <v>54</v>
      </c>
      <c r="J14" s="2">
        <v>40</v>
      </c>
      <c r="K14" s="14">
        <f>VLOOKUP($C14,Sheet1!$A$2:$D$10,4,0)</f>
        <v>40</v>
      </c>
      <c r="L14" s="14" t="str">
        <f>VLOOKUP($C14,Sheet1!$A$2:$E$10,5,0)</f>
        <v>Trolley</v>
      </c>
      <c r="M14" s="14"/>
      <c r="N14" s="2">
        <f t="shared" ref="N14:N15" si="1">J14/K14</f>
        <v>1</v>
      </c>
      <c r="O14" s="2" t="s">
        <v>122</v>
      </c>
      <c r="P14" s="2">
        <v>910107700</v>
      </c>
    </row>
    <row r="15" spans="1:16" x14ac:dyDescent="0.25">
      <c r="A15" s="17" t="s">
        <v>1846</v>
      </c>
      <c r="B15" s="2" t="s">
        <v>1795</v>
      </c>
      <c r="C15" s="2" t="s">
        <v>23</v>
      </c>
      <c r="D15" s="2" t="str">
        <f>VLOOKUP($C15,Sheet1!$A$2:$D$10,2,0)</f>
        <v>141186-74360</v>
      </c>
      <c r="E15" s="8" t="s">
        <v>85</v>
      </c>
      <c r="F15" s="12">
        <v>46053</v>
      </c>
      <c r="G15" s="13">
        <v>0.3125</v>
      </c>
      <c r="H15" s="2" t="s">
        <v>71</v>
      </c>
      <c r="I15" s="2" t="s">
        <v>54</v>
      </c>
      <c r="J15" s="2">
        <v>40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 t="shared" si="1"/>
        <v>1</v>
      </c>
      <c r="O15" s="2" t="s">
        <v>122</v>
      </c>
      <c r="P15" s="2">
        <v>910107700</v>
      </c>
    </row>
    <row r="16" spans="1:16" x14ac:dyDescent="0.25">
      <c r="A16" s="17" t="s">
        <v>1839</v>
      </c>
      <c r="B16" s="2" t="s">
        <v>1803</v>
      </c>
      <c r="C16" s="2" t="s">
        <v>26</v>
      </c>
      <c r="D16" s="2" t="str">
        <f>VLOOKUP($C16,Sheet1!$A$2:$D$10,2,0)</f>
        <v>116040-92240</v>
      </c>
      <c r="E16" s="8" t="s">
        <v>90</v>
      </c>
      <c r="F16" s="12">
        <v>46053</v>
      </c>
      <c r="G16" s="13">
        <v>0.3125</v>
      </c>
      <c r="H16" s="2" t="s">
        <v>91</v>
      </c>
      <c r="I16" s="2" t="s">
        <v>54</v>
      </c>
      <c r="J16" s="2">
        <v>30</v>
      </c>
      <c r="K16" s="14">
        <f>VLOOKUP($C16,Sheet1!$A$2:$D$10,4,0)</f>
        <v>6</v>
      </c>
      <c r="L16" s="14" t="str">
        <f>VLOOKUP($C16,Sheet1!$A$2:$E$10,5,0)</f>
        <v>Bin</v>
      </c>
      <c r="M16" s="14">
        <f t="shared" ref="M16:M24" si="2">J16/K16</f>
        <v>5</v>
      </c>
      <c r="N16" s="2"/>
      <c r="O16" s="2" t="s">
        <v>122</v>
      </c>
      <c r="P16" s="2" t="s">
        <v>1858</v>
      </c>
    </row>
    <row r="17" spans="1:16" x14ac:dyDescent="0.25">
      <c r="A17" s="17" t="s">
        <v>1839</v>
      </c>
      <c r="B17" s="2" t="s">
        <v>1804</v>
      </c>
      <c r="C17" s="2" t="s">
        <v>26</v>
      </c>
      <c r="D17" s="2" t="str">
        <f>VLOOKUP($C17,Sheet1!$A$2:$D$10,2,0)</f>
        <v>116040-92240</v>
      </c>
      <c r="E17" s="8" t="s">
        <v>90</v>
      </c>
      <c r="F17" s="12">
        <v>46053</v>
      </c>
      <c r="G17" s="13">
        <v>0.3125</v>
      </c>
      <c r="H17" s="2" t="s">
        <v>91</v>
      </c>
      <c r="I17" s="2" t="s">
        <v>54</v>
      </c>
      <c r="J17" s="2">
        <v>12</v>
      </c>
      <c r="K17" s="14">
        <f>VLOOKUP($C17,Sheet1!$A$2:$D$10,4,0)</f>
        <v>6</v>
      </c>
      <c r="L17" s="14" t="str">
        <f>VLOOKUP($C17,Sheet1!$A$2:$E$10,5,0)</f>
        <v>Bin</v>
      </c>
      <c r="M17" s="14">
        <f t="shared" ref="M17" si="3">J17/K17</f>
        <v>2</v>
      </c>
      <c r="N17" s="2"/>
      <c r="O17" s="2" t="s">
        <v>122</v>
      </c>
      <c r="P17" s="2" t="s">
        <v>1858</v>
      </c>
    </row>
    <row r="18" spans="1:16" x14ac:dyDescent="0.25">
      <c r="A18" s="17" t="s">
        <v>1839</v>
      </c>
      <c r="B18" s="2" t="s">
        <v>1812</v>
      </c>
      <c r="C18" s="2" t="s">
        <v>32</v>
      </c>
      <c r="D18" s="2" t="str">
        <f>VLOOKUP($C18,Sheet1!$A$2:$D$10,2,0)</f>
        <v>114010-50820</v>
      </c>
      <c r="E18" s="8" t="s">
        <v>98</v>
      </c>
      <c r="F18" s="12">
        <v>46053</v>
      </c>
      <c r="G18" s="13">
        <v>0.3125</v>
      </c>
      <c r="H18" s="2" t="s">
        <v>91</v>
      </c>
      <c r="I18" s="2" t="s">
        <v>54</v>
      </c>
      <c r="J18" s="2">
        <v>18</v>
      </c>
      <c r="K18" s="14">
        <f>VLOOKUP($C18,Sheet1!$A$2:$D$10,4,0)</f>
        <v>1</v>
      </c>
      <c r="L18" s="14" t="str">
        <f>VLOOKUP($C18,Sheet1!$A$2:$E$10,5,0)</f>
        <v>Bin</v>
      </c>
      <c r="M18" s="14">
        <f>J18/K18</f>
        <v>18</v>
      </c>
      <c r="N18" s="2"/>
      <c r="O18" s="2" t="s">
        <v>122</v>
      </c>
      <c r="P18" s="2" t="s">
        <v>724</v>
      </c>
    </row>
    <row r="19" spans="1:16" x14ac:dyDescent="0.25">
      <c r="A19" s="17" t="s">
        <v>1839</v>
      </c>
      <c r="B19" s="2" t="s">
        <v>1813</v>
      </c>
      <c r="C19" s="2" t="s">
        <v>32</v>
      </c>
      <c r="D19" s="2" t="str">
        <f>VLOOKUP($C19,Sheet1!$A$2:$D$10,2,0)</f>
        <v>114010-50820</v>
      </c>
      <c r="E19" s="8" t="s">
        <v>98</v>
      </c>
      <c r="F19" s="12">
        <v>46053</v>
      </c>
      <c r="G19" s="13">
        <v>0.3125</v>
      </c>
      <c r="H19" s="2" t="s">
        <v>91</v>
      </c>
      <c r="I19" s="2" t="s">
        <v>54</v>
      </c>
      <c r="J19" s="2">
        <v>7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ref="M19:M20" si="4">J19/K19</f>
        <v>7</v>
      </c>
      <c r="N19" s="2"/>
      <c r="O19" s="2" t="s">
        <v>122</v>
      </c>
      <c r="P19" s="2" t="s">
        <v>724</v>
      </c>
    </row>
    <row r="20" spans="1:16" x14ac:dyDescent="0.25">
      <c r="A20" s="17" t="s">
        <v>1839</v>
      </c>
      <c r="B20" s="2" t="s">
        <v>1821</v>
      </c>
      <c r="C20" s="2" t="s">
        <v>29</v>
      </c>
      <c r="D20" s="2" t="str">
        <f>VLOOKUP($C20,Sheet1!$A$2:$D$10,2,0)</f>
        <v>114010-50830</v>
      </c>
      <c r="E20" s="8" t="s">
        <v>98</v>
      </c>
      <c r="F20" s="12">
        <v>46053</v>
      </c>
      <c r="G20" s="13">
        <v>0.3125</v>
      </c>
      <c r="H20" s="2" t="s">
        <v>91</v>
      </c>
      <c r="I20" s="2" t="s">
        <v>54</v>
      </c>
      <c r="J20" s="2">
        <v>17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4"/>
        <v>17</v>
      </c>
      <c r="N20" s="2"/>
      <c r="O20" s="2" t="s">
        <v>122</v>
      </c>
      <c r="P20" s="2" t="s">
        <v>1858</v>
      </c>
    </row>
    <row r="21" spans="1:16" x14ac:dyDescent="0.25">
      <c r="A21" s="17" t="s">
        <v>1847</v>
      </c>
      <c r="B21" s="2" t="s">
        <v>1804</v>
      </c>
      <c r="C21" s="2" t="s">
        <v>26</v>
      </c>
      <c r="D21" s="2" t="str">
        <f>VLOOKUP($C21,Sheet1!$A$2:$D$10,2,0)</f>
        <v>116040-92240</v>
      </c>
      <c r="E21" s="8" t="s">
        <v>90</v>
      </c>
      <c r="F21" s="12">
        <v>46053</v>
      </c>
      <c r="G21" s="13">
        <v>0.3125</v>
      </c>
      <c r="H21" s="2" t="s">
        <v>91</v>
      </c>
      <c r="I21" s="2" t="s">
        <v>54</v>
      </c>
      <c r="J21" s="2">
        <v>18</v>
      </c>
      <c r="K21" s="14">
        <f>VLOOKUP($C21,Sheet1!$A$2:$D$10,4,0)</f>
        <v>6</v>
      </c>
      <c r="L21" s="14" t="str">
        <f>VLOOKUP($C21,Sheet1!$A$2:$E$10,5,0)</f>
        <v>Bin</v>
      </c>
      <c r="M21" s="14">
        <f t="shared" si="2"/>
        <v>3</v>
      </c>
      <c r="N21" s="2"/>
      <c r="O21" s="2" t="s">
        <v>122</v>
      </c>
      <c r="P21" s="2" t="s">
        <v>1858</v>
      </c>
    </row>
    <row r="22" spans="1:16" x14ac:dyDescent="0.25">
      <c r="A22" s="17" t="s">
        <v>1847</v>
      </c>
      <c r="B22" s="2" t="s">
        <v>1813</v>
      </c>
      <c r="C22" s="2" t="s">
        <v>32</v>
      </c>
      <c r="D22" s="2" t="str">
        <f>VLOOKUP($C22,Sheet1!$A$2:$D$10,2,0)</f>
        <v>114010-50820</v>
      </c>
      <c r="E22" s="8" t="s">
        <v>98</v>
      </c>
      <c r="F22" s="12">
        <v>46053</v>
      </c>
      <c r="G22" s="13">
        <v>0.3125</v>
      </c>
      <c r="H22" s="2" t="s">
        <v>91</v>
      </c>
      <c r="I22" s="2" t="s">
        <v>54</v>
      </c>
      <c r="J22" s="2">
        <v>9</v>
      </c>
      <c r="K22" s="14">
        <f>VLOOKUP($C22,Sheet1!$A$2:$D$10,4,0)</f>
        <v>1</v>
      </c>
      <c r="L22" s="14" t="str">
        <f>VLOOKUP($C22,Sheet1!$A$2:$E$10,5,0)</f>
        <v>Bin</v>
      </c>
      <c r="M22" s="14">
        <f t="shared" si="2"/>
        <v>9</v>
      </c>
      <c r="N22" s="2"/>
      <c r="O22" s="2" t="s">
        <v>122</v>
      </c>
      <c r="P22" s="2" t="s">
        <v>724</v>
      </c>
    </row>
    <row r="23" spans="1:16" x14ac:dyDescent="0.25">
      <c r="A23" s="17" t="s">
        <v>1847</v>
      </c>
      <c r="B23" s="2" t="s">
        <v>1821</v>
      </c>
      <c r="C23" s="2" t="s">
        <v>29</v>
      </c>
      <c r="D23" s="2" t="str">
        <f>VLOOKUP($C23,Sheet1!$A$2:$D$10,2,0)</f>
        <v>114010-50830</v>
      </c>
      <c r="E23" s="8" t="s">
        <v>98</v>
      </c>
      <c r="F23" s="12">
        <v>46053</v>
      </c>
      <c r="G23" s="13">
        <v>0.3125</v>
      </c>
      <c r="H23" s="2" t="s">
        <v>91</v>
      </c>
      <c r="I23" s="2" t="s">
        <v>54</v>
      </c>
      <c r="J23" s="2">
        <v>1</v>
      </c>
      <c r="K23" s="14">
        <f>VLOOKUP($C23,Sheet1!$A$2:$D$10,4,0)</f>
        <v>1</v>
      </c>
      <c r="L23" s="14" t="str">
        <f>VLOOKUP($C23,Sheet1!$A$2:$E$10,5,0)</f>
        <v>Bin</v>
      </c>
      <c r="M23" s="14">
        <f t="shared" si="2"/>
        <v>1</v>
      </c>
      <c r="N23" s="2"/>
      <c r="O23" s="2" t="s">
        <v>122</v>
      </c>
      <c r="P23" s="2" t="s">
        <v>1858</v>
      </c>
    </row>
    <row r="24" spans="1:16" x14ac:dyDescent="0.25">
      <c r="A24" s="17" t="s">
        <v>1847</v>
      </c>
      <c r="B24" s="2" t="s">
        <v>1822</v>
      </c>
      <c r="C24" s="2" t="s">
        <v>29</v>
      </c>
      <c r="D24" s="2" t="str">
        <f>VLOOKUP($C24,Sheet1!$A$2:$D$10,2,0)</f>
        <v>114010-50830</v>
      </c>
      <c r="E24" s="8" t="s">
        <v>98</v>
      </c>
      <c r="F24" s="12">
        <v>46053</v>
      </c>
      <c r="G24" s="13">
        <v>0.3125</v>
      </c>
      <c r="H24" s="2" t="s">
        <v>91</v>
      </c>
      <c r="I24" s="2" t="s">
        <v>54</v>
      </c>
      <c r="J24" s="2">
        <v>14</v>
      </c>
      <c r="K24" s="14">
        <f>VLOOKUP($C24,Sheet1!$A$2:$D$10,4,0)</f>
        <v>1</v>
      </c>
      <c r="L24" s="14" t="str">
        <f>VLOOKUP($C24,Sheet1!$A$2:$E$10,5,0)</f>
        <v>Bin</v>
      </c>
      <c r="M24" s="14">
        <f t="shared" si="2"/>
        <v>14</v>
      </c>
      <c r="N24" s="2"/>
      <c r="O24" s="2" t="s">
        <v>122</v>
      </c>
      <c r="P24" s="2" t="s">
        <v>1858</v>
      </c>
    </row>
    <row r="25" spans="1:16" s="11" customForma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>
        <v>123</v>
      </c>
      <c r="N25" s="10">
        <v>8</v>
      </c>
      <c r="O25" s="10"/>
      <c r="P25" s="10"/>
    </row>
    <row r="26" spans="1:16" x14ac:dyDescent="0.25">
      <c r="A26" s="17" t="s">
        <v>1848</v>
      </c>
      <c r="B26" s="2" t="s">
        <v>1751</v>
      </c>
      <c r="C26" s="2" t="s">
        <v>5</v>
      </c>
      <c r="D26" s="2" t="str">
        <f>VLOOKUP($C26,Sheet1!$A$2:$D$10,2,0)</f>
        <v>141110-14600</v>
      </c>
      <c r="E26" s="8" t="s">
        <v>52</v>
      </c>
      <c r="F26" s="12">
        <v>46053</v>
      </c>
      <c r="G26" s="13">
        <v>0.35416666666666669</v>
      </c>
      <c r="H26" s="2" t="s">
        <v>53</v>
      </c>
      <c r="I26" s="2" t="s">
        <v>54</v>
      </c>
      <c r="J26" s="2">
        <v>36</v>
      </c>
      <c r="K26" s="14">
        <f>VLOOKUP($C26,Sheet1!$A$2:$D$10,4,0)</f>
        <v>18</v>
      </c>
      <c r="L26" s="14" t="str">
        <f>VLOOKUP($C26,Sheet1!$A$2:$E$10,5,0)</f>
        <v>Trolley (H)</v>
      </c>
      <c r="M26" s="14"/>
      <c r="N26" s="52">
        <v>2</v>
      </c>
      <c r="O26" s="2" t="s">
        <v>119</v>
      </c>
      <c r="P26" s="2" t="s">
        <v>2056</v>
      </c>
    </row>
    <row r="27" spans="1:16" x14ac:dyDescent="0.25">
      <c r="A27" s="17" t="s">
        <v>1848</v>
      </c>
      <c r="B27" s="2" t="s">
        <v>1760</v>
      </c>
      <c r="C27" s="2" t="s">
        <v>9</v>
      </c>
      <c r="D27" s="2" t="str">
        <f>VLOOKUP($C27,Sheet1!$A$2:$D$10,2,0)</f>
        <v>141120-14600</v>
      </c>
      <c r="E27" s="8" t="s">
        <v>60</v>
      </c>
      <c r="F27" s="12">
        <v>46053</v>
      </c>
      <c r="G27" s="13">
        <v>0.35416666666666669</v>
      </c>
      <c r="H27" s="2" t="s">
        <v>53</v>
      </c>
      <c r="I27" s="2" t="s">
        <v>54</v>
      </c>
      <c r="J27" s="2">
        <v>36</v>
      </c>
      <c r="K27" s="14">
        <f>VLOOKUP($C27,Sheet1!$A$2:$D$10,4,0)</f>
        <v>18</v>
      </c>
      <c r="L27" s="14" t="str">
        <f>VLOOKUP($C27,Sheet1!$A$2:$E$10,5,0)</f>
        <v>Trolley (H)</v>
      </c>
      <c r="M27" s="14"/>
      <c r="N27" s="53"/>
      <c r="O27" s="2" t="s">
        <v>119</v>
      </c>
      <c r="P27" s="2" t="s">
        <v>2056</v>
      </c>
    </row>
    <row r="28" spans="1:16" x14ac:dyDescent="0.25">
      <c r="A28" s="17" t="s">
        <v>1848</v>
      </c>
      <c r="B28" s="2" t="s">
        <v>1769</v>
      </c>
      <c r="C28" s="2" t="s">
        <v>12</v>
      </c>
      <c r="D28" s="2" t="str">
        <f>VLOOKUP($C28,Sheet1!$A$2:$D$10,2,0)</f>
        <v>141185-74670</v>
      </c>
      <c r="E28" s="8" t="s">
        <v>66</v>
      </c>
      <c r="F28" s="12">
        <v>46053</v>
      </c>
      <c r="G28" s="13">
        <v>0.35416666666666669</v>
      </c>
      <c r="H28" s="2" t="s">
        <v>53</v>
      </c>
      <c r="I28" s="2" t="s">
        <v>54</v>
      </c>
      <c r="J28" s="2">
        <v>40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f>J28/K28</f>
        <v>1</v>
      </c>
      <c r="O28" s="2" t="s">
        <v>119</v>
      </c>
      <c r="P28" s="2">
        <v>910107517</v>
      </c>
    </row>
    <row r="29" spans="1:16" x14ac:dyDescent="0.25">
      <c r="A29" s="17" t="s">
        <v>1848</v>
      </c>
      <c r="B29" s="2" t="s">
        <v>1778</v>
      </c>
      <c r="C29" s="2" t="s">
        <v>16</v>
      </c>
      <c r="D29" s="2" t="str">
        <f>VLOOKUP($C29,Sheet1!$A$2:$D$10,2,0)</f>
        <v>141140-91211</v>
      </c>
      <c r="E29" s="8" t="s">
        <v>70</v>
      </c>
      <c r="F29" s="12">
        <v>46053</v>
      </c>
      <c r="G29" s="13">
        <v>0.35416666666666669</v>
      </c>
      <c r="H29" s="2" t="s">
        <v>71</v>
      </c>
      <c r="I29" s="2" t="s">
        <v>54</v>
      </c>
      <c r="J29" s="2">
        <v>32</v>
      </c>
      <c r="K29" s="14">
        <f>VLOOKUP($C29,Sheet1!$A$2:$D$10,4,0)</f>
        <v>2</v>
      </c>
      <c r="L29" s="14" t="str">
        <f>VLOOKUP($C29,Sheet1!$A$2:$E$10,5,0)</f>
        <v>Bin</v>
      </c>
      <c r="M29" s="14">
        <f t="shared" ref="M29:M30" si="5">J29/K29</f>
        <v>16</v>
      </c>
      <c r="N29" s="2"/>
      <c r="O29" s="2" t="s">
        <v>119</v>
      </c>
      <c r="P29" s="2" t="s">
        <v>1857</v>
      </c>
    </row>
    <row r="30" spans="1:16" x14ac:dyDescent="0.25">
      <c r="A30" s="17" t="s">
        <v>1848</v>
      </c>
      <c r="B30" s="2" t="s">
        <v>1787</v>
      </c>
      <c r="C30" s="2" t="s">
        <v>20</v>
      </c>
      <c r="D30" s="2" t="str">
        <f>VLOOKUP($C30,Sheet1!$A$2:$D$10,2,0)</f>
        <v>141150-91211</v>
      </c>
      <c r="E30" s="8" t="s">
        <v>78</v>
      </c>
      <c r="F30" s="12">
        <v>46053</v>
      </c>
      <c r="G30" s="13">
        <v>0.35416666666666669</v>
      </c>
      <c r="H30" s="2" t="s">
        <v>71</v>
      </c>
      <c r="I30" s="2" t="s">
        <v>54</v>
      </c>
      <c r="J30" s="2">
        <v>32</v>
      </c>
      <c r="K30" s="14">
        <f>VLOOKUP($C30,Sheet1!$A$2:$D$10,4,0)</f>
        <v>2</v>
      </c>
      <c r="L30" s="14" t="str">
        <f>VLOOKUP($C30,Sheet1!$A$2:$E$10,5,0)</f>
        <v>Bin</v>
      </c>
      <c r="M30" s="14">
        <f t="shared" si="5"/>
        <v>16</v>
      </c>
      <c r="N30" s="2"/>
      <c r="O30" s="2" t="s">
        <v>119</v>
      </c>
      <c r="P30" s="2" t="s">
        <v>1857</v>
      </c>
    </row>
    <row r="31" spans="1:16" x14ac:dyDescent="0.25">
      <c r="A31" s="17" t="s">
        <v>1848</v>
      </c>
      <c r="B31" s="2" t="s">
        <v>1796</v>
      </c>
      <c r="C31" s="2" t="s">
        <v>23</v>
      </c>
      <c r="D31" s="2" t="str">
        <f>VLOOKUP($C31,Sheet1!$A$2:$D$10,2,0)</f>
        <v>141186-74360</v>
      </c>
      <c r="E31" s="8" t="s">
        <v>85</v>
      </c>
      <c r="F31" s="12">
        <v>46053</v>
      </c>
      <c r="G31" s="13">
        <v>0.35416666666666669</v>
      </c>
      <c r="H31" s="2" t="s">
        <v>71</v>
      </c>
      <c r="I31" s="2" t="s">
        <v>54</v>
      </c>
      <c r="J31" s="2">
        <v>40</v>
      </c>
      <c r="K31" s="14">
        <f>VLOOKUP($C31,Sheet1!$A$2:$D$10,4,0)</f>
        <v>40</v>
      </c>
      <c r="L31" s="14" t="str">
        <f>VLOOKUP($C31,Sheet1!$A$2:$E$10,5,0)</f>
        <v>Trolley</v>
      </c>
      <c r="M31" s="14"/>
      <c r="N31" s="2">
        <f>J31/K31</f>
        <v>1</v>
      </c>
      <c r="O31" s="2" t="s">
        <v>119</v>
      </c>
      <c r="P31" s="2">
        <v>910107700</v>
      </c>
    </row>
    <row r="32" spans="1:16" x14ac:dyDescent="0.25">
      <c r="A32" s="17" t="s">
        <v>1840</v>
      </c>
      <c r="B32" s="2" t="s">
        <v>1805</v>
      </c>
      <c r="C32" s="2" t="s">
        <v>26</v>
      </c>
      <c r="D32" s="2" t="str">
        <f>VLOOKUP($C32,Sheet1!$A$2:$D$10,2,0)</f>
        <v>116040-92240</v>
      </c>
      <c r="E32" s="8" t="s">
        <v>90</v>
      </c>
      <c r="F32" s="12">
        <v>46053</v>
      </c>
      <c r="G32" s="13">
        <v>0.35416666666666669</v>
      </c>
      <c r="H32" s="2" t="s">
        <v>91</v>
      </c>
      <c r="I32" s="2" t="s">
        <v>54</v>
      </c>
      <c r="J32" s="2">
        <v>30</v>
      </c>
      <c r="K32" s="14">
        <f>VLOOKUP($C32,Sheet1!$A$2:$D$10,4,0)</f>
        <v>6</v>
      </c>
      <c r="L32" s="14" t="str">
        <f>VLOOKUP($C32,Sheet1!$A$2:$E$10,5,0)</f>
        <v>Bin</v>
      </c>
      <c r="M32" s="14">
        <f t="shared" ref="M32:M35" si="6">J32/K32</f>
        <v>5</v>
      </c>
      <c r="N32" s="2"/>
      <c r="O32" s="2" t="s">
        <v>119</v>
      </c>
      <c r="P32" s="2" t="s">
        <v>1858</v>
      </c>
    </row>
    <row r="33" spans="1:16" x14ac:dyDescent="0.25">
      <c r="A33" s="17" t="s">
        <v>1840</v>
      </c>
      <c r="B33" s="2" t="s">
        <v>1814</v>
      </c>
      <c r="C33" s="2" t="s">
        <v>32</v>
      </c>
      <c r="D33" s="2" t="str">
        <f>VLOOKUP($C33,Sheet1!$A$2:$D$10,2,0)</f>
        <v>114010-50820</v>
      </c>
      <c r="E33" s="8" t="s">
        <v>98</v>
      </c>
      <c r="F33" s="12">
        <v>46053</v>
      </c>
      <c r="G33" s="13">
        <v>0.35416666666666669</v>
      </c>
      <c r="H33" s="2" t="s">
        <v>91</v>
      </c>
      <c r="I33" s="2" t="s">
        <v>54</v>
      </c>
      <c r="J33" s="2">
        <v>16</v>
      </c>
      <c r="K33" s="14">
        <f>VLOOKUP($C33,Sheet1!$A$2:$D$10,4,0)</f>
        <v>1</v>
      </c>
      <c r="L33" s="14" t="str">
        <f>VLOOKUP($C33,Sheet1!$A$2:$E$10,5,0)</f>
        <v>Bin</v>
      </c>
      <c r="M33" s="14">
        <f t="shared" si="6"/>
        <v>16</v>
      </c>
      <c r="N33" s="2"/>
      <c r="O33" s="2" t="s">
        <v>119</v>
      </c>
      <c r="P33" s="2" t="s">
        <v>724</v>
      </c>
    </row>
    <row r="34" spans="1:16" x14ac:dyDescent="0.25">
      <c r="A34" s="17" t="s">
        <v>1840</v>
      </c>
      <c r="B34" s="2" t="s">
        <v>1823</v>
      </c>
      <c r="C34" s="2" t="s">
        <v>29</v>
      </c>
      <c r="D34" s="2" t="str">
        <f>VLOOKUP($C34,Sheet1!$A$2:$D$10,2,0)</f>
        <v>114010-50830</v>
      </c>
      <c r="E34" s="8" t="s">
        <v>98</v>
      </c>
      <c r="F34" s="12">
        <v>46053</v>
      </c>
      <c r="G34" s="13">
        <v>0.35416666666666669</v>
      </c>
      <c r="H34" s="2" t="s">
        <v>91</v>
      </c>
      <c r="I34" s="2" t="s">
        <v>54</v>
      </c>
      <c r="J34" s="2">
        <v>12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ref="M34" si="7">J34/K34</f>
        <v>12</v>
      </c>
      <c r="N34" s="2"/>
      <c r="O34" s="2" t="s">
        <v>119</v>
      </c>
      <c r="P34" s="2" t="s">
        <v>1858</v>
      </c>
    </row>
    <row r="35" spans="1:16" x14ac:dyDescent="0.25">
      <c r="A35" s="17" t="s">
        <v>1850</v>
      </c>
      <c r="B35" s="2" t="s">
        <v>1823</v>
      </c>
      <c r="C35" s="2" t="s">
        <v>29</v>
      </c>
      <c r="D35" s="2" t="str">
        <f>VLOOKUP($C35,Sheet1!$A$2:$D$10,2,0)</f>
        <v>114010-50830</v>
      </c>
      <c r="E35" s="8" t="s">
        <v>98</v>
      </c>
      <c r="F35" s="12">
        <v>46053</v>
      </c>
      <c r="G35" s="13">
        <v>0.35416666666666669</v>
      </c>
      <c r="H35" s="2" t="s">
        <v>91</v>
      </c>
      <c r="I35" s="2" t="s">
        <v>54</v>
      </c>
      <c r="J35" s="2">
        <v>4</v>
      </c>
      <c r="K35" s="14">
        <f>VLOOKUP($C35,Sheet1!$A$2:$D$10,4,0)</f>
        <v>1</v>
      </c>
      <c r="L35" s="14" t="str">
        <f>VLOOKUP($C35,Sheet1!$A$2:$E$10,5,0)</f>
        <v>Bin</v>
      </c>
      <c r="M35" s="14">
        <f t="shared" si="6"/>
        <v>4</v>
      </c>
      <c r="N35" s="2"/>
      <c r="O35" s="2" t="s">
        <v>119</v>
      </c>
      <c r="P35" s="2" t="s">
        <v>1858</v>
      </c>
    </row>
    <row r="36" spans="1:16" s="11" customForma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>
        <v>69</v>
      </c>
      <c r="N36" s="10">
        <v>4</v>
      </c>
      <c r="O36" s="10"/>
      <c r="P36" s="10"/>
    </row>
    <row r="37" spans="1:16" x14ac:dyDescent="0.25">
      <c r="A37" s="17" t="s">
        <v>1849</v>
      </c>
      <c r="B37" s="2" t="s">
        <v>1752</v>
      </c>
      <c r="C37" s="2" t="s">
        <v>5</v>
      </c>
      <c r="D37" s="2" t="str">
        <f>VLOOKUP($C37,Sheet1!$A$2:$D$10,2,0)</f>
        <v>141110-14600</v>
      </c>
      <c r="E37" s="8" t="s">
        <v>52</v>
      </c>
      <c r="F37" s="12">
        <v>46053</v>
      </c>
      <c r="G37" s="13">
        <v>0.4375</v>
      </c>
      <c r="H37" s="2" t="s">
        <v>53</v>
      </c>
      <c r="I37" s="2" t="s">
        <v>54</v>
      </c>
      <c r="J37" s="2">
        <v>18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2">
        <v>1</v>
      </c>
      <c r="O37" s="2" t="s">
        <v>359</v>
      </c>
      <c r="P37" s="2" t="s">
        <v>1860</v>
      </c>
    </row>
    <row r="38" spans="1:16" x14ac:dyDescent="0.25">
      <c r="A38" s="17" t="s">
        <v>1849</v>
      </c>
      <c r="B38" s="2" t="s">
        <v>1761</v>
      </c>
      <c r="C38" s="2" t="s">
        <v>9</v>
      </c>
      <c r="D38" s="2" t="str">
        <f>VLOOKUP($C38,Sheet1!$A$2:$D$10,2,0)</f>
        <v>141120-14600</v>
      </c>
      <c r="E38" s="8" t="s">
        <v>60</v>
      </c>
      <c r="F38" s="12">
        <v>46053</v>
      </c>
      <c r="G38" s="13">
        <v>0.4375</v>
      </c>
      <c r="H38" s="2" t="s">
        <v>53</v>
      </c>
      <c r="I38" s="2" t="s">
        <v>54</v>
      </c>
      <c r="J38" s="2">
        <v>18</v>
      </c>
      <c r="K38" s="14">
        <f>VLOOKUP($C38,Sheet1!$A$2:$D$10,4,0)</f>
        <v>18</v>
      </c>
      <c r="L38" s="14" t="str">
        <f>VLOOKUP($C38,Sheet1!$A$2:$E$10,5,0)</f>
        <v>Trolley (H)</v>
      </c>
      <c r="M38" s="14"/>
      <c r="N38" s="53"/>
      <c r="O38" s="2" t="s">
        <v>359</v>
      </c>
      <c r="P38" s="2" t="s">
        <v>1860</v>
      </c>
    </row>
    <row r="39" spans="1:16" x14ac:dyDescent="0.25">
      <c r="A39" s="17" t="s">
        <v>1849</v>
      </c>
      <c r="B39" s="2" t="s">
        <v>1770</v>
      </c>
      <c r="C39" s="2" t="s">
        <v>12</v>
      </c>
      <c r="D39" s="2" t="str">
        <f>VLOOKUP($C39,Sheet1!$A$2:$D$10,2,0)</f>
        <v>141185-74670</v>
      </c>
      <c r="E39" s="8" t="s">
        <v>66</v>
      </c>
      <c r="F39" s="12">
        <v>46053</v>
      </c>
      <c r="G39" s="13">
        <v>0.4375</v>
      </c>
      <c r="H39" s="2" t="s">
        <v>53</v>
      </c>
      <c r="I39" s="2" t="s">
        <v>54</v>
      </c>
      <c r="J39" s="2">
        <v>80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>J39/K39</f>
        <v>2</v>
      </c>
      <c r="O39" s="2" t="s">
        <v>359</v>
      </c>
      <c r="P39" s="2" t="s">
        <v>2058</v>
      </c>
    </row>
    <row r="40" spans="1:16" x14ac:dyDescent="0.25">
      <c r="A40" s="17" t="s">
        <v>1849</v>
      </c>
      <c r="B40" s="2" t="s">
        <v>1779</v>
      </c>
      <c r="C40" s="2" t="s">
        <v>16</v>
      </c>
      <c r="D40" s="2" t="str">
        <f>VLOOKUP($C40,Sheet1!$A$2:$D$10,2,0)</f>
        <v>141140-91211</v>
      </c>
      <c r="E40" s="8" t="s">
        <v>70</v>
      </c>
      <c r="F40" s="12">
        <v>46053</v>
      </c>
      <c r="G40" s="13">
        <v>0.4375</v>
      </c>
      <c r="H40" s="2" t="s">
        <v>71</v>
      </c>
      <c r="I40" s="2" t="s">
        <v>54</v>
      </c>
      <c r="J40" s="2">
        <v>32</v>
      </c>
      <c r="K40" s="14">
        <f>VLOOKUP($C40,Sheet1!$A$2:$D$10,4,0)</f>
        <v>2</v>
      </c>
      <c r="L40" s="14" t="str">
        <f>VLOOKUP($C40,Sheet1!$A$2:$E$10,5,0)</f>
        <v>Bin</v>
      </c>
      <c r="M40" s="14">
        <f t="shared" ref="M40:M41" si="8">J40/K40</f>
        <v>16</v>
      </c>
      <c r="N40" s="2"/>
      <c r="O40" s="2" t="s">
        <v>359</v>
      </c>
      <c r="P40" s="2" t="s">
        <v>1857</v>
      </c>
    </row>
    <row r="41" spans="1:16" x14ac:dyDescent="0.25">
      <c r="A41" s="17" t="s">
        <v>1849</v>
      </c>
      <c r="B41" s="2" t="s">
        <v>1788</v>
      </c>
      <c r="C41" s="2" t="s">
        <v>20</v>
      </c>
      <c r="D41" s="2" t="str">
        <f>VLOOKUP($C41,Sheet1!$A$2:$D$10,2,0)</f>
        <v>141150-91211</v>
      </c>
      <c r="E41" s="8" t="s">
        <v>78</v>
      </c>
      <c r="F41" s="12">
        <v>46053</v>
      </c>
      <c r="G41" s="13">
        <v>0.4375</v>
      </c>
      <c r="H41" s="2" t="s">
        <v>71</v>
      </c>
      <c r="I41" s="2" t="s">
        <v>54</v>
      </c>
      <c r="J41" s="2">
        <v>32</v>
      </c>
      <c r="K41" s="14">
        <f>VLOOKUP($C41,Sheet1!$A$2:$D$10,4,0)</f>
        <v>2</v>
      </c>
      <c r="L41" s="14" t="str">
        <f>VLOOKUP($C41,Sheet1!$A$2:$E$10,5,0)</f>
        <v>Bin</v>
      </c>
      <c r="M41" s="14">
        <f t="shared" si="8"/>
        <v>16</v>
      </c>
      <c r="N41" s="2"/>
      <c r="O41" s="2" t="s">
        <v>359</v>
      </c>
      <c r="P41" s="2" t="s">
        <v>1857</v>
      </c>
    </row>
    <row r="42" spans="1:16" x14ac:dyDescent="0.25">
      <c r="A42" s="17" t="s">
        <v>1849</v>
      </c>
      <c r="B42" s="2" t="s">
        <v>1797</v>
      </c>
      <c r="C42" s="2" t="s">
        <v>23</v>
      </c>
      <c r="D42" s="2" t="str">
        <f>VLOOKUP($C42,Sheet1!$A$2:$D$10,2,0)</f>
        <v>141186-74360</v>
      </c>
      <c r="E42" s="8" t="s">
        <v>85</v>
      </c>
      <c r="F42" s="12">
        <v>46053</v>
      </c>
      <c r="G42" s="13">
        <v>0.4375</v>
      </c>
      <c r="H42" s="2" t="s">
        <v>71</v>
      </c>
      <c r="I42" s="2" t="s">
        <v>54</v>
      </c>
      <c r="J42" s="2">
        <v>80</v>
      </c>
      <c r="K42" s="14">
        <f>VLOOKUP($C42,Sheet1!$A$2:$D$10,4,0)</f>
        <v>40</v>
      </c>
      <c r="L42" s="14" t="str">
        <f>VLOOKUP($C42,Sheet1!$A$2:$E$10,5,0)</f>
        <v>Trolley</v>
      </c>
      <c r="M42" s="14"/>
      <c r="N42" s="2">
        <f>J42/K42</f>
        <v>2</v>
      </c>
      <c r="O42" s="2" t="s">
        <v>359</v>
      </c>
      <c r="P42" s="2">
        <v>910107700</v>
      </c>
    </row>
    <row r="43" spans="1:16" x14ac:dyDescent="0.25">
      <c r="A43" s="17" t="s">
        <v>1851</v>
      </c>
      <c r="B43" s="2" t="s">
        <v>1806</v>
      </c>
      <c r="C43" s="2" t="s">
        <v>26</v>
      </c>
      <c r="D43" s="2" t="str">
        <f>VLOOKUP($C43,Sheet1!$A$2:$D$10,2,0)</f>
        <v>116040-92240</v>
      </c>
      <c r="E43" s="8" t="s">
        <v>90</v>
      </c>
      <c r="F43" s="12">
        <v>46053</v>
      </c>
      <c r="G43" s="13">
        <v>0.4375</v>
      </c>
      <c r="H43" s="2" t="s">
        <v>91</v>
      </c>
      <c r="I43" s="2" t="s">
        <v>54</v>
      </c>
      <c r="J43" s="2">
        <v>36</v>
      </c>
      <c r="K43" s="14">
        <f>VLOOKUP($C43,Sheet1!$A$2:$D$10,4,0)</f>
        <v>6</v>
      </c>
      <c r="L43" s="14" t="str">
        <f>VLOOKUP($C43,Sheet1!$A$2:$E$10,5,0)</f>
        <v>Bin</v>
      </c>
      <c r="M43" s="14">
        <f t="shared" ref="M43:M45" si="9">J43/K43</f>
        <v>6</v>
      </c>
      <c r="N43" s="2"/>
      <c r="O43" s="2" t="s">
        <v>359</v>
      </c>
      <c r="P43" s="2" t="s">
        <v>2057</v>
      </c>
    </row>
    <row r="44" spans="1:16" x14ac:dyDescent="0.25">
      <c r="A44" s="17" t="s">
        <v>1851</v>
      </c>
      <c r="B44" s="2" t="s">
        <v>1815</v>
      </c>
      <c r="C44" s="2" t="s">
        <v>32</v>
      </c>
      <c r="D44" s="2" t="str">
        <f>VLOOKUP($C44,Sheet1!$A$2:$D$10,2,0)</f>
        <v>114010-50820</v>
      </c>
      <c r="E44" s="8" t="s">
        <v>98</v>
      </c>
      <c r="F44" s="12">
        <v>46053</v>
      </c>
      <c r="G44" s="13">
        <v>0.4375</v>
      </c>
      <c r="H44" s="2" t="s">
        <v>91</v>
      </c>
      <c r="I44" s="2" t="s">
        <v>54</v>
      </c>
      <c r="J44" s="2">
        <v>13</v>
      </c>
      <c r="K44" s="14">
        <f>VLOOKUP($C44,Sheet1!$A$2:$D$10,4,0)</f>
        <v>1</v>
      </c>
      <c r="L44" s="14" t="str">
        <f>VLOOKUP($C44,Sheet1!$A$2:$E$10,5,0)</f>
        <v>Bin</v>
      </c>
      <c r="M44" s="14">
        <f t="shared" si="9"/>
        <v>13</v>
      </c>
      <c r="N44" s="2"/>
      <c r="O44" s="2" t="s">
        <v>359</v>
      </c>
      <c r="P44" s="2" t="s">
        <v>724</v>
      </c>
    </row>
    <row r="45" spans="1:16" x14ac:dyDescent="0.25">
      <c r="A45" s="17" t="s">
        <v>1851</v>
      </c>
      <c r="B45" s="2" t="s">
        <v>1824</v>
      </c>
      <c r="C45" s="2" t="s">
        <v>29</v>
      </c>
      <c r="D45" s="2" t="str">
        <f>VLOOKUP($C45,Sheet1!$A$2:$D$10,2,0)</f>
        <v>114010-50830</v>
      </c>
      <c r="E45" s="8" t="s">
        <v>98</v>
      </c>
      <c r="F45" s="12">
        <v>46053</v>
      </c>
      <c r="G45" s="13">
        <v>0.4375</v>
      </c>
      <c r="H45" s="2" t="s">
        <v>91</v>
      </c>
      <c r="I45" s="2" t="s">
        <v>54</v>
      </c>
      <c r="J45" s="2">
        <v>18</v>
      </c>
      <c r="K45" s="14">
        <f>VLOOKUP($C45,Sheet1!$A$2:$D$10,4,0)</f>
        <v>1</v>
      </c>
      <c r="L45" s="14" t="str">
        <f>VLOOKUP($C45,Sheet1!$A$2:$E$10,5,0)</f>
        <v>Bin</v>
      </c>
      <c r="M45" s="14">
        <f t="shared" si="9"/>
        <v>18</v>
      </c>
      <c r="N45" s="2"/>
      <c r="O45" s="2" t="s">
        <v>359</v>
      </c>
      <c r="P45" s="2" t="s">
        <v>1858</v>
      </c>
    </row>
    <row r="46" spans="1:16" s="11" customForma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>
        <v>69</v>
      </c>
      <c r="N46" s="10">
        <v>5</v>
      </c>
      <c r="O46" s="10"/>
      <c r="P46" s="10"/>
    </row>
    <row r="47" spans="1:16" x14ac:dyDescent="0.25">
      <c r="A47" s="17" t="s">
        <v>1852</v>
      </c>
      <c r="B47" s="2" t="s">
        <v>1753</v>
      </c>
      <c r="C47" s="2" t="s">
        <v>5</v>
      </c>
      <c r="D47" s="2" t="str">
        <f>VLOOKUP($C47,Sheet1!$A$2:$D$10,2,0)</f>
        <v>141110-14600</v>
      </c>
      <c r="E47" s="8" t="s">
        <v>52</v>
      </c>
      <c r="F47" s="12">
        <v>46053</v>
      </c>
      <c r="G47" s="13">
        <v>0.52083333333333337</v>
      </c>
      <c r="H47" s="2" t="s">
        <v>53</v>
      </c>
      <c r="I47" s="2" t="s">
        <v>54</v>
      </c>
      <c r="J47" s="2">
        <v>54</v>
      </c>
      <c r="K47" s="14">
        <f>VLOOKUP($C47,Sheet1!$A$2:$D$10,4,0)</f>
        <v>18</v>
      </c>
      <c r="L47" s="14" t="str">
        <f>VLOOKUP($C47,Sheet1!$A$2:$E$10,5,0)</f>
        <v>Trolley (H)</v>
      </c>
      <c r="M47" s="14"/>
      <c r="N47" s="52">
        <v>3</v>
      </c>
      <c r="O47" s="2" t="s">
        <v>121</v>
      </c>
      <c r="P47" s="2" t="s">
        <v>2059</v>
      </c>
    </row>
    <row r="48" spans="1:16" x14ac:dyDescent="0.25">
      <c r="A48" s="17" t="s">
        <v>1852</v>
      </c>
      <c r="B48" s="2" t="s">
        <v>1762</v>
      </c>
      <c r="C48" s="2" t="s">
        <v>9</v>
      </c>
      <c r="D48" s="2" t="str">
        <f>VLOOKUP($C48,Sheet1!$A$2:$D$10,2,0)</f>
        <v>141120-14600</v>
      </c>
      <c r="E48" s="8" t="s">
        <v>60</v>
      </c>
      <c r="F48" s="12">
        <v>46053</v>
      </c>
      <c r="G48" s="13">
        <v>0.52083333333333337</v>
      </c>
      <c r="H48" s="2" t="s">
        <v>53</v>
      </c>
      <c r="I48" s="2" t="s">
        <v>54</v>
      </c>
      <c r="J48" s="2">
        <v>54</v>
      </c>
      <c r="K48" s="14">
        <f>VLOOKUP($C48,Sheet1!$A$2:$D$10,4,0)</f>
        <v>18</v>
      </c>
      <c r="L48" s="14" t="str">
        <f>VLOOKUP($C48,Sheet1!$A$2:$E$10,5,0)</f>
        <v>Trolley (H)</v>
      </c>
      <c r="M48" s="14"/>
      <c r="N48" s="53"/>
      <c r="O48" s="2" t="s">
        <v>121</v>
      </c>
      <c r="P48" s="2" t="s">
        <v>2059</v>
      </c>
    </row>
    <row r="49" spans="1:16" x14ac:dyDescent="0.25">
      <c r="A49" s="17" t="s">
        <v>1852</v>
      </c>
      <c r="B49" s="2" t="s">
        <v>1771</v>
      </c>
      <c r="C49" s="2" t="s">
        <v>12</v>
      </c>
      <c r="D49" s="2" t="str">
        <f>VLOOKUP($C49,Sheet1!$A$2:$D$10,2,0)</f>
        <v>141185-74670</v>
      </c>
      <c r="E49" s="8" t="s">
        <v>66</v>
      </c>
      <c r="F49" s="12">
        <v>46053</v>
      </c>
      <c r="G49" s="13">
        <v>0.52083333333333337</v>
      </c>
      <c r="H49" s="2" t="s">
        <v>53</v>
      </c>
      <c r="I49" s="2" t="s">
        <v>54</v>
      </c>
      <c r="J49" s="2">
        <v>80</v>
      </c>
      <c r="K49" s="14">
        <f>VLOOKUP($C49,Sheet1!$A$2:$D$10,4,0)</f>
        <v>40</v>
      </c>
      <c r="L49" s="14" t="str">
        <f>VLOOKUP($C49,Sheet1!$A$2:$E$10,5,0)</f>
        <v>Trolley</v>
      </c>
      <c r="M49" s="14"/>
      <c r="N49" s="2">
        <f>J49/K49</f>
        <v>2</v>
      </c>
      <c r="O49" s="2" t="s">
        <v>121</v>
      </c>
      <c r="P49" s="2">
        <v>910107890</v>
      </c>
    </row>
    <row r="50" spans="1:16" x14ac:dyDescent="0.25">
      <c r="A50" s="17" t="s">
        <v>1852</v>
      </c>
      <c r="B50" s="2" t="s">
        <v>1780</v>
      </c>
      <c r="C50" s="2" t="s">
        <v>16</v>
      </c>
      <c r="D50" s="2" t="str">
        <f>VLOOKUP($C50,Sheet1!$A$2:$D$10,2,0)</f>
        <v>141140-91211</v>
      </c>
      <c r="E50" s="8" t="s">
        <v>70</v>
      </c>
      <c r="F50" s="12">
        <v>46053</v>
      </c>
      <c r="G50" s="13">
        <v>0.52083333333333337</v>
      </c>
      <c r="H50" s="2" t="s">
        <v>71</v>
      </c>
      <c r="I50" s="2" t="s">
        <v>54</v>
      </c>
      <c r="J50" s="2">
        <v>48</v>
      </c>
      <c r="K50" s="14">
        <f>VLOOKUP($C50,Sheet1!$A$2:$D$10,4,0)</f>
        <v>2</v>
      </c>
      <c r="L50" s="14" t="str">
        <f>VLOOKUP($C50,Sheet1!$A$2:$E$10,5,0)</f>
        <v>Bin</v>
      </c>
      <c r="M50" s="14">
        <f t="shared" ref="M50:M51" si="10">J50/K50</f>
        <v>24</v>
      </c>
      <c r="N50" s="2"/>
      <c r="O50" s="2" t="s">
        <v>121</v>
      </c>
      <c r="P50" s="2" t="s">
        <v>1857</v>
      </c>
    </row>
    <row r="51" spans="1:16" x14ac:dyDescent="0.25">
      <c r="A51" s="17" t="s">
        <v>1852</v>
      </c>
      <c r="B51" s="2" t="s">
        <v>1789</v>
      </c>
      <c r="C51" s="2" t="s">
        <v>20</v>
      </c>
      <c r="D51" s="2" t="str">
        <f>VLOOKUP($C51,Sheet1!$A$2:$D$10,2,0)</f>
        <v>141150-91211</v>
      </c>
      <c r="E51" s="8" t="s">
        <v>78</v>
      </c>
      <c r="F51" s="12">
        <v>46053</v>
      </c>
      <c r="G51" s="13">
        <v>0.52083333333333337</v>
      </c>
      <c r="H51" s="2" t="s">
        <v>71</v>
      </c>
      <c r="I51" s="2" t="s">
        <v>54</v>
      </c>
      <c r="J51" s="2">
        <v>48</v>
      </c>
      <c r="K51" s="14">
        <f>VLOOKUP($C51,Sheet1!$A$2:$D$10,4,0)</f>
        <v>2</v>
      </c>
      <c r="L51" s="14" t="str">
        <f>VLOOKUP($C51,Sheet1!$A$2:$E$10,5,0)</f>
        <v>Bin</v>
      </c>
      <c r="M51" s="14">
        <f t="shared" si="10"/>
        <v>24</v>
      </c>
      <c r="N51" s="2"/>
      <c r="O51" s="2" t="s">
        <v>121</v>
      </c>
      <c r="P51" s="2" t="s">
        <v>1857</v>
      </c>
    </row>
    <row r="52" spans="1:16" x14ac:dyDescent="0.25">
      <c r="A52" s="17" t="s">
        <v>1852</v>
      </c>
      <c r="B52" s="2" t="s">
        <v>1798</v>
      </c>
      <c r="C52" s="2" t="s">
        <v>23</v>
      </c>
      <c r="D52" s="2" t="str">
        <f>VLOOKUP($C52,Sheet1!$A$2:$D$10,2,0)</f>
        <v>141186-74360</v>
      </c>
      <c r="E52" s="8" t="s">
        <v>85</v>
      </c>
      <c r="F52" s="12">
        <v>46053</v>
      </c>
      <c r="G52" s="13">
        <v>0.52083333333333337</v>
      </c>
      <c r="H52" s="2" t="s">
        <v>71</v>
      </c>
      <c r="I52" s="2" t="s">
        <v>54</v>
      </c>
      <c r="J52" s="2">
        <v>80</v>
      </c>
      <c r="K52" s="14">
        <f>VLOOKUP($C52,Sheet1!$A$2:$D$10,4,0)</f>
        <v>40</v>
      </c>
      <c r="L52" s="14" t="str">
        <f>VLOOKUP($C52,Sheet1!$A$2:$E$10,5,0)</f>
        <v>Trolley</v>
      </c>
      <c r="M52" s="14"/>
      <c r="N52" s="2">
        <f>J52/K52</f>
        <v>2</v>
      </c>
      <c r="O52" s="2" t="s">
        <v>121</v>
      </c>
      <c r="P52" s="2">
        <v>910107700</v>
      </c>
    </row>
    <row r="53" spans="1:16" x14ac:dyDescent="0.25">
      <c r="A53" s="17" t="s">
        <v>1853</v>
      </c>
      <c r="B53" s="2" t="s">
        <v>1807</v>
      </c>
      <c r="C53" s="2" t="s">
        <v>26</v>
      </c>
      <c r="D53" s="2" t="str">
        <f>VLOOKUP($C53,Sheet1!$A$2:$D$10,2,0)</f>
        <v>116040-92240</v>
      </c>
      <c r="E53" s="8" t="s">
        <v>90</v>
      </c>
      <c r="F53" s="12">
        <v>46053</v>
      </c>
      <c r="G53" s="13">
        <v>0.52083333333333337</v>
      </c>
      <c r="H53" s="2" t="s">
        <v>91</v>
      </c>
      <c r="I53" s="2" t="s">
        <v>54</v>
      </c>
      <c r="J53" s="2">
        <v>48</v>
      </c>
      <c r="K53" s="14">
        <f>VLOOKUP($C53,Sheet1!$A$2:$D$10,4,0)</f>
        <v>6</v>
      </c>
      <c r="L53" s="14" t="str">
        <f>VLOOKUP($C53,Sheet1!$A$2:$E$10,5,0)</f>
        <v>Bin</v>
      </c>
      <c r="M53" s="14">
        <f t="shared" ref="M53:M55" si="11">J53/K53</f>
        <v>8</v>
      </c>
      <c r="N53" s="2"/>
      <c r="O53" s="2" t="s">
        <v>121</v>
      </c>
      <c r="P53" s="2" t="s">
        <v>2057</v>
      </c>
    </row>
    <row r="54" spans="1:16" x14ac:dyDescent="0.25">
      <c r="A54" s="17" t="s">
        <v>1853</v>
      </c>
      <c r="B54" s="2" t="s">
        <v>1816</v>
      </c>
      <c r="C54" s="2" t="s">
        <v>32</v>
      </c>
      <c r="D54" s="2" t="str">
        <f>VLOOKUP($C54,Sheet1!$A$2:$D$10,2,0)</f>
        <v>114010-50820</v>
      </c>
      <c r="E54" s="8" t="s">
        <v>98</v>
      </c>
      <c r="F54" s="12">
        <v>46053</v>
      </c>
      <c r="G54" s="13">
        <v>0.52083333333333337</v>
      </c>
      <c r="H54" s="2" t="s">
        <v>91</v>
      </c>
      <c r="I54" s="2" t="s">
        <v>54</v>
      </c>
      <c r="J54" s="2">
        <v>29</v>
      </c>
      <c r="K54" s="14">
        <f>VLOOKUP($C54,Sheet1!$A$2:$D$10,4,0)</f>
        <v>1</v>
      </c>
      <c r="L54" s="14" t="str">
        <f>VLOOKUP($C54,Sheet1!$A$2:$E$10,5,0)</f>
        <v>Bin</v>
      </c>
      <c r="M54" s="14">
        <f t="shared" si="11"/>
        <v>29</v>
      </c>
      <c r="N54" s="2"/>
      <c r="O54" s="2" t="s">
        <v>121</v>
      </c>
      <c r="P54" s="2" t="s">
        <v>724</v>
      </c>
    </row>
    <row r="55" spans="1:16" x14ac:dyDescent="0.25">
      <c r="A55" s="17" t="s">
        <v>1853</v>
      </c>
      <c r="B55" s="2" t="s">
        <v>1825</v>
      </c>
      <c r="C55" s="2" t="s">
        <v>29</v>
      </c>
      <c r="D55" s="2" t="str">
        <f>VLOOKUP($C55,Sheet1!$A$2:$D$10,2,0)</f>
        <v>114010-50830</v>
      </c>
      <c r="E55" s="8" t="s">
        <v>98</v>
      </c>
      <c r="F55" s="12">
        <v>46053</v>
      </c>
      <c r="G55" s="13">
        <v>0.52083333333333337</v>
      </c>
      <c r="H55" s="2" t="s">
        <v>91</v>
      </c>
      <c r="I55" s="2" t="s">
        <v>54</v>
      </c>
      <c r="J55" s="2">
        <v>17</v>
      </c>
      <c r="K55" s="14">
        <f>VLOOKUP($C55,Sheet1!$A$2:$D$10,4,0)</f>
        <v>1</v>
      </c>
      <c r="L55" s="14" t="str">
        <f>VLOOKUP($C55,Sheet1!$A$2:$E$10,5,0)</f>
        <v>Bin</v>
      </c>
      <c r="M55" s="14">
        <f t="shared" si="11"/>
        <v>17</v>
      </c>
      <c r="N55" s="2"/>
      <c r="O55" s="2" t="s">
        <v>121</v>
      </c>
      <c r="P55" s="2" t="s">
        <v>1858</v>
      </c>
    </row>
    <row r="56" spans="1:16" s="11" customForma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>
        <v>102</v>
      </c>
      <c r="N56" s="10">
        <v>7</v>
      </c>
      <c r="O56" s="10"/>
      <c r="P56" s="10"/>
    </row>
    <row r="57" spans="1:16" x14ac:dyDescent="0.25">
      <c r="A57" s="17" t="s">
        <v>1854</v>
      </c>
      <c r="B57" s="2" t="s">
        <v>1754</v>
      </c>
      <c r="C57" s="2" t="s">
        <v>5</v>
      </c>
      <c r="D57" s="2" t="str">
        <f>VLOOKUP($C57,Sheet1!$A$2:$D$10,2,0)</f>
        <v>141110-14600</v>
      </c>
      <c r="E57" s="8" t="s">
        <v>52</v>
      </c>
      <c r="F57" s="12">
        <v>46053</v>
      </c>
      <c r="G57" s="13">
        <v>0.64583333333333337</v>
      </c>
      <c r="H57" s="2" t="s">
        <v>53</v>
      </c>
      <c r="I57" s="2" t="s">
        <v>54</v>
      </c>
      <c r="J57" s="2">
        <v>54</v>
      </c>
      <c r="K57" s="14">
        <f>VLOOKUP($C57,Sheet1!$A$2:$D$10,4,0)</f>
        <v>18</v>
      </c>
      <c r="L57" s="14" t="str">
        <f>VLOOKUP($C57,Sheet1!$A$2:$E$10,5,0)</f>
        <v>Trolley (H)</v>
      </c>
      <c r="M57" s="14"/>
      <c r="N57" s="52">
        <v>3</v>
      </c>
      <c r="O57" s="2" t="s">
        <v>122</v>
      </c>
      <c r="P57" s="2" t="s">
        <v>2060</v>
      </c>
    </row>
    <row r="58" spans="1:16" x14ac:dyDescent="0.25">
      <c r="A58" s="17" t="s">
        <v>1854</v>
      </c>
      <c r="B58" s="2" t="s">
        <v>1763</v>
      </c>
      <c r="C58" s="2" t="s">
        <v>9</v>
      </c>
      <c r="D58" s="2" t="str">
        <f>VLOOKUP($C58,Sheet1!$A$2:$D$10,2,0)</f>
        <v>141120-14600</v>
      </c>
      <c r="E58" s="8" t="s">
        <v>60</v>
      </c>
      <c r="F58" s="12">
        <v>46053</v>
      </c>
      <c r="G58" s="13">
        <v>0.64583333333333337</v>
      </c>
      <c r="H58" s="2" t="s">
        <v>53</v>
      </c>
      <c r="I58" s="2" t="s">
        <v>54</v>
      </c>
      <c r="J58" s="2">
        <v>54</v>
      </c>
      <c r="K58" s="14">
        <f>VLOOKUP($C58,Sheet1!$A$2:$D$10,4,0)</f>
        <v>18</v>
      </c>
      <c r="L58" s="14" t="str">
        <f>VLOOKUP($C58,Sheet1!$A$2:$E$10,5,0)</f>
        <v>Trolley (H)</v>
      </c>
      <c r="M58" s="14"/>
      <c r="N58" s="53"/>
      <c r="O58" s="2" t="s">
        <v>122</v>
      </c>
      <c r="P58" s="2" t="s">
        <v>2061</v>
      </c>
    </row>
    <row r="59" spans="1:16" x14ac:dyDescent="0.25">
      <c r="A59" s="17" t="s">
        <v>1854</v>
      </c>
      <c r="B59" s="2" t="s">
        <v>1772</v>
      </c>
      <c r="C59" s="2" t="s">
        <v>12</v>
      </c>
      <c r="D59" s="2" t="str">
        <f>VLOOKUP($C59,Sheet1!$A$2:$D$10,2,0)</f>
        <v>141185-74670</v>
      </c>
      <c r="E59" s="8" t="s">
        <v>66</v>
      </c>
      <c r="F59" s="12">
        <v>46053</v>
      </c>
      <c r="G59" s="13">
        <v>0.64583333333333337</v>
      </c>
      <c r="H59" s="2" t="s">
        <v>53</v>
      </c>
      <c r="I59" s="2" t="s">
        <v>54</v>
      </c>
      <c r="J59" s="2">
        <v>120</v>
      </c>
      <c r="K59" s="14">
        <f>VLOOKUP($C59,Sheet1!$A$2:$D$10,4,0)</f>
        <v>40</v>
      </c>
      <c r="L59" s="14" t="str">
        <f>VLOOKUP($C59,Sheet1!$A$2:$E$10,5,0)</f>
        <v>Trolley</v>
      </c>
      <c r="M59" s="14"/>
      <c r="N59" s="2">
        <f>J59/K59</f>
        <v>3</v>
      </c>
      <c r="O59" s="2" t="s">
        <v>122</v>
      </c>
      <c r="P59" s="2">
        <v>910107890</v>
      </c>
    </row>
    <row r="60" spans="1:16" x14ac:dyDescent="0.25">
      <c r="A60" s="17" t="s">
        <v>1854</v>
      </c>
      <c r="B60" s="2" t="s">
        <v>1781</v>
      </c>
      <c r="C60" s="2" t="s">
        <v>16</v>
      </c>
      <c r="D60" s="2" t="str">
        <f>VLOOKUP($C60,Sheet1!$A$2:$D$10,2,0)</f>
        <v>141140-91211</v>
      </c>
      <c r="E60" s="8" t="s">
        <v>70</v>
      </c>
      <c r="F60" s="12">
        <v>46053</v>
      </c>
      <c r="G60" s="13">
        <v>0.64583333333333337</v>
      </c>
      <c r="H60" s="2" t="s">
        <v>71</v>
      </c>
      <c r="I60" s="2" t="s">
        <v>54</v>
      </c>
      <c r="J60" s="2">
        <v>48</v>
      </c>
      <c r="K60" s="14">
        <f>VLOOKUP($C60,Sheet1!$A$2:$D$10,4,0)</f>
        <v>2</v>
      </c>
      <c r="L60" s="14" t="str">
        <f>VLOOKUP($C60,Sheet1!$A$2:$E$10,5,0)</f>
        <v>Bin</v>
      </c>
      <c r="M60" s="14">
        <f t="shared" ref="M60:M61" si="12">J60/K60</f>
        <v>24</v>
      </c>
      <c r="N60" s="2"/>
      <c r="O60" s="2" t="s">
        <v>122</v>
      </c>
      <c r="P60" s="2" t="s">
        <v>1857</v>
      </c>
    </row>
    <row r="61" spans="1:16" x14ac:dyDescent="0.25">
      <c r="A61" s="17" t="s">
        <v>1854</v>
      </c>
      <c r="B61" s="2" t="s">
        <v>1790</v>
      </c>
      <c r="C61" s="2" t="s">
        <v>20</v>
      </c>
      <c r="D61" s="2" t="str">
        <f>VLOOKUP($C61,Sheet1!$A$2:$D$10,2,0)</f>
        <v>141150-91211</v>
      </c>
      <c r="E61" s="8" t="s">
        <v>78</v>
      </c>
      <c r="F61" s="12">
        <v>46053</v>
      </c>
      <c r="G61" s="13">
        <v>0.64583333333333337</v>
      </c>
      <c r="H61" s="2" t="s">
        <v>71</v>
      </c>
      <c r="I61" s="2" t="s">
        <v>54</v>
      </c>
      <c r="J61" s="2">
        <v>48</v>
      </c>
      <c r="K61" s="14">
        <f>VLOOKUP($C61,Sheet1!$A$2:$D$10,4,0)</f>
        <v>2</v>
      </c>
      <c r="L61" s="14" t="str">
        <f>VLOOKUP($C61,Sheet1!$A$2:$E$10,5,0)</f>
        <v>Bin</v>
      </c>
      <c r="M61" s="14">
        <f t="shared" si="12"/>
        <v>24</v>
      </c>
      <c r="N61" s="2"/>
      <c r="O61" s="2" t="s">
        <v>122</v>
      </c>
      <c r="P61" s="2" t="s">
        <v>1857</v>
      </c>
    </row>
    <row r="62" spans="1:16" x14ac:dyDescent="0.25">
      <c r="A62" s="17" t="s">
        <v>1854</v>
      </c>
      <c r="B62" s="2" t="s">
        <v>1799</v>
      </c>
      <c r="C62" s="2" t="s">
        <v>23</v>
      </c>
      <c r="D62" s="2" t="str">
        <f>VLOOKUP($C62,Sheet1!$A$2:$D$10,2,0)</f>
        <v>141186-74360</v>
      </c>
      <c r="E62" s="8" t="s">
        <v>85</v>
      </c>
      <c r="F62" s="12">
        <v>46053</v>
      </c>
      <c r="G62" s="13">
        <v>0.64583333333333337</v>
      </c>
      <c r="H62" s="2" t="s">
        <v>71</v>
      </c>
      <c r="I62" s="2" t="s">
        <v>54</v>
      </c>
      <c r="J62" s="2">
        <v>120</v>
      </c>
      <c r="K62" s="14">
        <f>VLOOKUP($C62,Sheet1!$A$2:$D$10,4,0)</f>
        <v>40</v>
      </c>
      <c r="L62" s="14" t="str">
        <f>VLOOKUP($C62,Sheet1!$A$2:$E$10,5,0)</f>
        <v>Trolley</v>
      </c>
      <c r="M62" s="14"/>
      <c r="N62" s="2">
        <f>J62/K62</f>
        <v>3</v>
      </c>
      <c r="O62" s="2" t="s">
        <v>122</v>
      </c>
      <c r="P62" s="2">
        <v>910107700</v>
      </c>
    </row>
    <row r="63" spans="1:16" x14ac:dyDescent="0.25">
      <c r="A63" s="17" t="s">
        <v>1855</v>
      </c>
      <c r="B63" s="2" t="s">
        <v>1808</v>
      </c>
      <c r="C63" s="2" t="s">
        <v>26</v>
      </c>
      <c r="D63" s="2" t="str">
        <f>VLOOKUP($C63,Sheet1!$A$2:$D$10,2,0)</f>
        <v>116040-92240</v>
      </c>
      <c r="E63" s="8" t="s">
        <v>90</v>
      </c>
      <c r="F63" s="12">
        <v>46053</v>
      </c>
      <c r="G63" s="13">
        <v>0.64583333333333337</v>
      </c>
      <c r="H63" s="2" t="s">
        <v>91</v>
      </c>
      <c r="I63" s="2" t="s">
        <v>54</v>
      </c>
      <c r="J63" s="2">
        <v>48</v>
      </c>
      <c r="K63" s="14">
        <f>VLOOKUP($C63,Sheet1!$A$2:$D$10,4,0)</f>
        <v>6</v>
      </c>
      <c r="L63" s="14" t="str">
        <f>VLOOKUP($C63,Sheet1!$A$2:$E$10,5,0)</f>
        <v>Bin</v>
      </c>
      <c r="M63" s="14">
        <f t="shared" ref="M63:M65" si="13">J63/K63</f>
        <v>8</v>
      </c>
      <c r="N63" s="2"/>
      <c r="O63" s="2" t="s">
        <v>122</v>
      </c>
      <c r="P63" s="2" t="s">
        <v>2057</v>
      </c>
    </row>
    <row r="64" spans="1:16" x14ac:dyDescent="0.25">
      <c r="A64" s="17" t="s">
        <v>1855</v>
      </c>
      <c r="B64" s="2" t="s">
        <v>1817</v>
      </c>
      <c r="C64" s="2" t="s">
        <v>32</v>
      </c>
      <c r="D64" s="2" t="str">
        <f>VLOOKUP($C64,Sheet1!$A$2:$D$10,2,0)</f>
        <v>114010-50820</v>
      </c>
      <c r="E64" s="8" t="s">
        <v>98</v>
      </c>
      <c r="F64" s="12">
        <v>46053</v>
      </c>
      <c r="G64" s="13">
        <v>0.64583333333333337</v>
      </c>
      <c r="H64" s="2" t="s">
        <v>91</v>
      </c>
      <c r="I64" s="2" t="s">
        <v>54</v>
      </c>
      <c r="J64" s="2">
        <v>19</v>
      </c>
      <c r="K64" s="14">
        <f>VLOOKUP($C64,Sheet1!$A$2:$D$10,4,0)</f>
        <v>1</v>
      </c>
      <c r="L64" s="14" t="str">
        <f>VLOOKUP($C64,Sheet1!$A$2:$E$10,5,0)</f>
        <v>Bin</v>
      </c>
      <c r="M64" s="14">
        <f t="shared" si="13"/>
        <v>19</v>
      </c>
      <c r="N64" s="2"/>
      <c r="O64" s="2" t="s">
        <v>122</v>
      </c>
      <c r="P64" s="2" t="s">
        <v>724</v>
      </c>
    </row>
    <row r="65" spans="1:16" x14ac:dyDescent="0.25">
      <c r="A65" s="17" t="s">
        <v>1855</v>
      </c>
      <c r="B65" s="2" t="s">
        <v>1826</v>
      </c>
      <c r="C65" s="2" t="s">
        <v>29</v>
      </c>
      <c r="D65" s="2" t="str">
        <f>VLOOKUP($C65,Sheet1!$A$2:$D$10,2,0)</f>
        <v>114010-50830</v>
      </c>
      <c r="E65" s="8" t="s">
        <v>98</v>
      </c>
      <c r="F65" s="12">
        <v>46053</v>
      </c>
      <c r="G65" s="13">
        <v>0.64583333333333337</v>
      </c>
      <c r="H65" s="2" t="s">
        <v>91</v>
      </c>
      <c r="I65" s="2" t="s">
        <v>54</v>
      </c>
      <c r="J65" s="2">
        <v>29</v>
      </c>
      <c r="K65" s="14">
        <f>VLOOKUP($C65,Sheet1!$A$2:$D$10,4,0)</f>
        <v>1</v>
      </c>
      <c r="L65" s="14" t="str">
        <f>VLOOKUP($C65,Sheet1!$A$2:$E$10,5,0)</f>
        <v>Bin</v>
      </c>
      <c r="M65" s="14">
        <f t="shared" si="13"/>
        <v>29</v>
      </c>
      <c r="N65" s="2"/>
      <c r="O65" s="2" t="s">
        <v>122</v>
      </c>
      <c r="P65" s="2" t="s">
        <v>1858</v>
      </c>
    </row>
    <row r="66" spans="1:16" s="11" customForma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>
        <v>104</v>
      </c>
      <c r="N66" s="10">
        <v>9</v>
      </c>
      <c r="O66" s="10"/>
      <c r="P66" s="10"/>
    </row>
    <row r="67" spans="1:16" x14ac:dyDescent="0.25">
      <c r="A67" s="2" t="s">
        <v>1956</v>
      </c>
      <c r="B67" s="2" t="s">
        <v>1755</v>
      </c>
      <c r="C67" s="2" t="s">
        <v>5</v>
      </c>
      <c r="D67" s="2" t="str">
        <f>VLOOKUP($C67,Sheet1!$A$2:$D$10,2,0)</f>
        <v>141110-14600</v>
      </c>
      <c r="E67" s="8" t="s">
        <v>52</v>
      </c>
      <c r="F67" s="12">
        <v>46053</v>
      </c>
      <c r="G67" s="13">
        <v>0.77083333333333337</v>
      </c>
      <c r="H67" s="2" t="s">
        <v>53</v>
      </c>
      <c r="I67" s="2" t="s">
        <v>54</v>
      </c>
      <c r="J67" s="2">
        <v>36</v>
      </c>
      <c r="K67" s="14">
        <f>VLOOKUP($C67,Sheet1!$A$2:$D$10,4,0)</f>
        <v>18</v>
      </c>
      <c r="L67" s="14" t="str">
        <f>VLOOKUP($C67,Sheet1!$A$2:$E$10,5,0)</f>
        <v>Trolley (H)</v>
      </c>
      <c r="M67" s="14"/>
      <c r="N67" s="52">
        <v>2</v>
      </c>
      <c r="O67" s="2" t="s">
        <v>119</v>
      </c>
      <c r="P67" s="2"/>
    </row>
    <row r="68" spans="1:16" x14ac:dyDescent="0.25">
      <c r="A68" s="2" t="s">
        <v>1956</v>
      </c>
      <c r="B68" s="2" t="s">
        <v>1764</v>
      </c>
      <c r="C68" s="2" t="s">
        <v>9</v>
      </c>
      <c r="D68" s="2" t="str">
        <f>VLOOKUP($C68,Sheet1!$A$2:$D$10,2,0)</f>
        <v>141120-14600</v>
      </c>
      <c r="E68" s="8" t="s">
        <v>60</v>
      </c>
      <c r="F68" s="12">
        <v>46053</v>
      </c>
      <c r="G68" s="13">
        <v>0.77083333333333337</v>
      </c>
      <c r="H68" s="2" t="s">
        <v>53</v>
      </c>
      <c r="I68" s="2" t="s">
        <v>54</v>
      </c>
      <c r="J68" s="2">
        <v>36</v>
      </c>
      <c r="K68" s="14">
        <f>VLOOKUP($C68,Sheet1!$A$2:$D$10,4,0)</f>
        <v>18</v>
      </c>
      <c r="L68" s="14" t="str">
        <f>VLOOKUP($C68,Sheet1!$A$2:$E$10,5,0)</f>
        <v>Trolley (H)</v>
      </c>
      <c r="M68" s="14"/>
      <c r="N68" s="53"/>
      <c r="O68" s="2" t="s">
        <v>119</v>
      </c>
      <c r="P68" s="2"/>
    </row>
    <row r="69" spans="1:16" x14ac:dyDescent="0.25">
      <c r="A69" s="2" t="s">
        <v>1956</v>
      </c>
      <c r="B69" s="2" t="s">
        <v>1773</v>
      </c>
      <c r="C69" s="2" t="s">
        <v>12</v>
      </c>
      <c r="D69" s="2" t="str">
        <f>VLOOKUP($C69,Sheet1!$A$2:$D$10,2,0)</f>
        <v>141185-74670</v>
      </c>
      <c r="E69" s="8" t="s">
        <v>66</v>
      </c>
      <c r="F69" s="12">
        <v>46053</v>
      </c>
      <c r="G69" s="13">
        <v>0.77083333333333337</v>
      </c>
      <c r="H69" s="2" t="s">
        <v>53</v>
      </c>
      <c r="I69" s="2" t="s">
        <v>54</v>
      </c>
      <c r="J69" s="2">
        <v>80</v>
      </c>
      <c r="K69" s="14">
        <f>VLOOKUP($C69,Sheet1!$A$2:$D$10,4,0)</f>
        <v>40</v>
      </c>
      <c r="L69" s="14" t="str">
        <f>VLOOKUP($C69,Sheet1!$A$2:$E$10,5,0)</f>
        <v>Trolley</v>
      </c>
      <c r="M69" s="14"/>
      <c r="N69" s="2">
        <f>J69/K69</f>
        <v>2</v>
      </c>
      <c r="O69" s="2" t="s">
        <v>119</v>
      </c>
      <c r="P69" s="2"/>
    </row>
    <row r="70" spans="1:16" x14ac:dyDescent="0.25">
      <c r="A70" s="2" t="s">
        <v>1956</v>
      </c>
      <c r="B70" s="2" t="s">
        <v>1782</v>
      </c>
      <c r="C70" s="2" t="s">
        <v>16</v>
      </c>
      <c r="D70" s="2" t="str">
        <f>VLOOKUP($C70,Sheet1!$A$2:$D$10,2,0)</f>
        <v>141140-91211</v>
      </c>
      <c r="E70" s="8" t="s">
        <v>70</v>
      </c>
      <c r="F70" s="12">
        <v>46053</v>
      </c>
      <c r="G70" s="13">
        <v>0.77083333333333337</v>
      </c>
      <c r="H70" s="2" t="s">
        <v>71</v>
      </c>
      <c r="I70" s="2" t="s">
        <v>54</v>
      </c>
      <c r="J70" s="2">
        <v>48</v>
      </c>
      <c r="K70" s="14">
        <f>VLOOKUP($C70,Sheet1!$A$2:$D$10,4,0)</f>
        <v>2</v>
      </c>
      <c r="L70" s="14" t="str">
        <f>VLOOKUP($C70,Sheet1!$A$2:$E$10,5,0)</f>
        <v>Bin</v>
      </c>
      <c r="M70" s="14">
        <f t="shared" ref="M70:M71" si="14">J70/K70</f>
        <v>24</v>
      </c>
      <c r="N70" s="2"/>
      <c r="O70" s="2" t="s">
        <v>119</v>
      </c>
      <c r="P70" s="2"/>
    </row>
    <row r="71" spans="1:16" x14ac:dyDescent="0.25">
      <c r="A71" s="2" t="s">
        <v>1956</v>
      </c>
      <c r="B71" s="2" t="s">
        <v>1791</v>
      </c>
      <c r="C71" s="2" t="s">
        <v>20</v>
      </c>
      <c r="D71" s="2" t="str">
        <f>VLOOKUP($C71,Sheet1!$A$2:$D$10,2,0)</f>
        <v>141150-91211</v>
      </c>
      <c r="E71" s="8" t="s">
        <v>78</v>
      </c>
      <c r="F71" s="12">
        <v>46053</v>
      </c>
      <c r="G71" s="13">
        <v>0.77083333333333337</v>
      </c>
      <c r="H71" s="2" t="s">
        <v>71</v>
      </c>
      <c r="I71" s="2" t="s">
        <v>54</v>
      </c>
      <c r="J71" s="2">
        <v>48</v>
      </c>
      <c r="K71" s="14">
        <f>VLOOKUP($C71,Sheet1!$A$2:$D$10,4,0)</f>
        <v>2</v>
      </c>
      <c r="L71" s="14" t="str">
        <f>VLOOKUP($C71,Sheet1!$A$2:$E$10,5,0)</f>
        <v>Bin</v>
      </c>
      <c r="M71" s="14">
        <f t="shared" si="14"/>
        <v>24</v>
      </c>
      <c r="N71" s="2"/>
      <c r="O71" s="2" t="s">
        <v>119</v>
      </c>
      <c r="P71" s="2"/>
    </row>
    <row r="72" spans="1:16" x14ac:dyDescent="0.25">
      <c r="A72" s="2" t="s">
        <v>1956</v>
      </c>
      <c r="B72" s="2" t="s">
        <v>1800</v>
      </c>
      <c r="C72" s="2" t="s">
        <v>23</v>
      </c>
      <c r="D72" s="2" t="str">
        <f>VLOOKUP($C72,Sheet1!$A$2:$D$10,2,0)</f>
        <v>141186-74360</v>
      </c>
      <c r="E72" s="8" t="s">
        <v>85</v>
      </c>
      <c r="F72" s="12">
        <v>46053</v>
      </c>
      <c r="G72" s="13">
        <v>0.77083333333333337</v>
      </c>
      <c r="H72" s="2" t="s">
        <v>71</v>
      </c>
      <c r="I72" s="2" t="s">
        <v>54</v>
      </c>
      <c r="J72" s="2">
        <v>80</v>
      </c>
      <c r="K72" s="14">
        <f>VLOOKUP($C72,Sheet1!$A$2:$D$10,4,0)</f>
        <v>40</v>
      </c>
      <c r="L72" s="14" t="str">
        <f>VLOOKUP($C72,Sheet1!$A$2:$E$10,5,0)</f>
        <v>Trolley</v>
      </c>
      <c r="M72" s="14"/>
      <c r="N72" s="2">
        <f>J72/K72</f>
        <v>2</v>
      </c>
      <c r="O72" s="2" t="s">
        <v>119</v>
      </c>
      <c r="P72" s="2"/>
    </row>
    <row r="73" spans="1:16" x14ac:dyDescent="0.25">
      <c r="A73" s="2" t="s">
        <v>1957</v>
      </c>
      <c r="B73" s="2" t="s">
        <v>1809</v>
      </c>
      <c r="C73" s="2" t="s">
        <v>26</v>
      </c>
      <c r="D73" s="2" t="str">
        <f>VLOOKUP($C73,Sheet1!$A$2:$D$10,2,0)</f>
        <v>116040-92240</v>
      </c>
      <c r="E73" s="8" t="s">
        <v>90</v>
      </c>
      <c r="F73" s="12">
        <v>46053</v>
      </c>
      <c r="G73" s="13">
        <v>0.77083333333333337</v>
      </c>
      <c r="H73" s="2" t="s">
        <v>91</v>
      </c>
      <c r="I73" s="2" t="s">
        <v>54</v>
      </c>
      <c r="J73" s="2">
        <v>48</v>
      </c>
      <c r="K73" s="14">
        <f>VLOOKUP($C73,Sheet1!$A$2:$D$10,4,0)</f>
        <v>6</v>
      </c>
      <c r="L73" s="14" t="str">
        <f>VLOOKUP($C73,Sheet1!$A$2:$E$10,5,0)</f>
        <v>Bin</v>
      </c>
      <c r="M73" s="14">
        <f t="shared" ref="M73:M75" si="15">J73/K73</f>
        <v>8</v>
      </c>
      <c r="N73" s="2"/>
      <c r="O73" s="2" t="s">
        <v>119</v>
      </c>
      <c r="P73" s="2"/>
    </row>
    <row r="74" spans="1:16" x14ac:dyDescent="0.25">
      <c r="A74" s="2" t="s">
        <v>1957</v>
      </c>
      <c r="B74" s="2" t="s">
        <v>1818</v>
      </c>
      <c r="C74" s="2" t="s">
        <v>32</v>
      </c>
      <c r="D74" s="2" t="str">
        <f>VLOOKUP($C74,Sheet1!$A$2:$D$10,2,0)</f>
        <v>114010-50820</v>
      </c>
      <c r="E74" s="8" t="s">
        <v>98</v>
      </c>
      <c r="F74" s="12">
        <v>46053</v>
      </c>
      <c r="G74" s="13">
        <v>0.77083333333333337</v>
      </c>
      <c r="H74" s="2" t="s">
        <v>91</v>
      </c>
      <c r="I74" s="2" t="s">
        <v>54</v>
      </c>
      <c r="J74" s="2">
        <v>31</v>
      </c>
      <c r="K74" s="14">
        <f>VLOOKUP($C74,Sheet1!$A$2:$D$10,4,0)</f>
        <v>1</v>
      </c>
      <c r="L74" s="14" t="str">
        <f>VLOOKUP($C74,Sheet1!$A$2:$E$10,5,0)</f>
        <v>Bin</v>
      </c>
      <c r="M74" s="14">
        <f t="shared" si="15"/>
        <v>31</v>
      </c>
      <c r="N74" s="2"/>
      <c r="O74" s="2" t="s">
        <v>119</v>
      </c>
      <c r="P74" s="2"/>
    </row>
    <row r="75" spans="1:16" x14ac:dyDescent="0.25">
      <c r="A75" s="2" t="s">
        <v>1957</v>
      </c>
      <c r="B75" s="2" t="s">
        <v>1827</v>
      </c>
      <c r="C75" s="2" t="s">
        <v>29</v>
      </c>
      <c r="D75" s="2" t="str">
        <f>VLOOKUP($C75,Sheet1!$A$2:$D$10,2,0)</f>
        <v>114010-50830</v>
      </c>
      <c r="E75" s="8" t="s">
        <v>98</v>
      </c>
      <c r="F75" s="12">
        <v>46053</v>
      </c>
      <c r="G75" s="13">
        <v>0.77083333333333337</v>
      </c>
      <c r="H75" s="2" t="s">
        <v>91</v>
      </c>
      <c r="I75" s="2" t="s">
        <v>54</v>
      </c>
      <c r="J75" s="2">
        <v>16</v>
      </c>
      <c r="K75" s="14">
        <f>VLOOKUP($C75,Sheet1!$A$2:$D$10,4,0)</f>
        <v>1</v>
      </c>
      <c r="L75" s="14" t="str">
        <f>VLOOKUP($C75,Sheet1!$A$2:$E$10,5,0)</f>
        <v>Bin</v>
      </c>
      <c r="M75" s="14">
        <f t="shared" si="15"/>
        <v>16</v>
      </c>
      <c r="N75" s="2"/>
      <c r="O75" s="2" t="s">
        <v>119</v>
      </c>
      <c r="P75" s="2"/>
    </row>
    <row r="76" spans="1:16" s="11" customForma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>
        <v>103</v>
      </c>
      <c r="N76" s="10">
        <v>6</v>
      </c>
      <c r="O76" s="10"/>
      <c r="P76" s="10"/>
    </row>
    <row r="77" spans="1:16" x14ac:dyDescent="0.25">
      <c r="A77" s="2" t="s">
        <v>1958</v>
      </c>
      <c r="B77" s="2" t="s">
        <v>1756</v>
      </c>
      <c r="C77" s="2" t="s">
        <v>5</v>
      </c>
      <c r="D77" s="2" t="str">
        <f>VLOOKUP($C77,Sheet1!$A$2:$D$10,2,0)</f>
        <v>141110-14600</v>
      </c>
      <c r="E77" s="8" t="s">
        <v>52</v>
      </c>
      <c r="F77" s="12">
        <v>46053</v>
      </c>
      <c r="G77" s="13">
        <v>0.89583333333333337</v>
      </c>
      <c r="H77" s="2" t="s">
        <v>53</v>
      </c>
      <c r="I77" s="2" t="s">
        <v>54</v>
      </c>
      <c r="J77" s="2">
        <v>36</v>
      </c>
      <c r="K77" s="14">
        <f>VLOOKUP($C77,Sheet1!$A$2:$D$10,4,0)</f>
        <v>18</v>
      </c>
      <c r="L77" s="14" t="str">
        <f>VLOOKUP($C77,Sheet1!$A$2:$E$10,5,0)</f>
        <v>Trolley (H)</v>
      </c>
      <c r="M77" s="14"/>
      <c r="N77" s="52">
        <v>2</v>
      </c>
      <c r="O77" s="2" t="s">
        <v>359</v>
      </c>
      <c r="P77" s="2"/>
    </row>
    <row r="78" spans="1:16" x14ac:dyDescent="0.25">
      <c r="A78" s="2" t="s">
        <v>1958</v>
      </c>
      <c r="B78" s="2" t="s">
        <v>1765</v>
      </c>
      <c r="C78" s="2" t="s">
        <v>9</v>
      </c>
      <c r="D78" s="2" t="str">
        <f>VLOOKUP($C78,Sheet1!$A$2:$D$10,2,0)</f>
        <v>141120-14600</v>
      </c>
      <c r="E78" s="8" t="s">
        <v>60</v>
      </c>
      <c r="F78" s="12">
        <v>46053</v>
      </c>
      <c r="G78" s="13">
        <v>0.89583333333333337</v>
      </c>
      <c r="H78" s="2" t="s">
        <v>53</v>
      </c>
      <c r="I78" s="2" t="s">
        <v>54</v>
      </c>
      <c r="J78" s="2">
        <v>36</v>
      </c>
      <c r="K78" s="14">
        <f>VLOOKUP($C78,Sheet1!$A$2:$D$10,4,0)</f>
        <v>18</v>
      </c>
      <c r="L78" s="14" t="str">
        <f>VLOOKUP($C78,Sheet1!$A$2:$E$10,5,0)</f>
        <v>Trolley (H)</v>
      </c>
      <c r="M78" s="14"/>
      <c r="N78" s="53"/>
      <c r="O78" s="2" t="s">
        <v>359</v>
      </c>
      <c r="P78" s="2"/>
    </row>
    <row r="79" spans="1:16" x14ac:dyDescent="0.25">
      <c r="A79" s="2" t="s">
        <v>1958</v>
      </c>
      <c r="B79" s="2" t="s">
        <v>1774</v>
      </c>
      <c r="C79" s="2" t="s">
        <v>12</v>
      </c>
      <c r="D79" s="2" t="str">
        <f>VLOOKUP($C79,Sheet1!$A$2:$D$10,2,0)</f>
        <v>141185-74670</v>
      </c>
      <c r="E79" s="8" t="s">
        <v>66</v>
      </c>
      <c r="F79" s="12">
        <v>46053</v>
      </c>
      <c r="G79" s="13">
        <v>0.89583333333333337</v>
      </c>
      <c r="H79" s="2" t="s">
        <v>53</v>
      </c>
      <c r="I79" s="2" t="s">
        <v>54</v>
      </c>
      <c r="J79" s="2">
        <v>80</v>
      </c>
      <c r="K79" s="14">
        <f>VLOOKUP($C79,Sheet1!$A$2:$D$10,4,0)</f>
        <v>40</v>
      </c>
      <c r="L79" s="14" t="str">
        <f>VLOOKUP($C79,Sheet1!$A$2:$E$10,5,0)</f>
        <v>Trolley</v>
      </c>
      <c r="M79" s="14"/>
      <c r="N79" s="2">
        <f>J79/K79</f>
        <v>2</v>
      </c>
      <c r="O79" s="2" t="s">
        <v>359</v>
      </c>
      <c r="P79" s="2"/>
    </row>
    <row r="80" spans="1:16" x14ac:dyDescent="0.25">
      <c r="A80" s="2" t="s">
        <v>1958</v>
      </c>
      <c r="B80" s="2" t="s">
        <v>1783</v>
      </c>
      <c r="C80" s="2" t="s">
        <v>16</v>
      </c>
      <c r="D80" s="2" t="str">
        <f>VLOOKUP($C80,Sheet1!$A$2:$D$10,2,0)</f>
        <v>141140-91211</v>
      </c>
      <c r="E80" s="8" t="s">
        <v>70</v>
      </c>
      <c r="F80" s="12">
        <v>46053</v>
      </c>
      <c r="G80" s="13">
        <v>0.89583333333333337</v>
      </c>
      <c r="H80" s="2" t="s">
        <v>71</v>
      </c>
      <c r="I80" s="2" t="s">
        <v>54</v>
      </c>
      <c r="J80" s="2">
        <v>30</v>
      </c>
      <c r="K80" s="14">
        <f>VLOOKUP($C80,Sheet1!$A$2:$D$10,4,0)</f>
        <v>2</v>
      </c>
      <c r="L80" s="14" t="str">
        <f>VLOOKUP($C80,Sheet1!$A$2:$E$10,5,0)</f>
        <v>Bin</v>
      </c>
      <c r="M80" s="14">
        <f t="shared" ref="M80:M81" si="16">J80/K80</f>
        <v>15</v>
      </c>
      <c r="N80" s="2"/>
      <c r="O80" s="2" t="s">
        <v>359</v>
      </c>
      <c r="P80" s="2"/>
    </row>
    <row r="81" spans="1:16" x14ac:dyDescent="0.25">
      <c r="A81" s="2" t="s">
        <v>1958</v>
      </c>
      <c r="B81" s="2" t="s">
        <v>1792</v>
      </c>
      <c r="C81" s="2" t="s">
        <v>20</v>
      </c>
      <c r="D81" s="2" t="str">
        <f>VLOOKUP($C81,Sheet1!$A$2:$D$10,2,0)</f>
        <v>141150-91211</v>
      </c>
      <c r="E81" s="8" t="s">
        <v>78</v>
      </c>
      <c r="F81" s="12">
        <v>46053</v>
      </c>
      <c r="G81" s="13">
        <v>0.89583333333333337</v>
      </c>
      <c r="H81" s="2" t="s">
        <v>71</v>
      </c>
      <c r="I81" s="2" t="s">
        <v>54</v>
      </c>
      <c r="J81" s="2">
        <v>30</v>
      </c>
      <c r="K81" s="14">
        <f>VLOOKUP($C81,Sheet1!$A$2:$D$10,4,0)</f>
        <v>2</v>
      </c>
      <c r="L81" s="14" t="str">
        <f>VLOOKUP($C81,Sheet1!$A$2:$E$10,5,0)</f>
        <v>Bin</v>
      </c>
      <c r="M81" s="14">
        <f t="shared" si="16"/>
        <v>15</v>
      </c>
      <c r="N81" s="2"/>
      <c r="O81" s="2" t="s">
        <v>359</v>
      </c>
      <c r="P81" s="2"/>
    </row>
    <row r="82" spans="1:16" x14ac:dyDescent="0.25">
      <c r="A82" s="2" t="s">
        <v>1958</v>
      </c>
      <c r="B82" s="2" t="s">
        <v>1801</v>
      </c>
      <c r="C82" s="2" t="s">
        <v>23</v>
      </c>
      <c r="D82" s="2" t="str">
        <f>VLOOKUP($C82,Sheet1!$A$2:$D$10,2,0)</f>
        <v>141186-74360</v>
      </c>
      <c r="E82" s="8" t="s">
        <v>85</v>
      </c>
      <c r="F82" s="12">
        <v>46053</v>
      </c>
      <c r="G82" s="13">
        <v>0.89583333333333337</v>
      </c>
      <c r="H82" s="2" t="s">
        <v>71</v>
      </c>
      <c r="I82" s="2" t="s">
        <v>54</v>
      </c>
      <c r="J82" s="2">
        <v>80</v>
      </c>
      <c r="K82" s="14">
        <f>VLOOKUP($C82,Sheet1!$A$2:$D$10,4,0)</f>
        <v>40</v>
      </c>
      <c r="L82" s="14" t="str">
        <f>VLOOKUP($C82,Sheet1!$A$2:$E$10,5,0)</f>
        <v>Trolley</v>
      </c>
      <c r="M82" s="14"/>
      <c r="N82" s="2">
        <f>J82/K82</f>
        <v>2</v>
      </c>
      <c r="O82" s="2" t="s">
        <v>359</v>
      </c>
      <c r="P82" s="2"/>
    </row>
    <row r="83" spans="1:16" x14ac:dyDescent="0.25">
      <c r="A83" s="2" t="s">
        <v>1959</v>
      </c>
      <c r="B83" s="2" t="s">
        <v>1810</v>
      </c>
      <c r="C83" s="2" t="s">
        <v>26</v>
      </c>
      <c r="D83" s="2" t="str">
        <f>VLOOKUP($C83,Sheet1!$A$2:$D$10,2,0)</f>
        <v>116040-92240</v>
      </c>
      <c r="E83" s="8" t="s">
        <v>90</v>
      </c>
      <c r="F83" s="12">
        <v>46053</v>
      </c>
      <c r="G83" s="13">
        <v>0.89583333333333337</v>
      </c>
      <c r="H83" s="2" t="s">
        <v>91</v>
      </c>
      <c r="I83" s="2" t="s">
        <v>54</v>
      </c>
      <c r="J83" s="2">
        <v>30</v>
      </c>
      <c r="K83" s="14">
        <f>VLOOKUP($C83,Sheet1!$A$2:$D$10,4,0)</f>
        <v>6</v>
      </c>
      <c r="L83" s="14" t="str">
        <f>VLOOKUP($C83,Sheet1!$A$2:$E$10,5,0)</f>
        <v>Bin</v>
      </c>
      <c r="M83" s="14">
        <f t="shared" ref="M83:M85" si="17">J83/K83</f>
        <v>5</v>
      </c>
      <c r="N83" s="2"/>
      <c r="O83" s="2" t="s">
        <v>359</v>
      </c>
      <c r="P83" s="2"/>
    </row>
    <row r="84" spans="1:16" x14ac:dyDescent="0.25">
      <c r="A84" s="2" t="s">
        <v>1959</v>
      </c>
      <c r="B84" s="2" t="s">
        <v>1819</v>
      </c>
      <c r="C84" s="2" t="s">
        <v>32</v>
      </c>
      <c r="D84" s="2" t="str">
        <f>VLOOKUP($C84,Sheet1!$A$2:$D$10,2,0)</f>
        <v>114010-50820</v>
      </c>
      <c r="E84" s="8" t="s">
        <v>98</v>
      </c>
      <c r="F84" s="12">
        <v>46053</v>
      </c>
      <c r="G84" s="13">
        <v>0.89583333333333337</v>
      </c>
      <c r="H84" s="2" t="s">
        <v>91</v>
      </c>
      <c r="I84" s="2" t="s">
        <v>54</v>
      </c>
      <c r="J84" s="2">
        <v>22</v>
      </c>
      <c r="K84" s="14">
        <f>VLOOKUP($C84,Sheet1!$A$2:$D$10,4,0)</f>
        <v>1</v>
      </c>
      <c r="L84" s="14" t="str">
        <f>VLOOKUP($C84,Sheet1!$A$2:$E$10,5,0)</f>
        <v>Bin</v>
      </c>
      <c r="M84" s="14">
        <f t="shared" si="17"/>
        <v>22</v>
      </c>
      <c r="N84" s="2"/>
      <c r="O84" s="2" t="s">
        <v>359</v>
      </c>
      <c r="P84" s="2"/>
    </row>
    <row r="85" spans="1:16" x14ac:dyDescent="0.25">
      <c r="A85" s="2" t="s">
        <v>1959</v>
      </c>
      <c r="B85" s="2" t="s">
        <v>1828</v>
      </c>
      <c r="C85" s="2" t="s">
        <v>29</v>
      </c>
      <c r="D85" s="2" t="str">
        <f>VLOOKUP($C85,Sheet1!$A$2:$D$10,2,0)</f>
        <v>114010-50830</v>
      </c>
      <c r="E85" s="8" t="s">
        <v>98</v>
      </c>
      <c r="F85" s="12">
        <v>46053</v>
      </c>
      <c r="G85" s="13">
        <v>0.89583333333333337</v>
      </c>
      <c r="H85" s="2" t="s">
        <v>91</v>
      </c>
      <c r="I85" s="2" t="s">
        <v>54</v>
      </c>
      <c r="J85" s="2">
        <v>10</v>
      </c>
      <c r="K85" s="14">
        <f>VLOOKUP($C85,Sheet1!$A$2:$D$10,4,0)</f>
        <v>1</v>
      </c>
      <c r="L85" s="14" t="str">
        <f>VLOOKUP($C85,Sheet1!$A$2:$E$10,5,0)</f>
        <v>Bin</v>
      </c>
      <c r="M85" s="14">
        <f t="shared" si="17"/>
        <v>10</v>
      </c>
      <c r="N85" s="2"/>
      <c r="O85" s="2" t="s">
        <v>359</v>
      </c>
      <c r="P85" s="2"/>
    </row>
    <row r="86" spans="1:16" s="11" customForma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>
        <v>67</v>
      </c>
      <c r="N86" s="10">
        <v>6</v>
      </c>
      <c r="O86" s="10"/>
      <c r="P86" s="10"/>
    </row>
    <row r="87" spans="1:16" x14ac:dyDescent="0.25">
      <c r="A87" s="2" t="s">
        <v>1960</v>
      </c>
      <c r="B87" s="2" t="s">
        <v>1757</v>
      </c>
      <c r="C87" s="2" t="s">
        <v>5</v>
      </c>
      <c r="D87" s="2" t="str">
        <f>VLOOKUP($C87,Sheet1!$A$2:$D$10,2,0)</f>
        <v>141110-14600</v>
      </c>
      <c r="E87" s="8" t="s">
        <v>52</v>
      </c>
      <c r="F87" s="12">
        <v>46053</v>
      </c>
      <c r="G87" s="13">
        <v>0.97916666666666663</v>
      </c>
      <c r="H87" s="2" t="s">
        <v>53</v>
      </c>
      <c r="I87" s="2" t="s">
        <v>54</v>
      </c>
      <c r="J87" s="2">
        <v>36</v>
      </c>
      <c r="K87" s="14">
        <f>VLOOKUP($C87,Sheet1!$A$2:$D$10,4,0)</f>
        <v>18</v>
      </c>
      <c r="L87" s="14" t="str">
        <f>VLOOKUP($C87,Sheet1!$A$2:$E$10,5,0)</f>
        <v>Trolley (H)</v>
      </c>
      <c r="M87" s="14"/>
      <c r="N87" s="52">
        <v>2</v>
      </c>
      <c r="O87" s="2" t="s">
        <v>121</v>
      </c>
      <c r="P87" s="2"/>
    </row>
    <row r="88" spans="1:16" x14ac:dyDescent="0.25">
      <c r="A88" s="2" t="s">
        <v>1960</v>
      </c>
      <c r="B88" s="2" t="s">
        <v>1766</v>
      </c>
      <c r="C88" s="2" t="s">
        <v>9</v>
      </c>
      <c r="D88" s="2" t="str">
        <f>VLOOKUP($C88,Sheet1!$A$2:$D$10,2,0)</f>
        <v>141120-14600</v>
      </c>
      <c r="E88" s="8" t="s">
        <v>60</v>
      </c>
      <c r="F88" s="12">
        <v>46053</v>
      </c>
      <c r="G88" s="13">
        <v>0.97916666666666663</v>
      </c>
      <c r="H88" s="2" t="s">
        <v>53</v>
      </c>
      <c r="I88" s="2" t="s">
        <v>54</v>
      </c>
      <c r="J88" s="2">
        <v>36</v>
      </c>
      <c r="K88" s="14">
        <f>VLOOKUP($C88,Sheet1!$A$2:$D$10,4,0)</f>
        <v>18</v>
      </c>
      <c r="L88" s="14" t="str">
        <f>VLOOKUP($C88,Sheet1!$A$2:$E$10,5,0)</f>
        <v>Trolley (H)</v>
      </c>
      <c r="M88" s="14"/>
      <c r="N88" s="53"/>
      <c r="O88" s="2" t="s">
        <v>121</v>
      </c>
      <c r="P88" s="2"/>
    </row>
    <row r="89" spans="1:16" x14ac:dyDescent="0.25">
      <c r="A89" s="2" t="s">
        <v>1960</v>
      </c>
      <c r="B89" s="2" t="s">
        <v>1775</v>
      </c>
      <c r="C89" s="2" t="s">
        <v>12</v>
      </c>
      <c r="D89" s="2" t="str">
        <f>VLOOKUP($C89,Sheet1!$A$2:$D$10,2,0)</f>
        <v>141185-74670</v>
      </c>
      <c r="E89" s="8" t="s">
        <v>66</v>
      </c>
      <c r="F89" s="12">
        <v>46053</v>
      </c>
      <c r="G89" s="13">
        <v>0.97916666666666663</v>
      </c>
      <c r="H89" s="2" t="s">
        <v>53</v>
      </c>
      <c r="I89" s="2" t="s">
        <v>54</v>
      </c>
      <c r="J89" s="2">
        <v>80</v>
      </c>
      <c r="K89" s="14">
        <f>VLOOKUP($C89,Sheet1!$A$2:$D$10,4,0)</f>
        <v>40</v>
      </c>
      <c r="L89" s="14" t="str">
        <f>VLOOKUP($C89,Sheet1!$A$2:$E$10,5,0)</f>
        <v>Trolley</v>
      </c>
      <c r="M89" s="14"/>
      <c r="N89" s="2">
        <f>J89/K89</f>
        <v>2</v>
      </c>
      <c r="O89" s="2" t="s">
        <v>121</v>
      </c>
      <c r="P89" s="2"/>
    </row>
    <row r="90" spans="1:16" x14ac:dyDescent="0.25">
      <c r="A90" s="2" t="s">
        <v>1960</v>
      </c>
      <c r="B90" s="2" t="s">
        <v>1784</v>
      </c>
      <c r="C90" s="2" t="s">
        <v>16</v>
      </c>
      <c r="D90" s="2" t="str">
        <f>VLOOKUP($C90,Sheet1!$A$2:$D$10,2,0)</f>
        <v>141140-91211</v>
      </c>
      <c r="E90" s="8" t="s">
        <v>70</v>
      </c>
      <c r="F90" s="12">
        <v>46053</v>
      </c>
      <c r="G90" s="13">
        <v>0.97916666666666663</v>
      </c>
      <c r="H90" s="2" t="s">
        <v>71</v>
      </c>
      <c r="I90" s="2" t="s">
        <v>54</v>
      </c>
      <c r="J90" s="2">
        <v>42</v>
      </c>
      <c r="K90" s="14">
        <f>VLOOKUP($C90,Sheet1!$A$2:$D$10,4,0)</f>
        <v>2</v>
      </c>
      <c r="L90" s="14" t="str">
        <f>VLOOKUP($C90,Sheet1!$A$2:$E$10,5,0)</f>
        <v>Bin</v>
      </c>
      <c r="M90" s="14">
        <f t="shared" ref="M90:M91" si="18">J90/K90</f>
        <v>21</v>
      </c>
      <c r="N90" s="2"/>
      <c r="O90" s="2" t="s">
        <v>121</v>
      </c>
      <c r="P90" s="2"/>
    </row>
    <row r="91" spans="1:16" x14ac:dyDescent="0.25">
      <c r="A91" s="2" t="s">
        <v>1960</v>
      </c>
      <c r="B91" s="2" t="s">
        <v>1793</v>
      </c>
      <c r="C91" s="2" t="s">
        <v>20</v>
      </c>
      <c r="D91" s="2" t="str">
        <f>VLOOKUP($C91,Sheet1!$A$2:$D$10,2,0)</f>
        <v>141150-91211</v>
      </c>
      <c r="E91" s="8" t="s">
        <v>78</v>
      </c>
      <c r="F91" s="12">
        <v>46053</v>
      </c>
      <c r="G91" s="13">
        <v>0.97916666666666663</v>
      </c>
      <c r="H91" s="2" t="s">
        <v>71</v>
      </c>
      <c r="I91" s="2" t="s">
        <v>54</v>
      </c>
      <c r="J91" s="2">
        <v>42</v>
      </c>
      <c r="K91" s="14">
        <f>VLOOKUP($C91,Sheet1!$A$2:$D$10,4,0)</f>
        <v>2</v>
      </c>
      <c r="L91" s="14" t="str">
        <f>VLOOKUP($C91,Sheet1!$A$2:$E$10,5,0)</f>
        <v>Bin</v>
      </c>
      <c r="M91" s="14">
        <f t="shared" si="18"/>
        <v>21</v>
      </c>
      <c r="N91" s="2"/>
      <c r="O91" s="2" t="s">
        <v>121</v>
      </c>
      <c r="P91" s="2"/>
    </row>
    <row r="92" spans="1:16" x14ac:dyDescent="0.25">
      <c r="A92" s="2" t="s">
        <v>1960</v>
      </c>
      <c r="B92" s="2" t="s">
        <v>1802</v>
      </c>
      <c r="C92" s="2" t="s">
        <v>23</v>
      </c>
      <c r="D92" s="2" t="str">
        <f>VLOOKUP($C92,Sheet1!$A$2:$D$10,2,0)</f>
        <v>141186-74360</v>
      </c>
      <c r="E92" s="8" t="s">
        <v>85</v>
      </c>
      <c r="F92" s="12">
        <v>46053</v>
      </c>
      <c r="G92" s="13">
        <v>0.97916666666666663</v>
      </c>
      <c r="H92" s="2" t="s">
        <v>71</v>
      </c>
      <c r="I92" s="2" t="s">
        <v>54</v>
      </c>
      <c r="J92" s="2">
        <v>80</v>
      </c>
      <c r="K92" s="14">
        <f>VLOOKUP($C92,Sheet1!$A$2:$D$10,4,0)</f>
        <v>40</v>
      </c>
      <c r="L92" s="14" t="str">
        <f>VLOOKUP($C92,Sheet1!$A$2:$E$10,5,0)</f>
        <v>Trolley</v>
      </c>
      <c r="M92" s="14"/>
      <c r="N92" s="2">
        <f>J92/K92</f>
        <v>2</v>
      </c>
      <c r="O92" s="2" t="s">
        <v>121</v>
      </c>
      <c r="P92" s="2"/>
    </row>
    <row r="93" spans="1:16" x14ac:dyDescent="0.25">
      <c r="A93" s="2" t="s">
        <v>1961</v>
      </c>
      <c r="B93" s="2" t="s">
        <v>1811</v>
      </c>
      <c r="C93" s="2" t="s">
        <v>26</v>
      </c>
      <c r="D93" s="2" t="str">
        <f>VLOOKUP($C93,Sheet1!$A$2:$D$10,2,0)</f>
        <v>116040-92240</v>
      </c>
      <c r="E93" s="8" t="s">
        <v>90</v>
      </c>
      <c r="F93" s="12">
        <v>46053</v>
      </c>
      <c r="G93" s="13">
        <v>0.97916666666666663</v>
      </c>
      <c r="H93" s="2" t="s">
        <v>91</v>
      </c>
      <c r="I93" s="2" t="s">
        <v>54</v>
      </c>
      <c r="J93" s="2">
        <v>42</v>
      </c>
      <c r="K93" s="14">
        <f>VLOOKUP($C93,Sheet1!$A$2:$D$10,4,0)</f>
        <v>6</v>
      </c>
      <c r="L93" s="14" t="str">
        <f>VLOOKUP($C93,Sheet1!$A$2:$E$10,5,0)</f>
        <v>Bin</v>
      </c>
      <c r="M93" s="14">
        <f t="shared" ref="M93:M95" si="19">J93/K93</f>
        <v>7</v>
      </c>
      <c r="N93" s="2"/>
      <c r="O93" s="2" t="s">
        <v>121</v>
      </c>
      <c r="P93" s="2"/>
    </row>
    <row r="94" spans="1:16" x14ac:dyDescent="0.25">
      <c r="A94" s="2" t="s">
        <v>1961</v>
      </c>
      <c r="B94" s="2" t="s">
        <v>1820</v>
      </c>
      <c r="C94" s="2" t="s">
        <v>32</v>
      </c>
      <c r="D94" s="2" t="str">
        <f>VLOOKUP($C94,Sheet1!$A$2:$D$10,2,0)</f>
        <v>114010-50820</v>
      </c>
      <c r="E94" s="8" t="s">
        <v>98</v>
      </c>
      <c r="F94" s="12">
        <v>46053</v>
      </c>
      <c r="G94" s="13">
        <v>0.97916666666666663</v>
      </c>
      <c r="H94" s="2" t="s">
        <v>91</v>
      </c>
      <c r="I94" s="2" t="s">
        <v>54</v>
      </c>
      <c r="J94" s="2">
        <v>25</v>
      </c>
      <c r="K94" s="14">
        <f>VLOOKUP($C94,Sheet1!$A$2:$D$10,4,0)</f>
        <v>1</v>
      </c>
      <c r="L94" s="14" t="str">
        <f>VLOOKUP($C94,Sheet1!$A$2:$E$10,5,0)</f>
        <v>Bin</v>
      </c>
      <c r="M94" s="14">
        <f t="shared" si="19"/>
        <v>25</v>
      </c>
      <c r="N94" s="2"/>
      <c r="O94" s="2" t="s">
        <v>121</v>
      </c>
      <c r="P94" s="2"/>
    </row>
    <row r="95" spans="1:16" x14ac:dyDescent="0.25">
      <c r="A95" s="2" t="s">
        <v>1961</v>
      </c>
      <c r="B95" s="2" t="s">
        <v>1829</v>
      </c>
      <c r="C95" s="2" t="s">
        <v>29</v>
      </c>
      <c r="D95" s="2" t="str">
        <f>VLOOKUP($C95,Sheet1!$A$2:$D$10,2,0)</f>
        <v>114010-50830</v>
      </c>
      <c r="E95" s="8" t="s">
        <v>98</v>
      </c>
      <c r="F95" s="12">
        <v>46053</v>
      </c>
      <c r="G95" s="13">
        <v>0.97916666666666663</v>
      </c>
      <c r="H95" s="2" t="s">
        <v>91</v>
      </c>
      <c r="I95" s="2" t="s">
        <v>54</v>
      </c>
      <c r="J95" s="2">
        <v>17</v>
      </c>
      <c r="K95" s="14">
        <f>VLOOKUP($C95,Sheet1!$A$2:$D$10,4,0)</f>
        <v>1</v>
      </c>
      <c r="L95" s="14" t="str">
        <f>VLOOKUP($C95,Sheet1!$A$2:$E$10,5,0)</f>
        <v>Bin</v>
      </c>
      <c r="M95" s="14">
        <f t="shared" si="19"/>
        <v>17</v>
      </c>
      <c r="N95" s="2"/>
      <c r="O95" s="2" t="s">
        <v>121</v>
      </c>
      <c r="P95" s="2"/>
    </row>
    <row r="96" spans="1:16" s="11" customForma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>
        <v>91</v>
      </c>
      <c r="N96" s="10">
        <v>6</v>
      </c>
      <c r="O96" s="10"/>
      <c r="P96" s="10"/>
    </row>
    <row r="97" spans="1:16" x14ac:dyDescent="0.25">
      <c r="A97" s="2" t="s">
        <v>1962</v>
      </c>
      <c r="B97" s="2" t="s">
        <v>1830</v>
      </c>
      <c r="C97" s="2" t="s">
        <v>5</v>
      </c>
      <c r="D97" s="2" t="str">
        <f>VLOOKUP($C97,Sheet1!$A$2:$D$10,2,0)</f>
        <v>141110-14600</v>
      </c>
      <c r="E97" s="8" t="s">
        <v>52</v>
      </c>
      <c r="F97" s="12">
        <v>46054</v>
      </c>
      <c r="G97" s="13">
        <v>0.10416666666666667</v>
      </c>
      <c r="H97" s="2" t="s">
        <v>53</v>
      </c>
      <c r="I97" s="2" t="s">
        <v>54</v>
      </c>
      <c r="J97" s="2">
        <v>18</v>
      </c>
      <c r="K97" s="14">
        <f>VLOOKUP($C97,Sheet1!$A$2:$D$10,4,0)</f>
        <v>18</v>
      </c>
      <c r="L97" s="14" t="str">
        <f>VLOOKUP($C97,Sheet1!$A$2:$E$10,5,0)</f>
        <v>Trolley (H)</v>
      </c>
      <c r="M97" s="14"/>
      <c r="N97" s="52">
        <v>1</v>
      </c>
      <c r="O97" s="2" t="s">
        <v>122</v>
      </c>
      <c r="P97" s="2"/>
    </row>
    <row r="98" spans="1:16" x14ac:dyDescent="0.25">
      <c r="A98" s="2" t="s">
        <v>1962</v>
      </c>
      <c r="B98" s="2" t="s">
        <v>1831</v>
      </c>
      <c r="C98" s="2" t="s">
        <v>9</v>
      </c>
      <c r="D98" s="2" t="str">
        <f>VLOOKUP($C98,Sheet1!$A$2:$D$10,2,0)</f>
        <v>141120-14600</v>
      </c>
      <c r="E98" s="8" t="s">
        <v>60</v>
      </c>
      <c r="F98" s="12">
        <v>46054</v>
      </c>
      <c r="G98" s="13">
        <v>0.10416666666666667</v>
      </c>
      <c r="H98" s="2" t="s">
        <v>53</v>
      </c>
      <c r="I98" s="2" t="s">
        <v>54</v>
      </c>
      <c r="J98" s="2">
        <v>18</v>
      </c>
      <c r="K98" s="14">
        <f>VLOOKUP($C98,Sheet1!$A$2:$D$10,4,0)</f>
        <v>18</v>
      </c>
      <c r="L98" s="14" t="str">
        <f>VLOOKUP($C98,Sheet1!$A$2:$E$10,5,0)</f>
        <v>Trolley (H)</v>
      </c>
      <c r="M98" s="14"/>
      <c r="N98" s="53"/>
      <c r="O98" s="2" t="s">
        <v>122</v>
      </c>
      <c r="P98" s="2"/>
    </row>
    <row r="99" spans="1:16" x14ac:dyDescent="0.25">
      <c r="A99" s="2" t="s">
        <v>1962</v>
      </c>
      <c r="B99" s="2" t="s">
        <v>1832</v>
      </c>
      <c r="C99" s="2" t="s">
        <v>12</v>
      </c>
      <c r="D99" s="2" t="str">
        <f>VLOOKUP($C99,Sheet1!$A$2:$D$10,2,0)</f>
        <v>141185-74670</v>
      </c>
      <c r="E99" s="8" t="s">
        <v>66</v>
      </c>
      <c r="F99" s="12">
        <v>46054</v>
      </c>
      <c r="G99" s="13">
        <v>0.10416666666666667</v>
      </c>
      <c r="H99" s="2" t="s">
        <v>53</v>
      </c>
      <c r="I99" s="2" t="s">
        <v>54</v>
      </c>
      <c r="J99" s="2">
        <v>40</v>
      </c>
      <c r="K99" s="14">
        <f>VLOOKUP($C99,Sheet1!$A$2:$D$10,4,0)</f>
        <v>40</v>
      </c>
      <c r="L99" s="14" t="str">
        <f>VLOOKUP($C99,Sheet1!$A$2:$E$10,5,0)</f>
        <v>Trolley</v>
      </c>
      <c r="M99" s="14"/>
      <c r="N99" s="2">
        <f>J99/K99</f>
        <v>1</v>
      </c>
      <c r="O99" s="2" t="s">
        <v>122</v>
      </c>
      <c r="P99" s="2"/>
    </row>
    <row r="100" spans="1:16" x14ac:dyDescent="0.25">
      <c r="A100" s="2" t="s">
        <v>1962</v>
      </c>
      <c r="B100" s="2" t="s">
        <v>1833</v>
      </c>
      <c r="C100" s="2" t="s">
        <v>16</v>
      </c>
      <c r="D100" s="2" t="str">
        <f>VLOOKUP($C100,Sheet1!$A$2:$D$10,2,0)</f>
        <v>141140-91211</v>
      </c>
      <c r="E100" s="8" t="s">
        <v>70</v>
      </c>
      <c r="F100" s="12">
        <v>46054</v>
      </c>
      <c r="G100" s="13">
        <v>0.10416666666666667</v>
      </c>
      <c r="H100" s="2" t="s">
        <v>71</v>
      </c>
      <c r="I100" s="2" t="s">
        <v>54</v>
      </c>
      <c r="J100" s="2">
        <v>16</v>
      </c>
      <c r="K100" s="14">
        <f>VLOOKUP($C100,Sheet1!$A$2:$D$10,4,0)</f>
        <v>2</v>
      </c>
      <c r="L100" s="14" t="str">
        <f>VLOOKUP($C100,Sheet1!$A$2:$E$10,5,0)</f>
        <v>Bin</v>
      </c>
      <c r="M100" s="14">
        <f t="shared" ref="M100:M101" si="20">J100/K100</f>
        <v>8</v>
      </c>
      <c r="N100" s="2"/>
      <c r="O100" s="2" t="s">
        <v>122</v>
      </c>
      <c r="P100" s="2"/>
    </row>
    <row r="101" spans="1:16" x14ac:dyDescent="0.25">
      <c r="A101" s="2" t="s">
        <v>1962</v>
      </c>
      <c r="B101" s="2" t="s">
        <v>1834</v>
      </c>
      <c r="C101" s="2" t="s">
        <v>20</v>
      </c>
      <c r="D101" s="2" t="str">
        <f>VLOOKUP($C101,Sheet1!$A$2:$D$10,2,0)</f>
        <v>141150-91211</v>
      </c>
      <c r="E101" s="8" t="s">
        <v>78</v>
      </c>
      <c r="F101" s="12">
        <v>46054</v>
      </c>
      <c r="G101" s="13">
        <v>0.10416666666666667</v>
      </c>
      <c r="H101" s="2" t="s">
        <v>71</v>
      </c>
      <c r="I101" s="2" t="s">
        <v>54</v>
      </c>
      <c r="J101" s="2">
        <v>16</v>
      </c>
      <c r="K101" s="14">
        <f>VLOOKUP($C101,Sheet1!$A$2:$D$10,4,0)</f>
        <v>2</v>
      </c>
      <c r="L101" s="14" t="str">
        <f>VLOOKUP($C101,Sheet1!$A$2:$E$10,5,0)</f>
        <v>Bin</v>
      </c>
      <c r="M101" s="14">
        <f t="shared" si="20"/>
        <v>8</v>
      </c>
      <c r="N101" s="2"/>
      <c r="O101" s="2" t="s">
        <v>122</v>
      </c>
      <c r="P101" s="2"/>
    </row>
    <row r="102" spans="1:16" x14ac:dyDescent="0.25">
      <c r="A102" s="2" t="s">
        <v>1962</v>
      </c>
      <c r="B102" s="2" t="s">
        <v>1835</v>
      </c>
      <c r="C102" s="2" t="s">
        <v>23</v>
      </c>
      <c r="D102" s="2" t="str">
        <f>VLOOKUP($C102,Sheet1!$A$2:$D$10,2,0)</f>
        <v>141186-74360</v>
      </c>
      <c r="E102" s="8" t="s">
        <v>85</v>
      </c>
      <c r="F102" s="12">
        <v>46054</v>
      </c>
      <c r="G102" s="13">
        <v>0.10416666666666667</v>
      </c>
      <c r="H102" s="2" t="s">
        <v>71</v>
      </c>
      <c r="I102" s="2" t="s">
        <v>54</v>
      </c>
      <c r="J102" s="2">
        <v>40</v>
      </c>
      <c r="K102" s="14">
        <f>VLOOKUP($C102,Sheet1!$A$2:$D$10,4,0)</f>
        <v>40</v>
      </c>
      <c r="L102" s="14" t="str">
        <f>VLOOKUP($C102,Sheet1!$A$2:$E$10,5,0)</f>
        <v>Trolley</v>
      </c>
      <c r="M102" s="14"/>
      <c r="N102" s="2">
        <f>J102/K102</f>
        <v>1</v>
      </c>
      <c r="O102" s="2" t="s">
        <v>122</v>
      </c>
      <c r="P102" s="2"/>
    </row>
    <row r="103" spans="1:16" x14ac:dyDescent="0.25">
      <c r="A103" s="2" t="s">
        <v>1963</v>
      </c>
      <c r="B103" s="2" t="s">
        <v>1836</v>
      </c>
      <c r="C103" s="2" t="s">
        <v>26</v>
      </c>
      <c r="D103" s="2" t="str">
        <f>VLOOKUP($C103,Sheet1!$A$2:$D$10,2,0)</f>
        <v>116040-92240</v>
      </c>
      <c r="E103" s="8" t="s">
        <v>90</v>
      </c>
      <c r="F103" s="12">
        <v>46054</v>
      </c>
      <c r="G103" s="13">
        <v>0.10416666666666667</v>
      </c>
      <c r="H103" s="2" t="s">
        <v>91</v>
      </c>
      <c r="I103" s="2" t="s">
        <v>54</v>
      </c>
      <c r="J103" s="2">
        <v>12</v>
      </c>
      <c r="K103" s="14">
        <f>VLOOKUP($C103,Sheet1!$A$2:$D$10,4,0)</f>
        <v>6</v>
      </c>
      <c r="L103" s="14" t="str">
        <f>VLOOKUP($C103,Sheet1!$A$2:$E$10,5,0)</f>
        <v>Bin</v>
      </c>
      <c r="M103" s="14">
        <f t="shared" ref="M103:M105" si="21">J103/K103</f>
        <v>2</v>
      </c>
      <c r="N103" s="2"/>
      <c r="O103" s="2" t="s">
        <v>122</v>
      </c>
      <c r="P103" s="2"/>
    </row>
    <row r="104" spans="1:16" x14ac:dyDescent="0.25">
      <c r="A104" s="2" t="s">
        <v>1963</v>
      </c>
      <c r="B104" s="2" t="s">
        <v>1837</v>
      </c>
      <c r="C104" s="2" t="s">
        <v>32</v>
      </c>
      <c r="D104" s="2" t="str">
        <f>VLOOKUP($C104,Sheet1!$A$2:$D$10,2,0)</f>
        <v>114010-50820</v>
      </c>
      <c r="E104" s="8" t="s">
        <v>98</v>
      </c>
      <c r="F104" s="12">
        <v>46054</v>
      </c>
      <c r="G104" s="13">
        <v>0.10416666666666667</v>
      </c>
      <c r="H104" s="2" t="s">
        <v>91</v>
      </c>
      <c r="I104" s="2" t="s">
        <v>54</v>
      </c>
      <c r="J104" s="2">
        <v>4</v>
      </c>
      <c r="K104" s="14">
        <f>VLOOKUP($C104,Sheet1!$A$2:$D$10,4,0)</f>
        <v>1</v>
      </c>
      <c r="L104" s="14" t="str">
        <f>VLOOKUP($C104,Sheet1!$A$2:$E$10,5,0)</f>
        <v>Bin</v>
      </c>
      <c r="M104" s="14">
        <f t="shared" si="21"/>
        <v>4</v>
      </c>
      <c r="N104" s="2"/>
      <c r="O104" s="2" t="s">
        <v>122</v>
      </c>
      <c r="P104" s="2"/>
    </row>
    <row r="105" spans="1:16" x14ac:dyDescent="0.25">
      <c r="A105" s="2" t="s">
        <v>1963</v>
      </c>
      <c r="B105" s="2" t="s">
        <v>1838</v>
      </c>
      <c r="C105" s="2" t="s">
        <v>29</v>
      </c>
      <c r="D105" s="2" t="str">
        <f>VLOOKUP($C105,Sheet1!$A$2:$D$10,2,0)</f>
        <v>114010-50830</v>
      </c>
      <c r="E105" s="8" t="s">
        <v>98</v>
      </c>
      <c r="F105" s="12">
        <v>46054</v>
      </c>
      <c r="G105" s="13">
        <v>0.10416666666666667</v>
      </c>
      <c r="H105" s="2" t="s">
        <v>91</v>
      </c>
      <c r="I105" s="2" t="s">
        <v>54</v>
      </c>
      <c r="J105" s="2">
        <v>10</v>
      </c>
      <c r="K105" s="14">
        <f>VLOOKUP($C105,Sheet1!$A$2:$D$10,4,0)</f>
        <v>1</v>
      </c>
      <c r="L105" s="14" t="str">
        <f>VLOOKUP($C105,Sheet1!$A$2:$E$10,5,0)</f>
        <v>Bin</v>
      </c>
      <c r="M105" s="14">
        <f t="shared" si="21"/>
        <v>10</v>
      </c>
      <c r="N105" s="2"/>
      <c r="O105" s="2" t="s">
        <v>122</v>
      </c>
      <c r="P105" s="2"/>
    </row>
    <row r="106" spans="1:16" s="11" customForma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>
        <v>32</v>
      </c>
      <c r="N106" s="10">
        <v>3</v>
      </c>
      <c r="O106" s="10"/>
      <c r="P106" s="10"/>
    </row>
    <row r="107" spans="1:16" x14ac:dyDescent="0.25">
      <c r="A107" s="2"/>
      <c r="B107" s="2"/>
      <c r="C107" s="2"/>
      <c r="D107" s="2"/>
      <c r="E107" s="8"/>
      <c r="F107" s="12"/>
      <c r="G107" s="13"/>
      <c r="H107" s="2"/>
      <c r="I107" s="2"/>
      <c r="J107" s="2"/>
      <c r="K107" s="14"/>
      <c r="L107" s="14"/>
      <c r="M107" s="14"/>
      <c r="N107" s="2"/>
      <c r="O107" s="2"/>
      <c r="P107" s="2"/>
    </row>
  </sheetData>
  <autoFilter ref="A3:P106" xr:uid="{E10F0FDF-9DE9-442A-9A5F-420CF45A2CB3}"/>
  <mergeCells count="13">
    <mergeCell ref="L2:N2"/>
    <mergeCell ref="J1:N1"/>
    <mergeCell ref="A1:F1"/>
    <mergeCell ref="N4:N5"/>
    <mergeCell ref="N6:N7"/>
    <mergeCell ref="N77:N78"/>
    <mergeCell ref="N87:N88"/>
    <mergeCell ref="N97:N98"/>
    <mergeCell ref="N26:N27"/>
    <mergeCell ref="N37:N38"/>
    <mergeCell ref="N47:N48"/>
    <mergeCell ref="N57:N58"/>
    <mergeCell ref="N67:N68"/>
  </mergeCells>
  <conditionalFormatting sqref="B2">
    <cfRule type="duplicateValues" dxfId="9" priority="3"/>
    <cfRule type="duplicateValues" dxfId="8" priority="4"/>
  </conditionalFormatting>
  <conditionalFormatting sqref="B37:B45 B47:B55 B57:B65 B67:B75 B77:B85 B87:B95 B97:B105 B107 B4:B24 B26:B35">
    <cfRule type="duplicateValues" dxfId="7" priority="2"/>
  </conditionalFormatting>
  <conditionalFormatting sqref="C2:D2">
    <cfRule type="duplicateValues" dxfId="6" priority="5"/>
    <cfRule type="duplicateValues" dxfId="5" priority="6"/>
  </conditionalFormatting>
  <pageMargins left="0.17" right="0.17" top="0.17" bottom="0.17" header="0.17" footer="0.3"/>
  <pageSetup paperSize="9" scale="3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8D1C-620E-434C-A6F5-763BFBA1B2C4}">
  <dimension ref="A1:P105"/>
  <sheetViews>
    <sheetView workbookViewId="0">
      <selection activeCell="H17" sqref="H17"/>
    </sheetView>
  </sheetViews>
  <sheetFormatPr defaultColWidth="39.42578125" defaultRowHeight="15" x14ac:dyDescent="0.25"/>
  <cols>
    <col min="1" max="1" width="15.140625" bestFit="1" customWidth="1"/>
    <col min="2" max="2" width="16.7109375" bestFit="1" customWidth="1"/>
    <col min="3" max="3" width="14.140625" bestFit="1" customWidth="1"/>
    <col min="4" max="4" width="14.140625" hidden="1" customWidth="1"/>
    <col min="5" max="5" width="32.5703125" bestFit="1" customWidth="1"/>
    <col min="6" max="6" width="12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hidden="1" customWidth="1"/>
    <col min="12" max="12" width="10.28515625" hidden="1" customWidth="1"/>
    <col min="13" max="13" width="7.140625" bestFit="1" customWidth="1"/>
    <col min="14" max="14" width="7.85546875" bestFit="1" customWidth="1"/>
    <col min="15" max="15" width="10.7109375" bestFit="1" customWidth="1"/>
    <col min="16" max="16" width="7.5703125" bestFit="1" customWidth="1"/>
  </cols>
  <sheetData>
    <row r="1" spans="1:16" ht="23.25" x14ac:dyDescent="0.25">
      <c r="A1" s="54" t="s">
        <v>120</v>
      </c>
      <c r="B1" s="54"/>
      <c r="C1" s="54"/>
      <c r="D1" s="54"/>
      <c r="E1" s="54"/>
      <c r="F1" s="54"/>
      <c r="G1" s="2"/>
      <c r="H1" s="2"/>
      <c r="I1" s="2"/>
      <c r="J1" s="69" t="s">
        <v>35</v>
      </c>
      <c r="K1" s="69"/>
      <c r="L1" s="69"/>
      <c r="M1" s="69"/>
      <c r="N1" s="69"/>
      <c r="O1" s="2"/>
      <c r="P1" s="37"/>
    </row>
    <row r="2" spans="1:16" ht="16.5" customHeight="1" x14ac:dyDescent="0.25">
      <c r="A2" s="5" t="s">
        <v>36</v>
      </c>
      <c r="B2" s="6">
        <v>46054</v>
      </c>
      <c r="C2" s="7"/>
      <c r="D2" s="7"/>
      <c r="E2" s="2"/>
      <c r="F2" s="8"/>
      <c r="G2" s="2"/>
      <c r="H2" s="2"/>
      <c r="I2" s="2"/>
      <c r="J2" s="2"/>
      <c r="K2" s="2"/>
      <c r="L2" s="70" t="s">
        <v>37</v>
      </c>
      <c r="M2" s="70"/>
      <c r="N2" s="70"/>
      <c r="O2" s="2"/>
      <c r="P2" s="9"/>
    </row>
    <row r="3" spans="1:16" s="11" customFormat="1" ht="30" x14ac:dyDescent="0.25">
      <c r="A3" s="10" t="s">
        <v>38</v>
      </c>
      <c r="B3" s="10" t="s">
        <v>39</v>
      </c>
      <c r="C3" s="10" t="s">
        <v>0</v>
      </c>
      <c r="D3" s="10" t="s">
        <v>40</v>
      </c>
      <c r="E3" s="10" t="s">
        <v>2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37</v>
      </c>
      <c r="P3" s="10" t="s">
        <v>50</v>
      </c>
    </row>
    <row r="4" spans="1:16" x14ac:dyDescent="0.25">
      <c r="A4" s="2"/>
      <c r="B4" s="2" t="s">
        <v>1991</v>
      </c>
      <c r="C4" s="2" t="s">
        <v>16</v>
      </c>
      <c r="D4" s="2" t="str">
        <f>VLOOKUP($C4,Sheet1!$A$2:$D$10,2,0)</f>
        <v>141140-91211</v>
      </c>
      <c r="E4" s="8" t="s">
        <v>70</v>
      </c>
      <c r="F4" s="12">
        <v>46055</v>
      </c>
      <c r="G4" s="23">
        <v>0.27083333333333331</v>
      </c>
      <c r="H4" s="2" t="s">
        <v>71</v>
      </c>
      <c r="I4" s="2" t="s">
        <v>54</v>
      </c>
      <c r="J4" s="2">
        <v>4</v>
      </c>
      <c r="K4" s="14">
        <f>VLOOKUP($C4,Sheet1!$A$2:$D$10,4,0)</f>
        <v>2</v>
      </c>
      <c r="L4" s="14" t="str">
        <f>VLOOKUP($C4,Sheet1!$A$2:$E$10,5,0)</f>
        <v>Bin</v>
      </c>
      <c r="M4" s="14">
        <f>J4/K4</f>
        <v>2</v>
      </c>
      <c r="N4" s="2"/>
      <c r="O4" s="2"/>
      <c r="P4" s="2"/>
    </row>
    <row r="5" spans="1:16" x14ac:dyDescent="0.25">
      <c r="A5" s="2"/>
      <c r="B5" s="2" t="s">
        <v>2002</v>
      </c>
      <c r="C5" s="2" t="s">
        <v>20</v>
      </c>
      <c r="D5" s="2" t="str">
        <f>VLOOKUP($C5,Sheet1!$A$2:$D$10,2,0)</f>
        <v>141150-91211</v>
      </c>
      <c r="E5" s="8" t="s">
        <v>78</v>
      </c>
      <c r="F5" s="12">
        <v>46055</v>
      </c>
      <c r="G5" s="23">
        <v>0.27083333333333331</v>
      </c>
      <c r="H5" s="2" t="s">
        <v>71</v>
      </c>
      <c r="I5" s="2" t="s">
        <v>54</v>
      </c>
      <c r="J5" s="2">
        <v>4</v>
      </c>
      <c r="K5" s="14">
        <f>VLOOKUP($C5,Sheet1!$A$2:$D$10,4,0)</f>
        <v>2</v>
      </c>
      <c r="L5" s="14" t="str">
        <f>VLOOKUP($C5,Sheet1!$A$2:$E$10,5,0)</f>
        <v>Bin</v>
      </c>
      <c r="M5" s="14">
        <f t="shared" ref="M5:M7" si="0">J5/K5</f>
        <v>2</v>
      </c>
      <c r="N5" s="2"/>
      <c r="O5" s="2"/>
      <c r="P5" s="2"/>
    </row>
    <row r="6" spans="1:16" x14ac:dyDescent="0.25">
      <c r="A6" s="2"/>
      <c r="B6" s="2" t="s">
        <v>2023</v>
      </c>
      <c r="C6" s="2" t="s">
        <v>26</v>
      </c>
      <c r="D6" s="2" t="str">
        <f>VLOOKUP($C6,Sheet1!$A$2:$D$10,2,0)</f>
        <v>116040-92240</v>
      </c>
      <c r="E6" s="8" t="s">
        <v>90</v>
      </c>
      <c r="F6" s="12">
        <v>46055</v>
      </c>
      <c r="G6" s="23">
        <v>0.27083333333333331</v>
      </c>
      <c r="H6" s="2" t="s">
        <v>91</v>
      </c>
      <c r="I6" s="2" t="s">
        <v>54</v>
      </c>
      <c r="J6" s="2">
        <v>6</v>
      </c>
      <c r="K6" s="14">
        <f>VLOOKUP($C6,Sheet1!$A$2:$D$10,4,0)</f>
        <v>6</v>
      </c>
      <c r="L6" s="14" t="str">
        <f>VLOOKUP($C6,Sheet1!$A$2:$E$10,5,0)</f>
        <v>Bin</v>
      </c>
      <c r="M6" s="14">
        <f t="shared" si="0"/>
        <v>1</v>
      </c>
      <c r="N6" s="2"/>
      <c r="O6" s="2"/>
      <c r="P6" s="2"/>
    </row>
    <row r="7" spans="1:16" ht="15.75" thickBot="1" x14ac:dyDescent="0.3">
      <c r="A7" s="2"/>
      <c r="B7" s="2" t="s">
        <v>2034</v>
      </c>
      <c r="C7" s="2" t="s">
        <v>32</v>
      </c>
      <c r="D7" s="2" t="str">
        <f>VLOOKUP($C7,Sheet1!$A$2:$D$10,2,0)</f>
        <v>114010-50820</v>
      </c>
      <c r="E7" s="8" t="s">
        <v>98</v>
      </c>
      <c r="F7" s="12">
        <v>46055</v>
      </c>
      <c r="G7" s="24">
        <v>0.27083333333333331</v>
      </c>
      <c r="H7" s="2" t="s">
        <v>91</v>
      </c>
      <c r="I7" s="2" t="s">
        <v>54</v>
      </c>
      <c r="J7" s="2">
        <v>4</v>
      </c>
      <c r="K7" s="14">
        <f>VLOOKUP($C7,Sheet1!$A$2:$D$10,4,0)</f>
        <v>1</v>
      </c>
      <c r="L7" s="14" t="str">
        <f>VLOOKUP($C7,Sheet1!$A$2:$E$10,5,0)</f>
        <v>Bin</v>
      </c>
      <c r="M7" s="14">
        <f t="shared" si="0"/>
        <v>4</v>
      </c>
      <c r="N7" s="2"/>
      <c r="O7" s="2"/>
      <c r="P7" s="2"/>
    </row>
    <row r="8" spans="1:16" ht="15.75" thickTop="1" x14ac:dyDescent="0.25">
      <c r="A8" s="2"/>
      <c r="B8" s="2" t="s">
        <v>1964</v>
      </c>
      <c r="C8" s="2" t="s">
        <v>5</v>
      </c>
      <c r="D8" s="2" t="str">
        <f>VLOOKUP($C8,Sheet1!$A$2:$D$10,2,0)</f>
        <v>141110-14600</v>
      </c>
      <c r="E8" s="8" t="s">
        <v>52</v>
      </c>
      <c r="F8" s="12">
        <v>46055</v>
      </c>
      <c r="G8" s="22">
        <v>0.3125</v>
      </c>
      <c r="H8" s="2" t="s">
        <v>53</v>
      </c>
      <c r="I8" s="2" t="s">
        <v>54</v>
      </c>
      <c r="J8" s="2">
        <v>54</v>
      </c>
      <c r="K8" s="14">
        <f>VLOOKUP($C8,Sheet1!$A$2:$D$10,4,0)</f>
        <v>18</v>
      </c>
      <c r="L8" s="14" t="str">
        <f>VLOOKUP($C8,Sheet1!$A$2:$E$10,5,0)</f>
        <v>Trolley (H)</v>
      </c>
      <c r="M8" s="14"/>
      <c r="N8" s="52">
        <v>3</v>
      </c>
      <c r="O8" s="2"/>
      <c r="P8" s="2"/>
    </row>
    <row r="9" spans="1:16" x14ac:dyDescent="0.25">
      <c r="A9" s="2"/>
      <c r="B9" s="2" t="s">
        <v>1973</v>
      </c>
      <c r="C9" s="2" t="s">
        <v>9</v>
      </c>
      <c r="D9" s="2" t="str">
        <f>VLOOKUP($C9,Sheet1!$A$2:$D$10,2,0)</f>
        <v>141120-14600</v>
      </c>
      <c r="E9" s="8" t="s">
        <v>60</v>
      </c>
      <c r="F9" s="12">
        <v>46055</v>
      </c>
      <c r="G9" s="13">
        <v>0.3125</v>
      </c>
      <c r="H9" s="2" t="s">
        <v>53</v>
      </c>
      <c r="I9" s="2" t="s">
        <v>54</v>
      </c>
      <c r="J9" s="2">
        <v>54</v>
      </c>
      <c r="K9" s="14">
        <f>VLOOKUP($C9,Sheet1!$A$2:$D$10,4,0)</f>
        <v>18</v>
      </c>
      <c r="L9" s="14" t="str">
        <f>VLOOKUP($C9,Sheet1!$A$2:$E$10,5,0)</f>
        <v>Trolley (H)</v>
      </c>
      <c r="M9" s="14"/>
      <c r="N9" s="53"/>
      <c r="O9" s="2"/>
      <c r="P9" s="2"/>
    </row>
    <row r="10" spans="1:16" x14ac:dyDescent="0.25">
      <c r="A10" s="2"/>
      <c r="B10" s="2" t="s">
        <v>1982</v>
      </c>
      <c r="C10" s="2" t="s">
        <v>12</v>
      </c>
      <c r="D10" s="2" t="str">
        <f>VLOOKUP($C10,Sheet1!$A$2:$D$10,2,0)</f>
        <v>141185-74670</v>
      </c>
      <c r="E10" s="8" t="s">
        <v>66</v>
      </c>
      <c r="F10" s="12">
        <v>46055</v>
      </c>
      <c r="G10" s="13">
        <v>0.3125</v>
      </c>
      <c r="H10" s="2" t="s">
        <v>53</v>
      </c>
      <c r="I10" s="2" t="s">
        <v>54</v>
      </c>
      <c r="J10" s="2">
        <v>80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>J10/K10</f>
        <v>2</v>
      </c>
      <c r="O10" s="2"/>
      <c r="P10" s="2"/>
    </row>
    <row r="11" spans="1:16" x14ac:dyDescent="0.25">
      <c r="A11" s="2"/>
      <c r="B11" s="2" t="s">
        <v>1992</v>
      </c>
      <c r="C11" s="2" t="s">
        <v>16</v>
      </c>
      <c r="D11" s="2" t="str">
        <f>VLOOKUP($C11,Sheet1!$A$2:$D$10,2,0)</f>
        <v>141140-91211</v>
      </c>
      <c r="E11" s="8" t="s">
        <v>70</v>
      </c>
      <c r="F11" s="12">
        <v>46055</v>
      </c>
      <c r="G11" s="13">
        <v>0.3125</v>
      </c>
      <c r="H11" s="2" t="s">
        <v>71</v>
      </c>
      <c r="I11" s="2" t="s">
        <v>54</v>
      </c>
      <c r="J11" s="2">
        <v>56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ref="M11:M12" si="1">J11/K11</f>
        <v>28</v>
      </c>
      <c r="N11" s="2"/>
      <c r="O11" s="2"/>
      <c r="P11" s="2"/>
    </row>
    <row r="12" spans="1:16" x14ac:dyDescent="0.25">
      <c r="A12" s="2"/>
      <c r="B12" s="2" t="s">
        <v>2003</v>
      </c>
      <c r="C12" s="2" t="s">
        <v>20</v>
      </c>
      <c r="D12" s="2" t="str">
        <f>VLOOKUP($C12,Sheet1!$A$2:$D$10,2,0)</f>
        <v>141150-91211</v>
      </c>
      <c r="E12" s="8" t="s">
        <v>78</v>
      </c>
      <c r="F12" s="12">
        <v>46055</v>
      </c>
      <c r="G12" s="13">
        <v>0.3125</v>
      </c>
      <c r="H12" s="2" t="s">
        <v>71</v>
      </c>
      <c r="I12" s="2" t="s">
        <v>54</v>
      </c>
      <c r="J12" s="2">
        <v>56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1"/>
        <v>28</v>
      </c>
      <c r="N12" s="2"/>
      <c r="O12" s="2"/>
      <c r="P12" s="2"/>
    </row>
    <row r="13" spans="1:16" x14ac:dyDescent="0.25">
      <c r="A13" s="2"/>
      <c r="B13" s="2" t="s">
        <v>2013</v>
      </c>
      <c r="C13" s="2" t="s">
        <v>23</v>
      </c>
      <c r="D13" s="2" t="str">
        <f>VLOOKUP($C13,Sheet1!$A$2:$D$10,2,0)</f>
        <v>141186-74360</v>
      </c>
      <c r="E13" s="8" t="s">
        <v>85</v>
      </c>
      <c r="F13" s="12">
        <v>46055</v>
      </c>
      <c r="G13" s="13">
        <v>0.3125</v>
      </c>
      <c r="H13" s="2" t="s">
        <v>71</v>
      </c>
      <c r="I13" s="2" t="s">
        <v>54</v>
      </c>
      <c r="J13" s="2">
        <v>120</v>
      </c>
      <c r="K13" s="14">
        <f>VLOOKUP($C13,Sheet1!$A$2:$D$10,4,0)</f>
        <v>40</v>
      </c>
      <c r="L13" s="14" t="str">
        <f>VLOOKUP($C13,Sheet1!$A$2:$E$10,5,0)</f>
        <v>Trolley</v>
      </c>
      <c r="M13" s="14"/>
      <c r="N13" s="2">
        <f t="shared" ref="N13" si="2">J13/K13</f>
        <v>3</v>
      </c>
      <c r="O13" s="2"/>
      <c r="P13" s="2"/>
    </row>
    <row r="14" spans="1:16" x14ac:dyDescent="0.25">
      <c r="A14" s="2"/>
      <c r="B14" s="2" t="s">
        <v>2024</v>
      </c>
      <c r="C14" s="2" t="s">
        <v>26</v>
      </c>
      <c r="D14" s="2" t="str">
        <f>VLOOKUP($C14,Sheet1!$A$2:$D$10,2,0)</f>
        <v>116040-92240</v>
      </c>
      <c r="E14" s="8" t="s">
        <v>90</v>
      </c>
      <c r="F14" s="12">
        <v>46055</v>
      </c>
      <c r="G14" s="13">
        <v>0.3125</v>
      </c>
      <c r="H14" s="2" t="s">
        <v>91</v>
      </c>
      <c r="I14" s="2" t="s">
        <v>54</v>
      </c>
      <c r="J14" s="2">
        <v>60</v>
      </c>
      <c r="K14" s="14">
        <f>VLOOKUP($C14,Sheet1!$A$2:$D$10,4,0)</f>
        <v>6</v>
      </c>
      <c r="L14" s="14" t="str">
        <f>VLOOKUP($C14,Sheet1!$A$2:$E$10,5,0)</f>
        <v>Bin</v>
      </c>
      <c r="M14" s="14">
        <f t="shared" ref="M14:M17" si="3">J14/K14</f>
        <v>10</v>
      </c>
      <c r="N14" s="2"/>
      <c r="O14" s="2"/>
      <c r="P14" s="2"/>
    </row>
    <row r="15" spans="1:16" x14ac:dyDescent="0.25">
      <c r="A15" s="2"/>
      <c r="B15" s="2" t="s">
        <v>2025</v>
      </c>
      <c r="C15" s="2" t="s">
        <v>26</v>
      </c>
      <c r="D15" s="2" t="str">
        <f>VLOOKUP($C15,Sheet1!$A$2:$D$10,2,0)</f>
        <v>116040-92240</v>
      </c>
      <c r="E15" s="8" t="s">
        <v>90</v>
      </c>
      <c r="F15" s="12">
        <v>46055</v>
      </c>
      <c r="G15" s="13">
        <v>0.3125</v>
      </c>
      <c r="H15" s="2" t="s">
        <v>91</v>
      </c>
      <c r="I15" s="2" t="s">
        <v>54</v>
      </c>
      <c r="J15" s="2">
        <v>12</v>
      </c>
      <c r="K15" s="14">
        <f>VLOOKUP($C15,Sheet1!$A$2:$D$10,4,0)</f>
        <v>6</v>
      </c>
      <c r="L15" s="14" t="str">
        <f>VLOOKUP($C15,Sheet1!$A$2:$E$10,5,0)</f>
        <v>Bin</v>
      </c>
      <c r="M15" s="14">
        <f t="shared" si="3"/>
        <v>2</v>
      </c>
      <c r="N15" s="2"/>
      <c r="O15" s="2"/>
      <c r="P15" s="2"/>
    </row>
    <row r="16" spans="1:16" x14ac:dyDescent="0.25">
      <c r="A16" s="2"/>
      <c r="B16" s="2" t="s">
        <v>2035</v>
      </c>
      <c r="C16" s="2" t="s">
        <v>32</v>
      </c>
      <c r="D16" s="2" t="str">
        <f>VLOOKUP($C16,Sheet1!$A$2:$D$10,2,0)</f>
        <v>114010-50820</v>
      </c>
      <c r="E16" s="8" t="s">
        <v>98</v>
      </c>
      <c r="F16" s="12">
        <v>46055</v>
      </c>
      <c r="G16" s="13">
        <v>0.3125</v>
      </c>
      <c r="H16" s="2" t="s">
        <v>91</v>
      </c>
      <c r="I16" s="2" t="s">
        <v>54</v>
      </c>
      <c r="J16" s="2">
        <v>20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3"/>
        <v>20</v>
      </c>
      <c r="N16" s="2"/>
      <c r="O16" s="2"/>
      <c r="P16" s="2"/>
    </row>
    <row r="17" spans="1:16" x14ac:dyDescent="0.25">
      <c r="A17" s="2"/>
      <c r="B17" s="2" t="s">
        <v>2045</v>
      </c>
      <c r="C17" s="2" t="s">
        <v>29</v>
      </c>
      <c r="D17" s="2" t="str">
        <f>VLOOKUP($C17,Sheet1!$A$2:$D$10,2,0)</f>
        <v>114010-50830</v>
      </c>
      <c r="E17" s="8" t="s">
        <v>98</v>
      </c>
      <c r="F17" s="12">
        <v>46055</v>
      </c>
      <c r="G17" s="13">
        <v>0.3125</v>
      </c>
      <c r="H17" s="2" t="s">
        <v>91</v>
      </c>
      <c r="I17" s="2" t="s">
        <v>54</v>
      </c>
      <c r="J17" s="2">
        <v>26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3"/>
        <v>26</v>
      </c>
      <c r="N17" s="2"/>
      <c r="O17" s="2"/>
      <c r="P17" s="2"/>
    </row>
    <row r="18" spans="1:16" s="11" customForma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>
        <v>123</v>
      </c>
      <c r="N18" s="10">
        <v>8</v>
      </c>
      <c r="O18" s="10"/>
      <c r="P18" s="10"/>
    </row>
    <row r="19" spans="1:16" x14ac:dyDescent="0.25">
      <c r="A19" s="2"/>
      <c r="B19" s="2" t="s">
        <v>1982</v>
      </c>
      <c r="C19" s="2" t="s">
        <v>12</v>
      </c>
      <c r="D19" s="2" t="str">
        <f>VLOOKUP($C19,Sheet1!$A$2:$D$10,2,0)</f>
        <v>141185-74670</v>
      </c>
      <c r="E19" s="8" t="s">
        <v>66</v>
      </c>
      <c r="F19" s="12">
        <v>46055</v>
      </c>
      <c r="G19" s="13">
        <v>0.3125</v>
      </c>
      <c r="H19" s="2" t="s">
        <v>53</v>
      </c>
      <c r="I19" s="2" t="s">
        <v>54</v>
      </c>
      <c r="J19" s="2">
        <v>40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1</v>
      </c>
      <c r="O19" s="2"/>
      <c r="P19" s="2"/>
    </row>
    <row r="20" spans="1:16" x14ac:dyDescent="0.25">
      <c r="A20" s="2"/>
      <c r="B20" s="2" t="s">
        <v>2014</v>
      </c>
      <c r="C20" s="2" t="s">
        <v>23</v>
      </c>
      <c r="D20" s="2" t="str">
        <f>VLOOKUP($C20,Sheet1!$A$2:$D$10,2,0)</f>
        <v>141186-74360</v>
      </c>
      <c r="E20" s="8" t="s">
        <v>85</v>
      </c>
      <c r="F20" s="12">
        <v>46055</v>
      </c>
      <c r="G20" s="13">
        <v>0.3125</v>
      </c>
      <c r="H20" s="2" t="s">
        <v>71</v>
      </c>
      <c r="I20" s="2" t="s">
        <v>54</v>
      </c>
      <c r="J20" s="2">
        <v>40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1</v>
      </c>
      <c r="O20" s="2"/>
      <c r="P20" s="2"/>
    </row>
    <row r="21" spans="1:16" x14ac:dyDescent="0.25">
      <c r="A21" s="2"/>
      <c r="B21" s="2" t="s">
        <v>1993</v>
      </c>
      <c r="C21" s="2" t="s">
        <v>16</v>
      </c>
      <c r="D21" s="2" t="str">
        <f>VLOOKUP($C21,Sheet1!$A$2:$D$10,2,0)</f>
        <v>141140-91211</v>
      </c>
      <c r="E21" s="8" t="s">
        <v>70</v>
      </c>
      <c r="F21" s="12">
        <v>46055</v>
      </c>
      <c r="G21" s="13">
        <v>0.3125</v>
      </c>
      <c r="H21" s="2" t="s">
        <v>71</v>
      </c>
      <c r="I21" s="2" t="s">
        <v>54</v>
      </c>
      <c r="J21" s="2">
        <v>12</v>
      </c>
      <c r="K21" s="14">
        <f>VLOOKUP($C21,Sheet1!$A$2:$D$10,4,0)</f>
        <v>2</v>
      </c>
      <c r="L21" s="14" t="str">
        <f>VLOOKUP($C21,Sheet1!$A$2:$E$10,5,0)</f>
        <v>Bin</v>
      </c>
      <c r="M21" s="14">
        <f>J21/K21</f>
        <v>6</v>
      </c>
      <c r="N21" s="2"/>
      <c r="O21" s="2"/>
      <c r="P21" s="2"/>
    </row>
    <row r="22" spans="1:16" x14ac:dyDescent="0.25">
      <c r="A22" s="2"/>
      <c r="B22" s="2" t="s">
        <v>2004</v>
      </c>
      <c r="C22" s="2" t="s">
        <v>20</v>
      </c>
      <c r="D22" s="2" t="str">
        <f>VLOOKUP($C22,Sheet1!$A$2:$D$10,2,0)</f>
        <v>141150-91211</v>
      </c>
      <c r="E22" s="8" t="s">
        <v>78</v>
      </c>
      <c r="F22" s="12">
        <v>46055</v>
      </c>
      <c r="G22" s="13">
        <v>0.3125</v>
      </c>
      <c r="H22" s="2" t="s">
        <v>71</v>
      </c>
      <c r="I22" s="2" t="s">
        <v>54</v>
      </c>
      <c r="J22" s="2">
        <v>12</v>
      </c>
      <c r="K22" s="14">
        <f>VLOOKUP($C22,Sheet1!$A$2:$D$10,4,0)</f>
        <v>2</v>
      </c>
      <c r="L22" s="14" t="str">
        <f>VLOOKUP($C22,Sheet1!$A$2:$E$10,5,0)</f>
        <v>Bin</v>
      </c>
      <c r="M22" s="14">
        <f>J22/K22</f>
        <v>6</v>
      </c>
      <c r="N22" s="2"/>
      <c r="O22" s="2"/>
      <c r="P22" s="2"/>
    </row>
    <row r="23" spans="1:16" x14ac:dyDescent="0.25">
      <c r="A23" s="2"/>
      <c r="B23" s="2" t="s">
        <v>2036</v>
      </c>
      <c r="C23" s="2" t="s">
        <v>32</v>
      </c>
      <c r="D23" s="2" t="str">
        <f>VLOOKUP($C23,Sheet1!$A$2:$D$10,2,0)</f>
        <v>114010-50820</v>
      </c>
      <c r="E23" s="8" t="s">
        <v>98</v>
      </c>
      <c r="F23" s="12">
        <v>46055</v>
      </c>
      <c r="G23" s="13">
        <v>0.3125</v>
      </c>
      <c r="H23" s="2" t="s">
        <v>91</v>
      </c>
      <c r="I23" s="2" t="s">
        <v>54</v>
      </c>
      <c r="J23" s="2">
        <v>5</v>
      </c>
      <c r="K23" s="14">
        <f>VLOOKUP($C23,Sheet1!$A$2:$D$10,4,0)</f>
        <v>1</v>
      </c>
      <c r="L23" s="14" t="str">
        <f>VLOOKUP($C23,Sheet1!$A$2:$E$10,5,0)</f>
        <v>Bin</v>
      </c>
      <c r="M23" s="14">
        <f>J23/K23</f>
        <v>5</v>
      </c>
      <c r="N23" s="2"/>
      <c r="O23" s="2"/>
      <c r="P23" s="2"/>
    </row>
    <row r="24" spans="1:16" x14ac:dyDescent="0.25">
      <c r="A24" s="2"/>
      <c r="B24" s="2" t="s">
        <v>2046</v>
      </c>
      <c r="C24" s="2" t="s">
        <v>29</v>
      </c>
      <c r="D24" s="2" t="str">
        <f>VLOOKUP($C24,Sheet1!$A$2:$D$10,2,0)</f>
        <v>114010-50830</v>
      </c>
      <c r="E24" s="8" t="s">
        <v>98</v>
      </c>
      <c r="F24" s="12">
        <v>46055</v>
      </c>
      <c r="G24" s="13">
        <v>0.3125</v>
      </c>
      <c r="H24" s="2" t="s">
        <v>91</v>
      </c>
      <c r="I24" s="2" t="s">
        <v>54</v>
      </c>
      <c r="J24" s="2">
        <v>7</v>
      </c>
      <c r="K24" s="14">
        <f>VLOOKUP($C24,Sheet1!$A$2:$D$10,4,0)</f>
        <v>1</v>
      </c>
      <c r="L24" s="14" t="str">
        <f>VLOOKUP($C24,Sheet1!$A$2:$E$10,5,0)</f>
        <v>Bin</v>
      </c>
      <c r="M24" s="14">
        <f>J24/K24</f>
        <v>7</v>
      </c>
      <c r="N24" s="2"/>
      <c r="O24" s="2"/>
      <c r="P24" s="2"/>
    </row>
    <row r="25" spans="1:16" ht="15.75" thickBot="1" x14ac:dyDescent="0.3">
      <c r="A25" s="2"/>
      <c r="B25" s="2" t="s">
        <v>2045</v>
      </c>
      <c r="C25" s="2" t="s">
        <v>29</v>
      </c>
      <c r="D25" s="2" t="str">
        <f>VLOOKUP($C25,Sheet1!$A$2:$D$10,2,0)</f>
        <v>114010-50830</v>
      </c>
      <c r="E25" s="8" t="s">
        <v>98</v>
      </c>
      <c r="F25" s="12">
        <v>46055</v>
      </c>
      <c r="G25" s="25">
        <v>0.3125</v>
      </c>
      <c r="H25" s="2" t="s">
        <v>91</v>
      </c>
      <c r="I25" s="2" t="s">
        <v>54</v>
      </c>
      <c r="J25" s="2">
        <v>10</v>
      </c>
      <c r="K25" s="14">
        <f>VLOOKUP($C25,Sheet1!$A$2:$D$10,4,0)</f>
        <v>1</v>
      </c>
      <c r="L25" s="14" t="str">
        <f>VLOOKUP($C25,Sheet1!$A$2:$E$10,5,0)</f>
        <v>Bin</v>
      </c>
      <c r="M25" s="14">
        <f t="shared" ref="M25" si="4">J25/K25</f>
        <v>10</v>
      </c>
      <c r="N25" s="2"/>
      <c r="O25" s="2"/>
      <c r="P25" s="2"/>
    </row>
    <row r="26" spans="1:16" ht="15.75" thickTop="1" x14ac:dyDescent="0.25">
      <c r="A26" s="2"/>
      <c r="B26" s="2" t="s">
        <v>1965</v>
      </c>
      <c r="C26" s="2" t="s">
        <v>5</v>
      </c>
      <c r="D26" s="2" t="str">
        <f>VLOOKUP($C26,Sheet1!$A$2:$D$10,2,0)</f>
        <v>141110-14600</v>
      </c>
      <c r="E26" s="8" t="s">
        <v>52</v>
      </c>
      <c r="F26" s="12">
        <v>46055</v>
      </c>
      <c r="G26" s="26">
        <v>0.35416666666666669</v>
      </c>
      <c r="H26" s="2" t="s">
        <v>53</v>
      </c>
      <c r="I26" s="2" t="s">
        <v>54</v>
      </c>
      <c r="J26" s="2">
        <v>36</v>
      </c>
      <c r="K26" s="14">
        <f>VLOOKUP($C26,Sheet1!$A$2:$D$10,4,0)</f>
        <v>18</v>
      </c>
      <c r="L26" s="14" t="str">
        <f>VLOOKUP($C26,Sheet1!$A$2:$E$10,5,0)</f>
        <v>Trolley (H)</v>
      </c>
      <c r="M26" s="14"/>
      <c r="N26" s="52">
        <v>2</v>
      </c>
      <c r="O26" s="2"/>
      <c r="P26" s="2"/>
    </row>
    <row r="27" spans="1:16" x14ac:dyDescent="0.25">
      <c r="A27" s="2"/>
      <c r="B27" s="2" t="s">
        <v>1974</v>
      </c>
      <c r="C27" s="2" t="s">
        <v>9</v>
      </c>
      <c r="D27" s="2" t="str">
        <f>VLOOKUP($C27,Sheet1!$A$2:$D$10,2,0)</f>
        <v>141120-14600</v>
      </c>
      <c r="E27" s="8" t="s">
        <v>60</v>
      </c>
      <c r="F27" s="12">
        <v>46055</v>
      </c>
      <c r="G27" s="23">
        <v>0.35416666666666669</v>
      </c>
      <c r="H27" s="2" t="s">
        <v>53</v>
      </c>
      <c r="I27" s="2" t="s">
        <v>54</v>
      </c>
      <c r="J27" s="2">
        <v>36</v>
      </c>
      <c r="K27" s="14">
        <f>VLOOKUP($C27,Sheet1!$A$2:$D$10,4,0)</f>
        <v>18</v>
      </c>
      <c r="L27" s="14" t="str">
        <f>VLOOKUP($C27,Sheet1!$A$2:$E$10,5,0)</f>
        <v>Trolley (H)</v>
      </c>
      <c r="M27" s="14"/>
      <c r="N27" s="53"/>
      <c r="O27" s="2"/>
      <c r="P27" s="2"/>
    </row>
    <row r="28" spans="1:16" x14ac:dyDescent="0.25">
      <c r="A28" s="2"/>
      <c r="B28" s="2" t="s">
        <v>1983</v>
      </c>
      <c r="C28" s="2" t="s">
        <v>12</v>
      </c>
      <c r="D28" s="2" t="str">
        <f>VLOOKUP($C28,Sheet1!$A$2:$D$10,2,0)</f>
        <v>141185-74670</v>
      </c>
      <c r="E28" s="8" t="s">
        <v>66</v>
      </c>
      <c r="F28" s="12">
        <v>46055</v>
      </c>
      <c r="G28" s="23">
        <v>0.35416666666666669</v>
      </c>
      <c r="H28" s="2" t="s">
        <v>53</v>
      </c>
      <c r="I28" s="2" t="s">
        <v>54</v>
      </c>
      <c r="J28" s="2">
        <v>40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f>J28/K28</f>
        <v>1</v>
      </c>
      <c r="O28" s="2"/>
      <c r="P28" s="2"/>
    </row>
    <row r="29" spans="1:16" x14ac:dyDescent="0.25">
      <c r="A29" s="2"/>
      <c r="B29" s="2" t="s">
        <v>1994</v>
      </c>
      <c r="C29" s="2" t="s">
        <v>16</v>
      </c>
      <c r="D29" s="2" t="str">
        <f>VLOOKUP($C29,Sheet1!$A$2:$D$10,2,0)</f>
        <v>141140-91211</v>
      </c>
      <c r="E29" s="8" t="s">
        <v>70</v>
      </c>
      <c r="F29" s="12">
        <v>46055</v>
      </c>
      <c r="G29" s="23">
        <v>0.35416666666666669</v>
      </c>
      <c r="H29" s="2" t="s">
        <v>71</v>
      </c>
      <c r="I29" s="2" t="s">
        <v>54</v>
      </c>
      <c r="J29" s="2">
        <v>32</v>
      </c>
      <c r="K29" s="14">
        <f>VLOOKUP($C29,Sheet1!$A$2:$D$10,4,0)</f>
        <v>2</v>
      </c>
      <c r="L29" s="14" t="str">
        <f>VLOOKUP($C29,Sheet1!$A$2:$E$10,5,0)</f>
        <v>Bin</v>
      </c>
      <c r="M29" s="14">
        <f t="shared" ref="M29:M30" si="5">J29/K29</f>
        <v>16</v>
      </c>
      <c r="N29" s="2"/>
      <c r="O29" s="2"/>
      <c r="P29" s="2"/>
    </row>
    <row r="30" spans="1:16" x14ac:dyDescent="0.25">
      <c r="A30" s="2"/>
      <c r="B30" s="2" t="s">
        <v>2005</v>
      </c>
      <c r="C30" s="2" t="s">
        <v>20</v>
      </c>
      <c r="D30" s="2" t="str">
        <f>VLOOKUP($C30,Sheet1!$A$2:$D$10,2,0)</f>
        <v>141150-91211</v>
      </c>
      <c r="E30" s="8" t="s">
        <v>78</v>
      </c>
      <c r="F30" s="12">
        <v>46055</v>
      </c>
      <c r="G30" s="23">
        <v>0.35416666666666669</v>
      </c>
      <c r="H30" s="2" t="s">
        <v>71</v>
      </c>
      <c r="I30" s="2" t="s">
        <v>54</v>
      </c>
      <c r="J30" s="2">
        <v>32</v>
      </c>
      <c r="K30" s="14">
        <f>VLOOKUP($C30,Sheet1!$A$2:$D$10,4,0)</f>
        <v>2</v>
      </c>
      <c r="L30" s="14" t="str">
        <f>VLOOKUP($C30,Sheet1!$A$2:$E$10,5,0)</f>
        <v>Bin</v>
      </c>
      <c r="M30" s="14">
        <f t="shared" si="5"/>
        <v>16</v>
      </c>
      <c r="N30" s="2"/>
      <c r="O30" s="2"/>
      <c r="P30" s="2"/>
    </row>
    <row r="31" spans="1:16" x14ac:dyDescent="0.25">
      <c r="A31" s="2"/>
      <c r="B31" s="2" t="s">
        <v>2015</v>
      </c>
      <c r="C31" s="2" t="s">
        <v>23</v>
      </c>
      <c r="D31" s="2" t="str">
        <f>VLOOKUP($C31,Sheet1!$A$2:$D$10,2,0)</f>
        <v>141186-74360</v>
      </c>
      <c r="E31" s="8" t="s">
        <v>85</v>
      </c>
      <c r="F31" s="12">
        <v>46055</v>
      </c>
      <c r="G31" s="23">
        <v>0.35416666666666669</v>
      </c>
      <c r="H31" s="2" t="s">
        <v>71</v>
      </c>
      <c r="I31" s="2" t="s">
        <v>54</v>
      </c>
      <c r="J31" s="2">
        <v>80</v>
      </c>
      <c r="K31" s="14">
        <f>VLOOKUP($C31,Sheet1!$A$2:$D$10,4,0)</f>
        <v>40</v>
      </c>
      <c r="L31" s="14" t="str">
        <f>VLOOKUP($C31,Sheet1!$A$2:$E$10,5,0)</f>
        <v>Trolley</v>
      </c>
      <c r="M31" s="14"/>
      <c r="N31" s="2">
        <f>J31/K31</f>
        <v>2</v>
      </c>
      <c r="O31" s="2"/>
      <c r="P31" s="2"/>
    </row>
    <row r="32" spans="1:16" x14ac:dyDescent="0.25">
      <c r="A32" s="2"/>
      <c r="B32" s="2" t="s">
        <v>2026</v>
      </c>
      <c r="C32" s="2" t="s">
        <v>26</v>
      </c>
      <c r="D32" s="2" t="str">
        <f>VLOOKUP($C32,Sheet1!$A$2:$D$10,2,0)</f>
        <v>116040-92240</v>
      </c>
      <c r="E32" s="8" t="s">
        <v>90</v>
      </c>
      <c r="F32" s="12">
        <v>46055</v>
      </c>
      <c r="G32" s="23">
        <v>0.35416666666666669</v>
      </c>
      <c r="H32" s="2" t="s">
        <v>91</v>
      </c>
      <c r="I32" s="2" t="s">
        <v>54</v>
      </c>
      <c r="J32" s="2">
        <v>30</v>
      </c>
      <c r="K32" s="14">
        <f>VLOOKUP($C32,Sheet1!$A$2:$D$10,4,0)</f>
        <v>6</v>
      </c>
      <c r="L32" s="14" t="str">
        <f>VLOOKUP($C32,Sheet1!$A$2:$E$10,5,0)</f>
        <v>Bin</v>
      </c>
      <c r="M32" s="14">
        <f t="shared" ref="M32:M34" si="6">J32/K32</f>
        <v>5</v>
      </c>
      <c r="N32" s="2"/>
      <c r="O32" s="2"/>
      <c r="P32" s="2"/>
    </row>
    <row r="33" spans="1:16" x14ac:dyDescent="0.25">
      <c r="A33" s="2"/>
      <c r="B33" s="2" t="s">
        <v>2037</v>
      </c>
      <c r="C33" s="2" t="s">
        <v>32</v>
      </c>
      <c r="D33" s="2" t="str">
        <f>VLOOKUP($C33,Sheet1!$A$2:$D$10,2,0)</f>
        <v>114010-50820</v>
      </c>
      <c r="E33" s="8" t="s">
        <v>98</v>
      </c>
      <c r="F33" s="12">
        <v>46055</v>
      </c>
      <c r="G33" s="23">
        <v>0.35416666666666669</v>
      </c>
      <c r="H33" s="2" t="s">
        <v>91</v>
      </c>
      <c r="I33" s="2" t="s">
        <v>54</v>
      </c>
      <c r="J33" s="2">
        <v>14</v>
      </c>
      <c r="K33" s="14">
        <f>VLOOKUP($C33,Sheet1!$A$2:$D$10,4,0)</f>
        <v>1</v>
      </c>
      <c r="L33" s="14" t="str">
        <f>VLOOKUP($C33,Sheet1!$A$2:$E$10,5,0)</f>
        <v>Bin</v>
      </c>
      <c r="M33" s="14">
        <f t="shared" si="6"/>
        <v>14</v>
      </c>
      <c r="N33" s="2"/>
      <c r="O33" s="2"/>
      <c r="P33" s="2"/>
    </row>
    <row r="34" spans="1:16" x14ac:dyDescent="0.25">
      <c r="A34" s="2"/>
      <c r="B34" s="2" t="s">
        <v>2047</v>
      </c>
      <c r="C34" s="2" t="s">
        <v>29</v>
      </c>
      <c r="D34" s="2" t="str">
        <f>VLOOKUP($C34,Sheet1!$A$2:$D$10,2,0)</f>
        <v>114010-50830</v>
      </c>
      <c r="E34" s="8" t="s">
        <v>98</v>
      </c>
      <c r="F34" s="12">
        <v>46055</v>
      </c>
      <c r="G34" s="23">
        <v>0.35416666666666669</v>
      </c>
      <c r="H34" s="2" t="s">
        <v>91</v>
      </c>
      <c r="I34" s="2" t="s">
        <v>54</v>
      </c>
      <c r="J34" s="2">
        <v>18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si="6"/>
        <v>18</v>
      </c>
      <c r="N34" s="2"/>
      <c r="O34" s="2"/>
      <c r="P34" s="2"/>
    </row>
    <row r="35" spans="1:16" s="11" customForma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>
        <v>103</v>
      </c>
      <c r="N35" s="10">
        <v>7</v>
      </c>
      <c r="O35" s="10"/>
      <c r="P35" s="10"/>
    </row>
    <row r="36" spans="1:16" x14ac:dyDescent="0.25">
      <c r="A36" s="2"/>
      <c r="B36" s="2" t="s">
        <v>1966</v>
      </c>
      <c r="C36" s="2" t="s">
        <v>5</v>
      </c>
      <c r="D36" s="2" t="str">
        <f>VLOOKUP($C36,Sheet1!$A$2:$D$10,2,0)</f>
        <v>141110-14600</v>
      </c>
      <c r="E36" s="8" t="s">
        <v>52</v>
      </c>
      <c r="F36" s="12">
        <v>46055</v>
      </c>
      <c r="G36" s="13">
        <v>0.4375</v>
      </c>
      <c r="H36" s="2" t="s">
        <v>53</v>
      </c>
      <c r="I36" s="2" t="s">
        <v>54</v>
      </c>
      <c r="J36" s="2">
        <v>36</v>
      </c>
      <c r="K36" s="14">
        <f>VLOOKUP($C36,Sheet1!$A$2:$D$10,4,0)</f>
        <v>18</v>
      </c>
      <c r="L36" s="14" t="str">
        <f>VLOOKUP($C36,Sheet1!$A$2:$E$10,5,0)</f>
        <v>Trolley (H)</v>
      </c>
      <c r="M36" s="14"/>
      <c r="N36" s="52">
        <v>2</v>
      </c>
      <c r="O36" s="2"/>
      <c r="P36" s="2"/>
    </row>
    <row r="37" spans="1:16" x14ac:dyDescent="0.25">
      <c r="A37" s="2"/>
      <c r="B37" s="2" t="s">
        <v>1975</v>
      </c>
      <c r="C37" s="2" t="s">
        <v>9</v>
      </c>
      <c r="D37" s="2" t="str">
        <f>VLOOKUP($C37,Sheet1!$A$2:$D$10,2,0)</f>
        <v>141120-14600</v>
      </c>
      <c r="E37" s="8" t="s">
        <v>60</v>
      </c>
      <c r="F37" s="12">
        <v>46055</v>
      </c>
      <c r="G37" s="13">
        <v>0.4375</v>
      </c>
      <c r="H37" s="2" t="s">
        <v>53</v>
      </c>
      <c r="I37" s="2" t="s">
        <v>54</v>
      </c>
      <c r="J37" s="2">
        <v>36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3"/>
      <c r="O37" s="2"/>
      <c r="P37" s="2"/>
    </row>
    <row r="38" spans="1:16" x14ac:dyDescent="0.25">
      <c r="A38" s="2"/>
      <c r="B38" s="2" t="s">
        <v>1984</v>
      </c>
      <c r="C38" s="2" t="s">
        <v>12</v>
      </c>
      <c r="D38" s="2" t="str">
        <f>VLOOKUP($C38,Sheet1!$A$2:$D$10,2,0)</f>
        <v>141185-74670</v>
      </c>
      <c r="E38" s="8" t="s">
        <v>66</v>
      </c>
      <c r="F38" s="12">
        <v>46055</v>
      </c>
      <c r="G38" s="13">
        <v>0.4375</v>
      </c>
      <c r="H38" s="2" t="s">
        <v>53</v>
      </c>
      <c r="I38" s="2" t="s">
        <v>54</v>
      </c>
      <c r="J38" s="2">
        <v>80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2</v>
      </c>
      <c r="O38" s="2"/>
      <c r="P38" s="2"/>
    </row>
    <row r="39" spans="1:16" x14ac:dyDescent="0.25">
      <c r="A39" s="2"/>
      <c r="B39" s="2" t="s">
        <v>1995</v>
      </c>
      <c r="C39" s="2" t="s">
        <v>16</v>
      </c>
      <c r="D39" s="2" t="str">
        <f>VLOOKUP($C39,Sheet1!$A$2:$D$10,2,0)</f>
        <v>141140-91211</v>
      </c>
      <c r="E39" s="8" t="s">
        <v>70</v>
      </c>
      <c r="F39" s="12">
        <v>46055</v>
      </c>
      <c r="G39" s="13">
        <v>0.4375</v>
      </c>
      <c r="H39" s="2" t="s">
        <v>71</v>
      </c>
      <c r="I39" s="2" t="s">
        <v>54</v>
      </c>
      <c r="J39" s="2">
        <v>32</v>
      </c>
      <c r="K39" s="14">
        <f>VLOOKUP($C39,Sheet1!$A$2:$D$10,4,0)</f>
        <v>2</v>
      </c>
      <c r="L39" s="14" t="str">
        <f>VLOOKUP($C39,Sheet1!$A$2:$E$10,5,0)</f>
        <v>Bin</v>
      </c>
      <c r="M39" s="14">
        <f t="shared" ref="M39:M40" si="7">J39/K39</f>
        <v>16</v>
      </c>
      <c r="N39" s="2"/>
      <c r="O39" s="2"/>
      <c r="P39" s="2"/>
    </row>
    <row r="40" spans="1:16" x14ac:dyDescent="0.25">
      <c r="A40" s="2"/>
      <c r="B40" s="2" t="s">
        <v>2006</v>
      </c>
      <c r="C40" s="2" t="s">
        <v>20</v>
      </c>
      <c r="D40" s="2" t="str">
        <f>VLOOKUP($C40,Sheet1!$A$2:$D$10,2,0)</f>
        <v>141150-91211</v>
      </c>
      <c r="E40" s="8" t="s">
        <v>78</v>
      </c>
      <c r="F40" s="12">
        <v>46055</v>
      </c>
      <c r="G40" s="13">
        <v>0.4375</v>
      </c>
      <c r="H40" s="2" t="s">
        <v>71</v>
      </c>
      <c r="I40" s="2" t="s">
        <v>54</v>
      </c>
      <c r="J40" s="2">
        <v>32</v>
      </c>
      <c r="K40" s="14">
        <f>VLOOKUP($C40,Sheet1!$A$2:$D$10,4,0)</f>
        <v>2</v>
      </c>
      <c r="L40" s="14" t="str">
        <f>VLOOKUP($C40,Sheet1!$A$2:$E$10,5,0)</f>
        <v>Bin</v>
      </c>
      <c r="M40" s="14">
        <f t="shared" si="7"/>
        <v>16</v>
      </c>
      <c r="N40" s="2"/>
      <c r="O40" s="2"/>
      <c r="P40" s="2"/>
    </row>
    <row r="41" spans="1:16" x14ac:dyDescent="0.25">
      <c r="A41" s="2"/>
      <c r="B41" s="2" t="s">
        <v>2016</v>
      </c>
      <c r="C41" s="2" t="s">
        <v>23</v>
      </c>
      <c r="D41" s="2" t="str">
        <f>VLOOKUP($C41,Sheet1!$A$2:$D$10,2,0)</f>
        <v>141186-74360</v>
      </c>
      <c r="E41" s="8" t="s">
        <v>85</v>
      </c>
      <c r="F41" s="12">
        <v>46055</v>
      </c>
      <c r="G41" s="13">
        <v>0.4375</v>
      </c>
      <c r="H41" s="2" t="s">
        <v>71</v>
      </c>
      <c r="I41" s="2" t="s">
        <v>54</v>
      </c>
      <c r="J41" s="2">
        <v>40</v>
      </c>
      <c r="K41" s="14">
        <f>VLOOKUP($C41,Sheet1!$A$2:$D$10,4,0)</f>
        <v>40</v>
      </c>
      <c r="L41" s="14" t="str">
        <f>VLOOKUP($C41,Sheet1!$A$2:$E$10,5,0)</f>
        <v>Trolley</v>
      </c>
      <c r="M41" s="14"/>
      <c r="N41" s="2">
        <f>J41/K41</f>
        <v>1</v>
      </c>
      <c r="O41" s="2"/>
      <c r="P41" s="2"/>
    </row>
    <row r="42" spans="1:16" x14ac:dyDescent="0.25">
      <c r="A42" s="2"/>
      <c r="B42" s="2" t="s">
        <v>2027</v>
      </c>
      <c r="C42" s="2" t="s">
        <v>26</v>
      </c>
      <c r="D42" s="2" t="str">
        <f>VLOOKUP($C42,Sheet1!$A$2:$D$10,2,0)</f>
        <v>116040-92240</v>
      </c>
      <c r="E42" s="8" t="s">
        <v>90</v>
      </c>
      <c r="F42" s="12">
        <v>46055</v>
      </c>
      <c r="G42" s="13">
        <v>0.4375</v>
      </c>
      <c r="H42" s="2" t="s">
        <v>91</v>
      </c>
      <c r="I42" s="2" t="s">
        <v>54</v>
      </c>
      <c r="J42" s="2">
        <v>30</v>
      </c>
      <c r="K42" s="14">
        <f>VLOOKUP($C42,Sheet1!$A$2:$D$10,4,0)</f>
        <v>6</v>
      </c>
      <c r="L42" s="14" t="str">
        <f>VLOOKUP($C42,Sheet1!$A$2:$E$10,5,0)</f>
        <v>Bin</v>
      </c>
      <c r="M42" s="14">
        <f t="shared" ref="M42:M44" si="8">J42/K42</f>
        <v>5</v>
      </c>
      <c r="N42" s="2"/>
      <c r="O42" s="2"/>
      <c r="P42" s="2"/>
    </row>
    <row r="43" spans="1:16" x14ac:dyDescent="0.25">
      <c r="A43" s="2"/>
      <c r="B43" s="2" t="s">
        <v>2038</v>
      </c>
      <c r="C43" s="2" t="s">
        <v>32</v>
      </c>
      <c r="D43" s="2" t="str">
        <f>VLOOKUP($C43,Sheet1!$A$2:$D$10,2,0)</f>
        <v>114010-50820</v>
      </c>
      <c r="E43" s="8" t="s">
        <v>98</v>
      </c>
      <c r="F43" s="12">
        <v>46055</v>
      </c>
      <c r="G43" s="13">
        <v>0.4375</v>
      </c>
      <c r="H43" s="2" t="s">
        <v>91</v>
      </c>
      <c r="I43" s="2" t="s">
        <v>54</v>
      </c>
      <c r="J43" s="2">
        <v>18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8"/>
        <v>18</v>
      </c>
      <c r="N43" s="2"/>
      <c r="O43" s="2"/>
      <c r="P43" s="2"/>
    </row>
    <row r="44" spans="1:16" x14ac:dyDescent="0.25">
      <c r="A44" s="2"/>
      <c r="B44" s="2" t="s">
        <v>2048</v>
      </c>
      <c r="C44" s="2" t="s">
        <v>29</v>
      </c>
      <c r="D44" s="2" t="str">
        <f>VLOOKUP($C44,Sheet1!$A$2:$D$10,2,0)</f>
        <v>114010-50830</v>
      </c>
      <c r="E44" s="8" t="s">
        <v>98</v>
      </c>
      <c r="F44" s="12">
        <v>46055</v>
      </c>
      <c r="G44" s="13">
        <v>0.4375</v>
      </c>
      <c r="H44" s="2" t="s">
        <v>91</v>
      </c>
      <c r="I44" s="2" t="s">
        <v>54</v>
      </c>
      <c r="J44" s="2">
        <v>14</v>
      </c>
      <c r="K44" s="14">
        <f>VLOOKUP($C44,Sheet1!$A$2:$D$10,4,0)</f>
        <v>1</v>
      </c>
      <c r="L44" s="14" t="str">
        <f>VLOOKUP($C44,Sheet1!$A$2:$E$10,5,0)</f>
        <v>Bin</v>
      </c>
      <c r="M44" s="14">
        <f t="shared" si="8"/>
        <v>14</v>
      </c>
      <c r="N44" s="2"/>
      <c r="O44" s="2"/>
      <c r="P44" s="2"/>
    </row>
    <row r="45" spans="1:16" s="11" customForma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>
        <v>69</v>
      </c>
      <c r="N45" s="10">
        <v>5</v>
      </c>
      <c r="O45" s="10"/>
      <c r="P45" s="10"/>
    </row>
    <row r="46" spans="1:16" x14ac:dyDescent="0.25">
      <c r="A46" s="2"/>
      <c r="B46" s="2" t="s">
        <v>1967</v>
      </c>
      <c r="C46" s="2" t="s">
        <v>5</v>
      </c>
      <c r="D46" s="2" t="str">
        <f>VLOOKUP($C46,Sheet1!$A$2:$D$10,2,0)</f>
        <v>141110-14600</v>
      </c>
      <c r="E46" s="8" t="s">
        <v>52</v>
      </c>
      <c r="F46" s="12">
        <v>46055</v>
      </c>
      <c r="G46" s="13">
        <v>0.52083333333333337</v>
      </c>
      <c r="H46" s="2" t="s">
        <v>53</v>
      </c>
      <c r="I46" s="2" t="s">
        <v>54</v>
      </c>
      <c r="J46" s="2">
        <v>36</v>
      </c>
      <c r="K46" s="14">
        <f>VLOOKUP($C46,Sheet1!$A$2:$D$10,4,0)</f>
        <v>18</v>
      </c>
      <c r="L46" s="14" t="str">
        <f>VLOOKUP($C46,Sheet1!$A$2:$E$10,5,0)</f>
        <v>Trolley (H)</v>
      </c>
      <c r="M46" s="14"/>
      <c r="N46" s="52">
        <v>2</v>
      </c>
      <c r="O46" s="2"/>
      <c r="P46" s="2"/>
    </row>
    <row r="47" spans="1:16" x14ac:dyDescent="0.25">
      <c r="A47" s="2"/>
      <c r="B47" s="2" t="s">
        <v>1976</v>
      </c>
      <c r="C47" s="2" t="s">
        <v>9</v>
      </c>
      <c r="D47" s="2" t="str">
        <f>VLOOKUP($C47,Sheet1!$A$2:$D$10,2,0)</f>
        <v>141120-14600</v>
      </c>
      <c r="E47" s="8" t="s">
        <v>60</v>
      </c>
      <c r="F47" s="12">
        <v>46055</v>
      </c>
      <c r="G47" s="13">
        <v>0.52083333333333337</v>
      </c>
      <c r="H47" s="2" t="s">
        <v>53</v>
      </c>
      <c r="I47" s="2" t="s">
        <v>54</v>
      </c>
      <c r="J47" s="2">
        <v>36</v>
      </c>
      <c r="K47" s="14">
        <f>VLOOKUP($C47,Sheet1!$A$2:$D$10,4,0)</f>
        <v>18</v>
      </c>
      <c r="L47" s="14" t="str">
        <f>VLOOKUP($C47,Sheet1!$A$2:$E$10,5,0)</f>
        <v>Trolley (H)</v>
      </c>
      <c r="M47" s="14"/>
      <c r="N47" s="53"/>
      <c r="O47" s="2"/>
      <c r="P47" s="2"/>
    </row>
    <row r="48" spans="1:16" x14ac:dyDescent="0.25">
      <c r="A48" s="2"/>
      <c r="B48" s="2" t="s">
        <v>1985</v>
      </c>
      <c r="C48" s="2" t="s">
        <v>12</v>
      </c>
      <c r="D48" s="2" t="str">
        <f>VLOOKUP($C48,Sheet1!$A$2:$D$10,2,0)</f>
        <v>141185-74670</v>
      </c>
      <c r="E48" s="8" t="s">
        <v>66</v>
      </c>
      <c r="F48" s="12">
        <v>46055</v>
      </c>
      <c r="G48" s="13">
        <v>0.52083333333333337</v>
      </c>
      <c r="H48" s="2" t="s">
        <v>53</v>
      </c>
      <c r="I48" s="2" t="s">
        <v>54</v>
      </c>
      <c r="J48" s="2">
        <v>80</v>
      </c>
      <c r="K48" s="14">
        <f>VLOOKUP($C48,Sheet1!$A$2:$D$10,4,0)</f>
        <v>40</v>
      </c>
      <c r="L48" s="14" t="str">
        <f>VLOOKUP($C48,Sheet1!$A$2:$E$10,5,0)</f>
        <v>Trolley</v>
      </c>
      <c r="M48" s="14"/>
      <c r="N48" s="2">
        <f>J48/K48</f>
        <v>2</v>
      </c>
      <c r="O48" s="2"/>
      <c r="P48" s="2"/>
    </row>
    <row r="49" spans="1:16" x14ac:dyDescent="0.25">
      <c r="A49" s="2"/>
      <c r="B49" s="2" t="s">
        <v>1996</v>
      </c>
      <c r="C49" s="2" t="s">
        <v>16</v>
      </c>
      <c r="D49" s="2" t="str">
        <f>VLOOKUP($C49,Sheet1!$A$2:$D$10,2,0)</f>
        <v>141140-91211</v>
      </c>
      <c r="E49" s="8" t="s">
        <v>70</v>
      </c>
      <c r="F49" s="12">
        <v>46055</v>
      </c>
      <c r="G49" s="13">
        <v>0.52083333333333337</v>
      </c>
      <c r="H49" s="2" t="s">
        <v>71</v>
      </c>
      <c r="I49" s="2" t="s">
        <v>54</v>
      </c>
      <c r="J49" s="2">
        <v>48</v>
      </c>
      <c r="K49" s="14">
        <f>VLOOKUP($C49,Sheet1!$A$2:$D$10,4,0)</f>
        <v>2</v>
      </c>
      <c r="L49" s="14" t="str">
        <f>VLOOKUP($C49,Sheet1!$A$2:$E$10,5,0)</f>
        <v>Bin</v>
      </c>
      <c r="M49" s="14">
        <f t="shared" ref="M49:M50" si="9">J49/K49</f>
        <v>24</v>
      </c>
      <c r="N49" s="2"/>
      <c r="O49" s="2"/>
      <c r="P49" s="2"/>
    </row>
    <row r="50" spans="1:16" x14ac:dyDescent="0.25">
      <c r="A50" s="2"/>
      <c r="B50" s="2" t="s">
        <v>2007</v>
      </c>
      <c r="C50" s="2" t="s">
        <v>20</v>
      </c>
      <c r="D50" s="2" t="str">
        <f>VLOOKUP($C50,Sheet1!$A$2:$D$10,2,0)</f>
        <v>141150-91211</v>
      </c>
      <c r="E50" s="8" t="s">
        <v>78</v>
      </c>
      <c r="F50" s="12">
        <v>46055</v>
      </c>
      <c r="G50" s="13">
        <v>0.52083333333333337</v>
      </c>
      <c r="H50" s="2" t="s">
        <v>71</v>
      </c>
      <c r="I50" s="2" t="s">
        <v>54</v>
      </c>
      <c r="J50" s="2">
        <v>48</v>
      </c>
      <c r="K50" s="14">
        <f>VLOOKUP($C50,Sheet1!$A$2:$D$10,4,0)</f>
        <v>2</v>
      </c>
      <c r="L50" s="14" t="str">
        <f>VLOOKUP($C50,Sheet1!$A$2:$E$10,5,0)</f>
        <v>Bin</v>
      </c>
      <c r="M50" s="14">
        <f t="shared" si="9"/>
        <v>24</v>
      </c>
      <c r="N50" s="2"/>
      <c r="O50" s="2"/>
      <c r="P50" s="2"/>
    </row>
    <row r="51" spans="1:16" x14ac:dyDescent="0.25">
      <c r="A51" s="2"/>
      <c r="B51" s="2" t="s">
        <v>2017</v>
      </c>
      <c r="C51" s="2" t="s">
        <v>23</v>
      </c>
      <c r="D51" s="2" t="str">
        <f>VLOOKUP($C51,Sheet1!$A$2:$D$10,2,0)</f>
        <v>141186-74360</v>
      </c>
      <c r="E51" s="8" t="s">
        <v>85</v>
      </c>
      <c r="F51" s="12">
        <v>46055</v>
      </c>
      <c r="G51" s="13">
        <v>0.52083333333333337</v>
      </c>
      <c r="H51" s="2" t="s">
        <v>71</v>
      </c>
      <c r="I51" s="2" t="s">
        <v>54</v>
      </c>
      <c r="J51" s="2">
        <v>120</v>
      </c>
      <c r="K51" s="14">
        <f>VLOOKUP($C51,Sheet1!$A$2:$D$10,4,0)</f>
        <v>40</v>
      </c>
      <c r="L51" s="14" t="str">
        <f>VLOOKUP($C51,Sheet1!$A$2:$E$10,5,0)</f>
        <v>Trolley</v>
      </c>
      <c r="M51" s="14"/>
      <c r="N51" s="2">
        <f>J51/K51</f>
        <v>3</v>
      </c>
      <c r="O51" s="2"/>
      <c r="P51" s="2"/>
    </row>
    <row r="52" spans="1:16" x14ac:dyDescent="0.25">
      <c r="A52" s="2"/>
      <c r="B52" s="2" t="s">
        <v>2028</v>
      </c>
      <c r="C52" s="2" t="s">
        <v>26</v>
      </c>
      <c r="D52" s="2" t="str">
        <f>VLOOKUP($C52,Sheet1!$A$2:$D$10,2,0)</f>
        <v>116040-92240</v>
      </c>
      <c r="E52" s="8" t="s">
        <v>90</v>
      </c>
      <c r="F52" s="12">
        <v>46055</v>
      </c>
      <c r="G52" s="13">
        <v>0.52083333333333337</v>
      </c>
      <c r="H52" s="2" t="s">
        <v>91</v>
      </c>
      <c r="I52" s="2" t="s">
        <v>54</v>
      </c>
      <c r="J52" s="2">
        <v>48</v>
      </c>
      <c r="K52" s="14">
        <f>VLOOKUP($C52,Sheet1!$A$2:$D$10,4,0)</f>
        <v>6</v>
      </c>
      <c r="L52" s="14" t="str">
        <f>VLOOKUP($C52,Sheet1!$A$2:$E$10,5,0)</f>
        <v>Bin</v>
      </c>
      <c r="M52" s="14">
        <f t="shared" ref="M52:M54" si="10">J52/K52</f>
        <v>8</v>
      </c>
      <c r="N52" s="2"/>
      <c r="O52" s="2"/>
      <c r="P52" s="2"/>
    </row>
    <row r="53" spans="1:16" x14ac:dyDescent="0.25">
      <c r="A53" s="2"/>
      <c r="B53" s="2" t="s">
        <v>2039</v>
      </c>
      <c r="C53" s="2" t="s">
        <v>32</v>
      </c>
      <c r="D53" s="2" t="str">
        <f>VLOOKUP($C53,Sheet1!$A$2:$D$10,2,0)</f>
        <v>114010-50820</v>
      </c>
      <c r="E53" s="8" t="s">
        <v>98</v>
      </c>
      <c r="F53" s="12">
        <v>46055</v>
      </c>
      <c r="G53" s="13">
        <v>0.52083333333333337</v>
      </c>
      <c r="H53" s="2" t="s">
        <v>91</v>
      </c>
      <c r="I53" s="2" t="s">
        <v>54</v>
      </c>
      <c r="J53" s="2">
        <v>17</v>
      </c>
      <c r="K53" s="14">
        <f>VLOOKUP($C53,Sheet1!$A$2:$D$10,4,0)</f>
        <v>1</v>
      </c>
      <c r="L53" s="14" t="str">
        <f>VLOOKUP($C53,Sheet1!$A$2:$E$10,5,0)</f>
        <v>Bin</v>
      </c>
      <c r="M53" s="14">
        <f t="shared" si="10"/>
        <v>17</v>
      </c>
      <c r="N53" s="2"/>
      <c r="O53" s="2"/>
      <c r="P53" s="2"/>
    </row>
    <row r="54" spans="1:16" x14ac:dyDescent="0.25">
      <c r="A54" s="2"/>
      <c r="B54" s="2" t="s">
        <v>2049</v>
      </c>
      <c r="C54" s="2" t="s">
        <v>29</v>
      </c>
      <c r="D54" s="2" t="str">
        <f>VLOOKUP($C54,Sheet1!$A$2:$D$10,2,0)</f>
        <v>114010-50830</v>
      </c>
      <c r="E54" s="8" t="s">
        <v>98</v>
      </c>
      <c r="F54" s="12">
        <v>46055</v>
      </c>
      <c r="G54" s="13">
        <v>0.52083333333333337</v>
      </c>
      <c r="H54" s="2" t="s">
        <v>91</v>
      </c>
      <c r="I54" s="2" t="s">
        <v>54</v>
      </c>
      <c r="J54" s="2">
        <v>31</v>
      </c>
      <c r="K54" s="14">
        <f>VLOOKUP($C54,Sheet1!$A$2:$D$10,4,0)</f>
        <v>1</v>
      </c>
      <c r="L54" s="14" t="str">
        <f>VLOOKUP($C54,Sheet1!$A$2:$E$10,5,0)</f>
        <v>Bin</v>
      </c>
      <c r="M54" s="14">
        <f t="shared" si="10"/>
        <v>31</v>
      </c>
      <c r="N54" s="2"/>
      <c r="O54" s="2"/>
      <c r="P54" s="2"/>
    </row>
    <row r="55" spans="1:16" s="11" customForma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>
        <v>104</v>
      </c>
      <c r="N55" s="10">
        <v>7</v>
      </c>
      <c r="O55" s="10"/>
      <c r="P55" s="10"/>
    </row>
    <row r="56" spans="1:16" x14ac:dyDescent="0.25">
      <c r="A56" s="2"/>
      <c r="B56" s="2" t="s">
        <v>1968</v>
      </c>
      <c r="C56" s="2" t="s">
        <v>5</v>
      </c>
      <c r="D56" s="2" t="str">
        <f>VLOOKUP($C56,Sheet1!$A$2:$D$10,2,0)</f>
        <v>141110-14600</v>
      </c>
      <c r="E56" s="8" t="s">
        <v>52</v>
      </c>
      <c r="F56" s="12">
        <v>46055</v>
      </c>
      <c r="G56" s="13">
        <v>0.64583333333333337</v>
      </c>
      <c r="H56" s="2" t="s">
        <v>53</v>
      </c>
      <c r="I56" s="2" t="s">
        <v>54</v>
      </c>
      <c r="J56" s="2">
        <v>54</v>
      </c>
      <c r="K56" s="14">
        <f>VLOOKUP($C56,Sheet1!$A$2:$D$10,4,0)</f>
        <v>18</v>
      </c>
      <c r="L56" s="14" t="str">
        <f>VLOOKUP($C56,Sheet1!$A$2:$E$10,5,0)</f>
        <v>Trolley (H)</v>
      </c>
      <c r="M56" s="14"/>
      <c r="N56" s="52">
        <v>3</v>
      </c>
      <c r="O56" s="2"/>
      <c r="P56" s="2"/>
    </row>
    <row r="57" spans="1:16" x14ac:dyDescent="0.25">
      <c r="A57" s="2"/>
      <c r="B57" s="2" t="s">
        <v>1977</v>
      </c>
      <c r="C57" s="2" t="s">
        <v>9</v>
      </c>
      <c r="D57" s="2" t="str">
        <f>VLOOKUP($C57,Sheet1!$A$2:$D$10,2,0)</f>
        <v>141120-14600</v>
      </c>
      <c r="E57" s="8" t="s">
        <v>60</v>
      </c>
      <c r="F57" s="12">
        <v>46055</v>
      </c>
      <c r="G57" s="13">
        <v>0.64583333333333337</v>
      </c>
      <c r="H57" s="2" t="s">
        <v>53</v>
      </c>
      <c r="I57" s="2" t="s">
        <v>54</v>
      </c>
      <c r="J57" s="2">
        <v>54</v>
      </c>
      <c r="K57" s="14">
        <f>VLOOKUP($C57,Sheet1!$A$2:$D$10,4,0)</f>
        <v>18</v>
      </c>
      <c r="L57" s="14" t="str">
        <f>VLOOKUP($C57,Sheet1!$A$2:$E$10,5,0)</f>
        <v>Trolley (H)</v>
      </c>
      <c r="M57" s="14"/>
      <c r="N57" s="53"/>
      <c r="O57" s="2"/>
      <c r="P57" s="2"/>
    </row>
    <row r="58" spans="1:16" x14ac:dyDescent="0.25">
      <c r="A58" s="2"/>
      <c r="B58" s="2" t="s">
        <v>1986</v>
      </c>
      <c r="C58" s="2" t="s">
        <v>12</v>
      </c>
      <c r="D58" s="2" t="str">
        <f>VLOOKUP($C58,Sheet1!$A$2:$D$10,2,0)</f>
        <v>141185-74670</v>
      </c>
      <c r="E58" s="8" t="s">
        <v>66</v>
      </c>
      <c r="F58" s="12">
        <v>46055</v>
      </c>
      <c r="G58" s="13">
        <v>0.64583333333333337</v>
      </c>
      <c r="H58" s="2" t="s">
        <v>53</v>
      </c>
      <c r="I58" s="2" t="s">
        <v>54</v>
      </c>
      <c r="J58" s="2">
        <v>120</v>
      </c>
      <c r="K58" s="14">
        <f>VLOOKUP($C58,Sheet1!$A$2:$D$10,4,0)</f>
        <v>40</v>
      </c>
      <c r="L58" s="14" t="str">
        <f>VLOOKUP($C58,Sheet1!$A$2:$E$10,5,0)</f>
        <v>Trolley</v>
      </c>
      <c r="M58" s="14"/>
      <c r="N58" s="2">
        <f>J58/K58</f>
        <v>3</v>
      </c>
      <c r="O58" s="2"/>
      <c r="P58" s="2"/>
    </row>
    <row r="59" spans="1:16" x14ac:dyDescent="0.25">
      <c r="A59" s="2"/>
      <c r="B59" s="2" t="s">
        <v>1997</v>
      </c>
      <c r="C59" s="2" t="s">
        <v>16</v>
      </c>
      <c r="D59" s="2" t="str">
        <f>VLOOKUP($C59,Sheet1!$A$2:$D$10,2,0)</f>
        <v>141140-91211</v>
      </c>
      <c r="E59" s="8" t="s">
        <v>70</v>
      </c>
      <c r="F59" s="12">
        <v>46055</v>
      </c>
      <c r="G59" s="13">
        <v>0.64583333333333337</v>
      </c>
      <c r="H59" s="2" t="s">
        <v>71</v>
      </c>
      <c r="I59" s="2" t="s">
        <v>54</v>
      </c>
      <c r="J59" s="2">
        <v>48</v>
      </c>
      <c r="K59" s="14">
        <f>VLOOKUP($C59,Sheet1!$A$2:$D$10,4,0)</f>
        <v>2</v>
      </c>
      <c r="L59" s="14" t="str">
        <f>VLOOKUP($C59,Sheet1!$A$2:$E$10,5,0)</f>
        <v>Bin</v>
      </c>
      <c r="M59" s="14">
        <f t="shared" ref="M59:M60" si="11">J59/K59</f>
        <v>24</v>
      </c>
      <c r="N59" s="2"/>
      <c r="O59" s="2"/>
      <c r="P59" s="2"/>
    </row>
    <row r="60" spans="1:16" x14ac:dyDescent="0.25">
      <c r="A60" s="2"/>
      <c r="B60" s="2" t="s">
        <v>2008</v>
      </c>
      <c r="C60" s="2" t="s">
        <v>20</v>
      </c>
      <c r="D60" s="2" t="str">
        <f>VLOOKUP($C60,Sheet1!$A$2:$D$10,2,0)</f>
        <v>141150-91211</v>
      </c>
      <c r="E60" s="8" t="s">
        <v>78</v>
      </c>
      <c r="F60" s="12">
        <v>46055</v>
      </c>
      <c r="G60" s="13">
        <v>0.64583333333333337</v>
      </c>
      <c r="H60" s="2" t="s">
        <v>71</v>
      </c>
      <c r="I60" s="2" t="s">
        <v>54</v>
      </c>
      <c r="J60" s="2">
        <v>48</v>
      </c>
      <c r="K60" s="14">
        <f>VLOOKUP($C60,Sheet1!$A$2:$D$10,4,0)</f>
        <v>2</v>
      </c>
      <c r="L60" s="14" t="str">
        <f>VLOOKUP($C60,Sheet1!$A$2:$E$10,5,0)</f>
        <v>Bin</v>
      </c>
      <c r="M60" s="14">
        <f t="shared" si="11"/>
        <v>24</v>
      </c>
      <c r="N60" s="2"/>
      <c r="O60" s="2"/>
      <c r="P60" s="2"/>
    </row>
    <row r="61" spans="1:16" x14ac:dyDescent="0.25">
      <c r="A61" s="2"/>
      <c r="B61" s="2" t="s">
        <v>2018</v>
      </c>
      <c r="C61" s="2" t="s">
        <v>23</v>
      </c>
      <c r="D61" s="2" t="str">
        <f>VLOOKUP($C61,Sheet1!$A$2:$D$10,2,0)</f>
        <v>141186-74360</v>
      </c>
      <c r="E61" s="8" t="s">
        <v>85</v>
      </c>
      <c r="F61" s="12">
        <v>46055</v>
      </c>
      <c r="G61" s="13">
        <v>0.64583333333333337</v>
      </c>
      <c r="H61" s="2" t="s">
        <v>71</v>
      </c>
      <c r="I61" s="2" t="s">
        <v>54</v>
      </c>
      <c r="J61" s="2">
        <v>80</v>
      </c>
      <c r="K61" s="14">
        <f>VLOOKUP($C61,Sheet1!$A$2:$D$10,4,0)</f>
        <v>40</v>
      </c>
      <c r="L61" s="14" t="str">
        <f>VLOOKUP($C61,Sheet1!$A$2:$E$10,5,0)</f>
        <v>Trolley</v>
      </c>
      <c r="M61" s="14"/>
      <c r="N61" s="2">
        <f>J61/K61</f>
        <v>2</v>
      </c>
      <c r="O61" s="2"/>
      <c r="P61" s="2"/>
    </row>
    <row r="62" spans="1:16" x14ac:dyDescent="0.25">
      <c r="A62" s="2"/>
      <c r="B62" s="2" t="s">
        <v>2029</v>
      </c>
      <c r="C62" s="2" t="s">
        <v>26</v>
      </c>
      <c r="D62" s="2" t="str">
        <f>VLOOKUP($C62,Sheet1!$A$2:$D$10,2,0)</f>
        <v>116040-92240</v>
      </c>
      <c r="E62" s="8" t="s">
        <v>90</v>
      </c>
      <c r="F62" s="12">
        <v>46055</v>
      </c>
      <c r="G62" s="13">
        <v>0.64583333333333337</v>
      </c>
      <c r="H62" s="2" t="s">
        <v>91</v>
      </c>
      <c r="I62" s="2" t="s">
        <v>54</v>
      </c>
      <c r="J62" s="2">
        <v>48</v>
      </c>
      <c r="K62" s="14">
        <f>VLOOKUP($C62,Sheet1!$A$2:$D$10,4,0)</f>
        <v>6</v>
      </c>
      <c r="L62" s="14" t="str">
        <f>VLOOKUP($C62,Sheet1!$A$2:$E$10,5,0)</f>
        <v>Bin</v>
      </c>
      <c r="M62" s="14">
        <f t="shared" ref="M62:M64" si="12">J62/K62</f>
        <v>8</v>
      </c>
      <c r="N62" s="2"/>
      <c r="O62" s="2"/>
      <c r="P62" s="2"/>
    </row>
    <row r="63" spans="1:16" x14ac:dyDescent="0.25">
      <c r="A63" s="2"/>
      <c r="B63" s="2" t="s">
        <v>2040</v>
      </c>
      <c r="C63" s="2" t="s">
        <v>32</v>
      </c>
      <c r="D63" s="2" t="str">
        <f>VLOOKUP($C63,Sheet1!$A$2:$D$10,2,0)</f>
        <v>114010-50820</v>
      </c>
      <c r="E63" s="8" t="s">
        <v>98</v>
      </c>
      <c r="F63" s="12">
        <v>46055</v>
      </c>
      <c r="G63" s="13">
        <v>0.64583333333333337</v>
      </c>
      <c r="H63" s="2" t="s">
        <v>91</v>
      </c>
      <c r="I63" s="2" t="s">
        <v>54</v>
      </c>
      <c r="J63" s="2">
        <v>25</v>
      </c>
      <c r="K63" s="14">
        <f>VLOOKUP($C63,Sheet1!$A$2:$D$10,4,0)</f>
        <v>1</v>
      </c>
      <c r="L63" s="14" t="str">
        <f>VLOOKUP($C63,Sheet1!$A$2:$E$10,5,0)</f>
        <v>Bin</v>
      </c>
      <c r="M63" s="14">
        <f t="shared" si="12"/>
        <v>25</v>
      </c>
      <c r="N63" s="2"/>
      <c r="O63" s="2"/>
      <c r="P63" s="2"/>
    </row>
    <row r="64" spans="1:16" x14ac:dyDescent="0.25">
      <c r="A64" s="2"/>
      <c r="B64" s="2" t="s">
        <v>2050</v>
      </c>
      <c r="C64" s="2" t="s">
        <v>29</v>
      </c>
      <c r="D64" s="2" t="str">
        <f>VLOOKUP($C64,Sheet1!$A$2:$D$10,2,0)</f>
        <v>114010-50830</v>
      </c>
      <c r="E64" s="8" t="s">
        <v>98</v>
      </c>
      <c r="F64" s="12">
        <v>46055</v>
      </c>
      <c r="G64" s="13">
        <v>0.64583333333333337</v>
      </c>
      <c r="H64" s="2" t="s">
        <v>91</v>
      </c>
      <c r="I64" s="2" t="s">
        <v>54</v>
      </c>
      <c r="J64" s="2">
        <v>23</v>
      </c>
      <c r="K64" s="14">
        <f>VLOOKUP($C64,Sheet1!$A$2:$D$10,4,0)</f>
        <v>1</v>
      </c>
      <c r="L64" s="14" t="str">
        <f>VLOOKUP($C64,Sheet1!$A$2:$E$10,5,0)</f>
        <v>Bin</v>
      </c>
      <c r="M64" s="14">
        <f t="shared" si="12"/>
        <v>23</v>
      </c>
      <c r="N64" s="2"/>
      <c r="O64" s="2"/>
      <c r="P64" s="2"/>
    </row>
    <row r="65" spans="1:16" s="11" customForma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>
        <v>104</v>
      </c>
      <c r="N65" s="10">
        <v>8</v>
      </c>
      <c r="O65" s="10"/>
      <c r="P65" s="10"/>
    </row>
    <row r="66" spans="1:16" x14ac:dyDescent="0.25">
      <c r="A66" s="2"/>
      <c r="B66" s="2" t="s">
        <v>1969</v>
      </c>
      <c r="C66" s="2" t="s">
        <v>5</v>
      </c>
      <c r="D66" s="2" t="str">
        <f>VLOOKUP($C66,Sheet1!$A$2:$D$10,2,0)</f>
        <v>141110-14600</v>
      </c>
      <c r="E66" s="8" t="s">
        <v>52</v>
      </c>
      <c r="F66" s="12">
        <v>46055</v>
      </c>
      <c r="G66" s="13">
        <v>0.77083333333333337</v>
      </c>
      <c r="H66" s="2" t="s">
        <v>53</v>
      </c>
      <c r="I66" s="2" t="s">
        <v>54</v>
      </c>
      <c r="J66" s="2">
        <v>54</v>
      </c>
      <c r="K66" s="14">
        <f>VLOOKUP($C66,Sheet1!$A$2:$D$10,4,0)</f>
        <v>18</v>
      </c>
      <c r="L66" s="14" t="str">
        <f>VLOOKUP($C66,Sheet1!$A$2:$E$10,5,0)</f>
        <v>Trolley (H)</v>
      </c>
      <c r="M66" s="14"/>
      <c r="N66" s="52">
        <v>3</v>
      </c>
      <c r="O66" s="2"/>
      <c r="P66" s="2"/>
    </row>
    <row r="67" spans="1:16" x14ac:dyDescent="0.25">
      <c r="A67" s="2"/>
      <c r="B67" s="2" t="s">
        <v>1978</v>
      </c>
      <c r="C67" s="2" t="s">
        <v>9</v>
      </c>
      <c r="D67" s="2" t="str">
        <f>VLOOKUP($C67,Sheet1!$A$2:$D$10,2,0)</f>
        <v>141120-14600</v>
      </c>
      <c r="E67" s="8" t="s">
        <v>60</v>
      </c>
      <c r="F67" s="12">
        <v>46055</v>
      </c>
      <c r="G67" s="13">
        <v>0.77083333333333337</v>
      </c>
      <c r="H67" s="2" t="s">
        <v>53</v>
      </c>
      <c r="I67" s="2" t="s">
        <v>54</v>
      </c>
      <c r="J67" s="2">
        <v>54</v>
      </c>
      <c r="K67" s="14">
        <f>VLOOKUP($C67,Sheet1!$A$2:$D$10,4,0)</f>
        <v>18</v>
      </c>
      <c r="L67" s="14" t="str">
        <f>VLOOKUP($C67,Sheet1!$A$2:$E$10,5,0)</f>
        <v>Trolley (H)</v>
      </c>
      <c r="M67" s="14"/>
      <c r="N67" s="53"/>
      <c r="O67" s="2"/>
      <c r="P67" s="2"/>
    </row>
    <row r="68" spans="1:16" x14ac:dyDescent="0.25">
      <c r="A68" s="2"/>
      <c r="B68" s="2" t="s">
        <v>1987</v>
      </c>
      <c r="C68" s="2" t="s">
        <v>12</v>
      </c>
      <c r="D68" s="2" t="str">
        <f>VLOOKUP($C68,Sheet1!$A$2:$D$10,2,0)</f>
        <v>141185-74670</v>
      </c>
      <c r="E68" s="8" t="s">
        <v>66</v>
      </c>
      <c r="F68" s="12">
        <v>46055</v>
      </c>
      <c r="G68" s="13">
        <v>0.77083333333333337</v>
      </c>
      <c r="H68" s="2" t="s">
        <v>53</v>
      </c>
      <c r="I68" s="2" t="s">
        <v>54</v>
      </c>
      <c r="J68" s="2">
        <v>80</v>
      </c>
      <c r="K68" s="14">
        <f>VLOOKUP($C68,Sheet1!$A$2:$D$10,4,0)</f>
        <v>40</v>
      </c>
      <c r="L68" s="14" t="str">
        <f>VLOOKUP($C68,Sheet1!$A$2:$E$10,5,0)</f>
        <v>Trolley</v>
      </c>
      <c r="M68" s="14"/>
      <c r="N68" s="2">
        <f>J68/K68</f>
        <v>2</v>
      </c>
      <c r="O68" s="2"/>
      <c r="P68" s="2"/>
    </row>
    <row r="69" spans="1:16" x14ac:dyDescent="0.25">
      <c r="A69" s="2"/>
      <c r="B69" s="2" t="s">
        <v>1998</v>
      </c>
      <c r="C69" s="2" t="s">
        <v>16</v>
      </c>
      <c r="D69" s="2" t="str">
        <f>VLOOKUP($C69,Sheet1!$A$2:$D$10,2,0)</f>
        <v>141140-91211</v>
      </c>
      <c r="E69" s="8" t="s">
        <v>70</v>
      </c>
      <c r="F69" s="12">
        <v>46055</v>
      </c>
      <c r="G69" s="13">
        <v>0.77083333333333337</v>
      </c>
      <c r="H69" s="2" t="s">
        <v>71</v>
      </c>
      <c r="I69" s="2" t="s">
        <v>54</v>
      </c>
      <c r="J69" s="2">
        <v>48</v>
      </c>
      <c r="K69" s="14">
        <f>VLOOKUP($C69,Sheet1!$A$2:$D$10,4,0)</f>
        <v>2</v>
      </c>
      <c r="L69" s="14" t="str">
        <f>VLOOKUP($C69,Sheet1!$A$2:$E$10,5,0)</f>
        <v>Bin</v>
      </c>
      <c r="M69" s="14">
        <f t="shared" ref="M69:M70" si="13">J69/K69</f>
        <v>24</v>
      </c>
      <c r="N69" s="2"/>
      <c r="O69" s="2"/>
      <c r="P69" s="2"/>
    </row>
    <row r="70" spans="1:16" x14ac:dyDescent="0.25">
      <c r="A70" s="2"/>
      <c r="B70" s="2" t="s">
        <v>2009</v>
      </c>
      <c r="C70" s="2" t="s">
        <v>20</v>
      </c>
      <c r="D70" s="2" t="str">
        <f>VLOOKUP($C70,Sheet1!$A$2:$D$10,2,0)</f>
        <v>141150-91211</v>
      </c>
      <c r="E70" s="8" t="s">
        <v>78</v>
      </c>
      <c r="F70" s="12">
        <v>46055</v>
      </c>
      <c r="G70" s="13">
        <v>0.77083333333333337</v>
      </c>
      <c r="H70" s="2" t="s">
        <v>71</v>
      </c>
      <c r="I70" s="2" t="s">
        <v>54</v>
      </c>
      <c r="J70" s="2">
        <v>48</v>
      </c>
      <c r="K70" s="14">
        <f>VLOOKUP($C70,Sheet1!$A$2:$D$10,4,0)</f>
        <v>2</v>
      </c>
      <c r="L70" s="14" t="str">
        <f>VLOOKUP($C70,Sheet1!$A$2:$E$10,5,0)</f>
        <v>Bin</v>
      </c>
      <c r="M70" s="14">
        <f t="shared" si="13"/>
        <v>24</v>
      </c>
      <c r="N70" s="2"/>
      <c r="O70" s="2"/>
      <c r="P70" s="2"/>
    </row>
    <row r="71" spans="1:16" x14ac:dyDescent="0.25">
      <c r="A71" s="2"/>
      <c r="B71" s="2" t="s">
        <v>2019</v>
      </c>
      <c r="C71" s="2" t="s">
        <v>23</v>
      </c>
      <c r="D71" s="2" t="str">
        <f>VLOOKUP($C71,Sheet1!$A$2:$D$10,2,0)</f>
        <v>141186-74360</v>
      </c>
      <c r="E71" s="8" t="s">
        <v>85</v>
      </c>
      <c r="F71" s="12">
        <v>46055</v>
      </c>
      <c r="G71" s="13">
        <v>0.77083333333333337</v>
      </c>
      <c r="H71" s="2" t="s">
        <v>71</v>
      </c>
      <c r="I71" s="2" t="s">
        <v>54</v>
      </c>
      <c r="J71" s="2">
        <v>80</v>
      </c>
      <c r="K71" s="14">
        <f>VLOOKUP($C71,Sheet1!$A$2:$D$10,4,0)</f>
        <v>40</v>
      </c>
      <c r="L71" s="14" t="str">
        <f>VLOOKUP($C71,Sheet1!$A$2:$E$10,5,0)</f>
        <v>Trolley</v>
      </c>
      <c r="M71" s="14"/>
      <c r="N71" s="2">
        <f>J71/K71</f>
        <v>2</v>
      </c>
      <c r="O71" s="2"/>
      <c r="P71" s="2"/>
    </row>
    <row r="72" spans="1:16" x14ac:dyDescent="0.25">
      <c r="A72" s="2"/>
      <c r="B72" s="2" t="s">
        <v>2030</v>
      </c>
      <c r="C72" s="2" t="s">
        <v>26</v>
      </c>
      <c r="D72" s="2" t="str">
        <f>VLOOKUP($C72,Sheet1!$A$2:$D$10,2,0)</f>
        <v>116040-92240</v>
      </c>
      <c r="E72" s="8" t="s">
        <v>90</v>
      </c>
      <c r="F72" s="12">
        <v>46055</v>
      </c>
      <c r="G72" s="13">
        <v>0.77083333333333337</v>
      </c>
      <c r="H72" s="2" t="s">
        <v>91</v>
      </c>
      <c r="I72" s="2" t="s">
        <v>54</v>
      </c>
      <c r="J72" s="2">
        <v>48</v>
      </c>
      <c r="K72" s="14">
        <f>VLOOKUP($C72,Sheet1!$A$2:$D$10,4,0)</f>
        <v>6</v>
      </c>
      <c r="L72" s="14" t="str">
        <f>VLOOKUP($C72,Sheet1!$A$2:$E$10,5,0)</f>
        <v>Bin</v>
      </c>
      <c r="M72" s="14">
        <f t="shared" ref="M72:M74" si="14">J72/K72</f>
        <v>8</v>
      </c>
      <c r="N72" s="2"/>
      <c r="O72" s="2"/>
      <c r="P72" s="2"/>
    </row>
    <row r="73" spans="1:16" x14ac:dyDescent="0.25">
      <c r="A73" s="2"/>
      <c r="B73" s="2" t="s">
        <v>2041</v>
      </c>
      <c r="C73" s="2" t="s">
        <v>32</v>
      </c>
      <c r="D73" s="2" t="str">
        <f>VLOOKUP($C73,Sheet1!$A$2:$D$10,2,0)</f>
        <v>114010-50820</v>
      </c>
      <c r="E73" s="8" t="s">
        <v>98</v>
      </c>
      <c r="F73" s="12">
        <v>46055</v>
      </c>
      <c r="G73" s="13">
        <v>0.77083333333333337</v>
      </c>
      <c r="H73" s="2" t="s">
        <v>91</v>
      </c>
      <c r="I73" s="2" t="s">
        <v>54</v>
      </c>
      <c r="J73" s="2">
        <v>23</v>
      </c>
      <c r="K73" s="14">
        <f>VLOOKUP($C73,Sheet1!$A$2:$D$10,4,0)</f>
        <v>1</v>
      </c>
      <c r="L73" s="14" t="str">
        <f>VLOOKUP($C73,Sheet1!$A$2:$E$10,5,0)</f>
        <v>Bin</v>
      </c>
      <c r="M73" s="14">
        <f t="shared" si="14"/>
        <v>23</v>
      </c>
      <c r="N73" s="2"/>
      <c r="O73" s="2"/>
      <c r="P73" s="2"/>
    </row>
    <row r="74" spans="1:16" x14ac:dyDescent="0.25">
      <c r="A74" s="2"/>
      <c r="B74" s="2" t="s">
        <v>2051</v>
      </c>
      <c r="C74" s="2" t="s">
        <v>29</v>
      </c>
      <c r="D74" s="2" t="str">
        <f>VLOOKUP($C74,Sheet1!$A$2:$D$10,2,0)</f>
        <v>114010-50830</v>
      </c>
      <c r="E74" s="8" t="s">
        <v>98</v>
      </c>
      <c r="F74" s="12">
        <v>46055</v>
      </c>
      <c r="G74" s="13">
        <v>0.77083333333333337</v>
      </c>
      <c r="H74" s="2" t="s">
        <v>91</v>
      </c>
      <c r="I74" s="2" t="s">
        <v>54</v>
      </c>
      <c r="J74" s="2">
        <v>25</v>
      </c>
      <c r="K74" s="14">
        <f>VLOOKUP($C74,Sheet1!$A$2:$D$10,4,0)</f>
        <v>1</v>
      </c>
      <c r="L74" s="14" t="str">
        <f>VLOOKUP($C74,Sheet1!$A$2:$E$10,5,0)</f>
        <v>Bin</v>
      </c>
      <c r="M74" s="14">
        <f t="shared" si="14"/>
        <v>25</v>
      </c>
      <c r="N74" s="2"/>
      <c r="O74" s="2"/>
      <c r="P74" s="2"/>
    </row>
    <row r="75" spans="1:16" s="11" customForma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>
        <v>104</v>
      </c>
      <c r="N75" s="10">
        <v>7</v>
      </c>
      <c r="O75" s="10"/>
      <c r="P75" s="10"/>
    </row>
    <row r="76" spans="1:16" x14ac:dyDescent="0.25">
      <c r="A76" s="2"/>
      <c r="B76" s="2" t="s">
        <v>1970</v>
      </c>
      <c r="C76" s="2" t="s">
        <v>5</v>
      </c>
      <c r="D76" s="2" t="str">
        <f>VLOOKUP($C76,Sheet1!$A$2:$D$10,2,0)</f>
        <v>141110-14600</v>
      </c>
      <c r="E76" s="8" t="s">
        <v>52</v>
      </c>
      <c r="F76" s="12">
        <v>46055</v>
      </c>
      <c r="G76" s="13">
        <v>0.89583333333333337</v>
      </c>
      <c r="H76" s="2" t="s">
        <v>53</v>
      </c>
      <c r="I76" s="2" t="s">
        <v>54</v>
      </c>
      <c r="J76" s="2">
        <v>18</v>
      </c>
      <c r="K76" s="14">
        <f>VLOOKUP($C76,Sheet1!$A$2:$D$10,4,0)</f>
        <v>18</v>
      </c>
      <c r="L76" s="14" t="str">
        <f>VLOOKUP($C76,Sheet1!$A$2:$E$10,5,0)</f>
        <v>Trolley (H)</v>
      </c>
      <c r="M76" s="14"/>
      <c r="N76" s="52">
        <v>1</v>
      </c>
      <c r="O76" s="2"/>
      <c r="P76" s="2"/>
    </row>
    <row r="77" spans="1:16" x14ac:dyDescent="0.25">
      <c r="A77" s="2"/>
      <c r="B77" s="2" t="s">
        <v>1979</v>
      </c>
      <c r="C77" s="2" t="s">
        <v>9</v>
      </c>
      <c r="D77" s="2" t="str">
        <f>VLOOKUP($C77,Sheet1!$A$2:$D$10,2,0)</f>
        <v>141120-14600</v>
      </c>
      <c r="E77" s="8" t="s">
        <v>60</v>
      </c>
      <c r="F77" s="12">
        <v>46055</v>
      </c>
      <c r="G77" s="13">
        <v>0.89583333333333337</v>
      </c>
      <c r="H77" s="2" t="s">
        <v>53</v>
      </c>
      <c r="I77" s="2" t="s">
        <v>54</v>
      </c>
      <c r="J77" s="2">
        <v>18</v>
      </c>
      <c r="K77" s="14">
        <f>VLOOKUP($C77,Sheet1!$A$2:$D$10,4,0)</f>
        <v>18</v>
      </c>
      <c r="L77" s="14" t="str">
        <f>VLOOKUP($C77,Sheet1!$A$2:$E$10,5,0)</f>
        <v>Trolley (H)</v>
      </c>
      <c r="M77" s="14"/>
      <c r="N77" s="53"/>
      <c r="O77" s="2"/>
      <c r="P77" s="2"/>
    </row>
    <row r="78" spans="1:16" x14ac:dyDescent="0.25">
      <c r="A78" s="2"/>
      <c r="B78" s="2" t="s">
        <v>1988</v>
      </c>
      <c r="C78" s="2" t="s">
        <v>12</v>
      </c>
      <c r="D78" s="2" t="str">
        <f>VLOOKUP($C78,Sheet1!$A$2:$D$10,2,0)</f>
        <v>141185-74670</v>
      </c>
      <c r="E78" s="8" t="s">
        <v>66</v>
      </c>
      <c r="F78" s="12">
        <v>46055</v>
      </c>
      <c r="G78" s="13">
        <v>0.89583333333333337</v>
      </c>
      <c r="H78" s="2" t="s">
        <v>53</v>
      </c>
      <c r="I78" s="2" t="s">
        <v>54</v>
      </c>
      <c r="J78" s="2">
        <v>80</v>
      </c>
      <c r="K78" s="14">
        <f>VLOOKUP($C78,Sheet1!$A$2:$D$10,4,0)</f>
        <v>40</v>
      </c>
      <c r="L78" s="14" t="str">
        <f>VLOOKUP($C78,Sheet1!$A$2:$E$10,5,0)</f>
        <v>Trolley</v>
      </c>
      <c r="M78" s="14"/>
      <c r="N78" s="2">
        <f>J78/K78</f>
        <v>2</v>
      </c>
      <c r="O78" s="2"/>
      <c r="P78" s="2"/>
    </row>
    <row r="79" spans="1:16" x14ac:dyDescent="0.25">
      <c r="A79" s="2"/>
      <c r="B79" s="2" t="s">
        <v>1999</v>
      </c>
      <c r="C79" s="2" t="s">
        <v>16</v>
      </c>
      <c r="D79" s="2" t="str">
        <f>VLOOKUP($C79,Sheet1!$A$2:$D$10,2,0)</f>
        <v>141140-91211</v>
      </c>
      <c r="E79" s="8" t="s">
        <v>70</v>
      </c>
      <c r="F79" s="12">
        <v>46055</v>
      </c>
      <c r="G79" s="13">
        <v>0.89583333333333337</v>
      </c>
      <c r="H79" s="2" t="s">
        <v>71</v>
      </c>
      <c r="I79" s="2" t="s">
        <v>54</v>
      </c>
      <c r="J79" s="2">
        <v>32</v>
      </c>
      <c r="K79" s="14">
        <f>VLOOKUP($C79,Sheet1!$A$2:$D$10,4,0)</f>
        <v>2</v>
      </c>
      <c r="L79" s="14" t="str">
        <f>VLOOKUP($C79,Sheet1!$A$2:$E$10,5,0)</f>
        <v>Bin</v>
      </c>
      <c r="M79" s="14">
        <f t="shared" ref="M79:M80" si="15">J79/K79</f>
        <v>16</v>
      </c>
      <c r="N79" s="2"/>
      <c r="O79" s="2"/>
      <c r="P79" s="2"/>
    </row>
    <row r="80" spans="1:16" x14ac:dyDescent="0.25">
      <c r="A80" s="2"/>
      <c r="B80" s="2" t="s">
        <v>2010</v>
      </c>
      <c r="C80" s="2" t="s">
        <v>20</v>
      </c>
      <c r="D80" s="2" t="str">
        <f>VLOOKUP($C80,Sheet1!$A$2:$D$10,2,0)</f>
        <v>141150-91211</v>
      </c>
      <c r="E80" s="8" t="s">
        <v>78</v>
      </c>
      <c r="F80" s="12">
        <v>46055</v>
      </c>
      <c r="G80" s="13">
        <v>0.89583333333333337</v>
      </c>
      <c r="H80" s="2" t="s">
        <v>71</v>
      </c>
      <c r="I80" s="2" t="s">
        <v>54</v>
      </c>
      <c r="J80" s="2">
        <v>32</v>
      </c>
      <c r="K80" s="14">
        <f>VLOOKUP($C80,Sheet1!$A$2:$D$10,4,0)</f>
        <v>2</v>
      </c>
      <c r="L80" s="14" t="str">
        <f>VLOOKUP($C80,Sheet1!$A$2:$E$10,5,0)</f>
        <v>Bin</v>
      </c>
      <c r="M80" s="14">
        <f t="shared" si="15"/>
        <v>16</v>
      </c>
      <c r="N80" s="2"/>
      <c r="O80" s="2"/>
      <c r="P80" s="2"/>
    </row>
    <row r="81" spans="1:16" x14ac:dyDescent="0.25">
      <c r="A81" s="2"/>
      <c r="B81" s="2" t="s">
        <v>2020</v>
      </c>
      <c r="C81" s="2" t="s">
        <v>23</v>
      </c>
      <c r="D81" s="2" t="str">
        <f>VLOOKUP($C81,Sheet1!$A$2:$D$10,2,0)</f>
        <v>141186-74360</v>
      </c>
      <c r="E81" s="8" t="s">
        <v>85</v>
      </c>
      <c r="F81" s="12">
        <v>46055</v>
      </c>
      <c r="G81" s="13">
        <v>0.89583333333333337</v>
      </c>
      <c r="H81" s="2" t="s">
        <v>71</v>
      </c>
      <c r="I81" s="2" t="s">
        <v>54</v>
      </c>
      <c r="J81" s="2">
        <v>80</v>
      </c>
      <c r="K81" s="14">
        <f>VLOOKUP($C81,Sheet1!$A$2:$D$10,4,0)</f>
        <v>40</v>
      </c>
      <c r="L81" s="14" t="str">
        <f>VLOOKUP($C81,Sheet1!$A$2:$E$10,5,0)</f>
        <v>Trolley</v>
      </c>
      <c r="M81" s="14"/>
      <c r="N81" s="2">
        <f>J81/K81</f>
        <v>2</v>
      </c>
      <c r="O81" s="2"/>
      <c r="P81" s="2"/>
    </row>
    <row r="82" spans="1:16" x14ac:dyDescent="0.25">
      <c r="A82" s="2"/>
      <c r="B82" s="2" t="s">
        <v>2031</v>
      </c>
      <c r="C82" s="2" t="s">
        <v>26</v>
      </c>
      <c r="D82" s="2" t="str">
        <f>VLOOKUP($C82,Sheet1!$A$2:$D$10,2,0)</f>
        <v>116040-92240</v>
      </c>
      <c r="E82" s="8" t="s">
        <v>90</v>
      </c>
      <c r="F82" s="12">
        <v>46055</v>
      </c>
      <c r="G82" s="13">
        <v>0.89583333333333337</v>
      </c>
      <c r="H82" s="2" t="s">
        <v>91</v>
      </c>
      <c r="I82" s="2" t="s">
        <v>54</v>
      </c>
      <c r="J82" s="2">
        <v>36</v>
      </c>
      <c r="K82" s="14">
        <f>VLOOKUP($C82,Sheet1!$A$2:$D$10,4,0)</f>
        <v>6</v>
      </c>
      <c r="L82" s="14" t="str">
        <f>VLOOKUP($C82,Sheet1!$A$2:$E$10,5,0)</f>
        <v>Bin</v>
      </c>
      <c r="M82" s="14">
        <f t="shared" ref="M82:M84" si="16">J82/K82</f>
        <v>6</v>
      </c>
      <c r="N82" s="2"/>
      <c r="O82" s="2"/>
      <c r="P82" s="2"/>
    </row>
    <row r="83" spans="1:16" x14ac:dyDescent="0.25">
      <c r="A83" s="2"/>
      <c r="B83" s="2" t="s">
        <v>2042</v>
      </c>
      <c r="C83" s="2" t="s">
        <v>32</v>
      </c>
      <c r="D83" s="2" t="str">
        <f>VLOOKUP($C83,Sheet1!$A$2:$D$10,2,0)</f>
        <v>114010-50820</v>
      </c>
      <c r="E83" s="8" t="s">
        <v>98</v>
      </c>
      <c r="F83" s="12">
        <v>46055</v>
      </c>
      <c r="G83" s="13">
        <v>0.89583333333333337</v>
      </c>
      <c r="H83" s="2" t="s">
        <v>91</v>
      </c>
      <c r="I83" s="2" t="s">
        <v>54</v>
      </c>
      <c r="J83" s="2">
        <v>21</v>
      </c>
      <c r="K83" s="14">
        <f>VLOOKUP($C83,Sheet1!$A$2:$D$10,4,0)</f>
        <v>1</v>
      </c>
      <c r="L83" s="14" t="str">
        <f>VLOOKUP($C83,Sheet1!$A$2:$E$10,5,0)</f>
        <v>Bin</v>
      </c>
      <c r="M83" s="14">
        <f t="shared" si="16"/>
        <v>21</v>
      </c>
      <c r="N83" s="2"/>
      <c r="O83" s="2"/>
      <c r="P83" s="2"/>
    </row>
    <row r="84" spans="1:16" x14ac:dyDescent="0.25">
      <c r="A84" s="2"/>
      <c r="B84" s="2" t="s">
        <v>2052</v>
      </c>
      <c r="C84" s="2" t="s">
        <v>29</v>
      </c>
      <c r="D84" s="2" t="str">
        <f>VLOOKUP($C84,Sheet1!$A$2:$D$10,2,0)</f>
        <v>114010-50830</v>
      </c>
      <c r="E84" s="8" t="s">
        <v>98</v>
      </c>
      <c r="F84" s="12">
        <v>46055</v>
      </c>
      <c r="G84" s="13">
        <v>0.89583333333333337</v>
      </c>
      <c r="H84" s="2" t="s">
        <v>91</v>
      </c>
      <c r="I84" s="2" t="s">
        <v>54</v>
      </c>
      <c r="J84" s="2">
        <v>11</v>
      </c>
      <c r="K84" s="14">
        <f>VLOOKUP($C84,Sheet1!$A$2:$D$10,4,0)</f>
        <v>1</v>
      </c>
      <c r="L84" s="14" t="str">
        <f>VLOOKUP($C84,Sheet1!$A$2:$E$10,5,0)</f>
        <v>Bin</v>
      </c>
      <c r="M84" s="14">
        <f t="shared" si="16"/>
        <v>11</v>
      </c>
      <c r="N84" s="2"/>
      <c r="O84" s="2"/>
      <c r="P84" s="2"/>
    </row>
    <row r="85" spans="1:16" s="11" customForma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>
        <v>70</v>
      </c>
      <c r="N85" s="10">
        <v>5</v>
      </c>
      <c r="O85" s="10"/>
      <c r="P85" s="10"/>
    </row>
    <row r="86" spans="1:16" x14ac:dyDescent="0.25">
      <c r="A86" s="2"/>
      <c r="B86" s="2" t="s">
        <v>1971</v>
      </c>
      <c r="C86" s="2" t="s">
        <v>5</v>
      </c>
      <c r="D86" s="2" t="str">
        <f>VLOOKUP($C86,Sheet1!$A$2:$D$10,2,0)</f>
        <v>141110-14600</v>
      </c>
      <c r="E86" s="8" t="s">
        <v>52</v>
      </c>
      <c r="F86" s="12">
        <v>46055</v>
      </c>
      <c r="G86" s="13">
        <v>0.97916666666666663</v>
      </c>
      <c r="H86" s="2" t="s">
        <v>53</v>
      </c>
      <c r="I86" s="2" t="s">
        <v>54</v>
      </c>
      <c r="J86" s="2">
        <v>54</v>
      </c>
      <c r="K86" s="14">
        <f>VLOOKUP($C86,Sheet1!$A$2:$D$10,4,0)</f>
        <v>18</v>
      </c>
      <c r="L86" s="14" t="str">
        <f>VLOOKUP($C86,Sheet1!$A$2:$E$10,5,0)</f>
        <v>Trolley (H)</v>
      </c>
      <c r="M86" s="14"/>
      <c r="N86" s="52">
        <v>3</v>
      </c>
      <c r="O86" s="2"/>
      <c r="P86" s="2"/>
    </row>
    <row r="87" spans="1:16" x14ac:dyDescent="0.25">
      <c r="A87" s="2"/>
      <c r="B87" s="2" t="s">
        <v>1980</v>
      </c>
      <c r="C87" s="2" t="s">
        <v>9</v>
      </c>
      <c r="D87" s="2" t="str">
        <f>VLOOKUP($C87,Sheet1!$A$2:$D$10,2,0)</f>
        <v>141120-14600</v>
      </c>
      <c r="E87" s="8" t="s">
        <v>60</v>
      </c>
      <c r="F87" s="12">
        <v>46055</v>
      </c>
      <c r="G87" s="13">
        <v>0.97916666666666663</v>
      </c>
      <c r="H87" s="2" t="s">
        <v>53</v>
      </c>
      <c r="I87" s="2" t="s">
        <v>54</v>
      </c>
      <c r="J87" s="2">
        <v>54</v>
      </c>
      <c r="K87" s="14">
        <f>VLOOKUP($C87,Sheet1!$A$2:$D$10,4,0)</f>
        <v>18</v>
      </c>
      <c r="L87" s="14" t="str">
        <f>VLOOKUP($C87,Sheet1!$A$2:$E$10,5,0)</f>
        <v>Trolley (H)</v>
      </c>
      <c r="M87" s="14"/>
      <c r="N87" s="53"/>
      <c r="O87" s="2"/>
      <c r="P87" s="2"/>
    </row>
    <row r="88" spans="1:16" x14ac:dyDescent="0.25">
      <c r="A88" s="2"/>
      <c r="B88" s="2" t="s">
        <v>1989</v>
      </c>
      <c r="C88" s="2" t="s">
        <v>12</v>
      </c>
      <c r="D88" s="2" t="str">
        <f>VLOOKUP($C88,Sheet1!$A$2:$D$10,2,0)</f>
        <v>141185-74670</v>
      </c>
      <c r="E88" s="8" t="s">
        <v>66</v>
      </c>
      <c r="F88" s="12">
        <v>46055</v>
      </c>
      <c r="G88" s="13">
        <v>0.97916666666666663</v>
      </c>
      <c r="H88" s="2" t="s">
        <v>53</v>
      </c>
      <c r="I88" s="2" t="s">
        <v>54</v>
      </c>
      <c r="J88" s="2">
        <v>80</v>
      </c>
      <c r="K88" s="14">
        <f>VLOOKUP($C88,Sheet1!$A$2:$D$10,4,0)</f>
        <v>40</v>
      </c>
      <c r="L88" s="14" t="str">
        <f>VLOOKUP($C88,Sheet1!$A$2:$E$10,5,0)</f>
        <v>Trolley</v>
      </c>
      <c r="M88" s="14"/>
      <c r="N88" s="2">
        <f>J88/K88</f>
        <v>2</v>
      </c>
      <c r="O88" s="2"/>
      <c r="P88" s="2"/>
    </row>
    <row r="89" spans="1:16" x14ac:dyDescent="0.25">
      <c r="A89" s="2"/>
      <c r="B89" s="2" t="s">
        <v>2000</v>
      </c>
      <c r="C89" s="2" t="s">
        <v>16</v>
      </c>
      <c r="D89" s="2" t="str">
        <f>VLOOKUP($C89,Sheet1!$A$2:$D$10,2,0)</f>
        <v>141140-91211</v>
      </c>
      <c r="E89" s="8" t="s">
        <v>70</v>
      </c>
      <c r="F89" s="12">
        <v>46055</v>
      </c>
      <c r="G89" s="13">
        <v>0.97916666666666663</v>
      </c>
      <c r="H89" s="2" t="s">
        <v>71</v>
      </c>
      <c r="I89" s="2" t="s">
        <v>54</v>
      </c>
      <c r="J89" s="2">
        <v>46</v>
      </c>
      <c r="K89" s="14">
        <f>VLOOKUP($C89,Sheet1!$A$2:$D$10,4,0)</f>
        <v>2</v>
      </c>
      <c r="L89" s="14" t="str">
        <f>VLOOKUP($C89,Sheet1!$A$2:$E$10,5,0)</f>
        <v>Bin</v>
      </c>
      <c r="M89" s="14">
        <f t="shared" ref="M89:M90" si="17">J89/K89</f>
        <v>23</v>
      </c>
      <c r="N89" s="2"/>
      <c r="O89" s="2"/>
      <c r="P89" s="2"/>
    </row>
    <row r="90" spans="1:16" x14ac:dyDescent="0.25">
      <c r="A90" s="2"/>
      <c r="B90" s="2" t="s">
        <v>2011</v>
      </c>
      <c r="C90" s="2" t="s">
        <v>20</v>
      </c>
      <c r="D90" s="2" t="str">
        <f>VLOOKUP($C90,Sheet1!$A$2:$D$10,2,0)</f>
        <v>141150-91211</v>
      </c>
      <c r="E90" s="8" t="s">
        <v>78</v>
      </c>
      <c r="F90" s="12">
        <v>46055</v>
      </c>
      <c r="G90" s="13">
        <v>0.97916666666666663</v>
      </c>
      <c r="H90" s="2" t="s">
        <v>71</v>
      </c>
      <c r="I90" s="2" t="s">
        <v>54</v>
      </c>
      <c r="J90" s="2">
        <v>46</v>
      </c>
      <c r="K90" s="14">
        <f>VLOOKUP($C90,Sheet1!$A$2:$D$10,4,0)</f>
        <v>2</v>
      </c>
      <c r="L90" s="14" t="str">
        <f>VLOOKUP($C90,Sheet1!$A$2:$E$10,5,0)</f>
        <v>Bin</v>
      </c>
      <c r="M90" s="14">
        <f t="shared" si="17"/>
        <v>23</v>
      </c>
      <c r="N90" s="2"/>
      <c r="O90" s="2"/>
      <c r="P90" s="2"/>
    </row>
    <row r="91" spans="1:16" x14ac:dyDescent="0.25">
      <c r="A91" s="2"/>
      <c r="B91" s="2" t="s">
        <v>2021</v>
      </c>
      <c r="C91" s="2" t="s">
        <v>23</v>
      </c>
      <c r="D91" s="2" t="str">
        <f>VLOOKUP($C91,Sheet1!$A$2:$D$10,2,0)</f>
        <v>141186-74360</v>
      </c>
      <c r="E91" s="8" t="s">
        <v>85</v>
      </c>
      <c r="F91" s="12">
        <v>46055</v>
      </c>
      <c r="G91" s="13">
        <v>0.97916666666666663</v>
      </c>
      <c r="H91" s="2" t="s">
        <v>71</v>
      </c>
      <c r="I91" s="2" t="s">
        <v>54</v>
      </c>
      <c r="J91" s="2">
        <v>80</v>
      </c>
      <c r="K91" s="14">
        <f>VLOOKUP($C91,Sheet1!$A$2:$D$10,4,0)</f>
        <v>40</v>
      </c>
      <c r="L91" s="14" t="str">
        <f>VLOOKUP($C91,Sheet1!$A$2:$E$10,5,0)</f>
        <v>Trolley</v>
      </c>
      <c r="M91" s="14"/>
      <c r="N91" s="2">
        <f>J91/K91</f>
        <v>2</v>
      </c>
      <c r="O91" s="2"/>
      <c r="P91" s="2"/>
    </row>
    <row r="92" spans="1:16" x14ac:dyDescent="0.25">
      <c r="A92" s="2"/>
      <c r="B92" s="2" t="s">
        <v>2032</v>
      </c>
      <c r="C92" s="2" t="s">
        <v>26</v>
      </c>
      <c r="D92" s="2" t="str">
        <f>VLOOKUP($C92,Sheet1!$A$2:$D$10,2,0)</f>
        <v>116040-92240</v>
      </c>
      <c r="E92" s="8" t="s">
        <v>90</v>
      </c>
      <c r="F92" s="12">
        <v>46055</v>
      </c>
      <c r="G92" s="13">
        <v>0.97916666666666663</v>
      </c>
      <c r="H92" s="2" t="s">
        <v>91</v>
      </c>
      <c r="I92" s="2" t="s">
        <v>54</v>
      </c>
      <c r="J92" s="2">
        <v>42</v>
      </c>
      <c r="K92" s="14">
        <f>VLOOKUP($C92,Sheet1!$A$2:$D$10,4,0)</f>
        <v>6</v>
      </c>
      <c r="L92" s="14" t="str">
        <f>VLOOKUP($C92,Sheet1!$A$2:$E$10,5,0)</f>
        <v>Bin</v>
      </c>
      <c r="M92" s="14">
        <f t="shared" ref="M92:M94" si="18">J92/K92</f>
        <v>7</v>
      </c>
      <c r="N92" s="2"/>
      <c r="O92" s="2"/>
      <c r="P92" s="2"/>
    </row>
    <row r="93" spans="1:16" x14ac:dyDescent="0.25">
      <c r="A93" s="2"/>
      <c r="B93" s="2" t="s">
        <v>2043</v>
      </c>
      <c r="C93" s="2" t="s">
        <v>32</v>
      </c>
      <c r="D93" s="2" t="str">
        <f>VLOOKUP($C93,Sheet1!$A$2:$D$10,2,0)</f>
        <v>114010-50820</v>
      </c>
      <c r="E93" s="8" t="s">
        <v>98</v>
      </c>
      <c r="F93" s="12">
        <v>46055</v>
      </c>
      <c r="G93" s="13">
        <v>0.97916666666666663</v>
      </c>
      <c r="H93" s="2" t="s">
        <v>91</v>
      </c>
      <c r="I93" s="2" t="s">
        <v>54</v>
      </c>
      <c r="J93" s="2">
        <v>22</v>
      </c>
      <c r="K93" s="14">
        <f>VLOOKUP($C93,Sheet1!$A$2:$D$10,4,0)</f>
        <v>1</v>
      </c>
      <c r="L93" s="14" t="str">
        <f>VLOOKUP($C93,Sheet1!$A$2:$E$10,5,0)</f>
        <v>Bin</v>
      </c>
      <c r="M93" s="14">
        <f t="shared" si="18"/>
        <v>22</v>
      </c>
      <c r="N93" s="2"/>
      <c r="O93" s="2"/>
      <c r="P93" s="2"/>
    </row>
    <row r="94" spans="1:16" x14ac:dyDescent="0.25">
      <c r="A94" s="2"/>
      <c r="B94" s="2" t="s">
        <v>2053</v>
      </c>
      <c r="C94" s="2" t="s">
        <v>29</v>
      </c>
      <c r="D94" s="2" t="str">
        <f>VLOOKUP($C94,Sheet1!$A$2:$D$10,2,0)</f>
        <v>114010-50830</v>
      </c>
      <c r="E94" s="8" t="s">
        <v>98</v>
      </c>
      <c r="F94" s="12">
        <v>46055</v>
      </c>
      <c r="G94" s="13">
        <v>0.97916666666666663</v>
      </c>
      <c r="H94" s="2" t="s">
        <v>91</v>
      </c>
      <c r="I94" s="2" t="s">
        <v>54</v>
      </c>
      <c r="J94" s="2">
        <v>21</v>
      </c>
      <c r="K94" s="14">
        <f>VLOOKUP($C94,Sheet1!$A$2:$D$10,4,0)</f>
        <v>1</v>
      </c>
      <c r="L94" s="14" t="str">
        <f>VLOOKUP($C94,Sheet1!$A$2:$E$10,5,0)</f>
        <v>Bin</v>
      </c>
      <c r="M94" s="14">
        <f t="shared" si="18"/>
        <v>21</v>
      </c>
      <c r="N94" s="2"/>
      <c r="O94" s="2"/>
      <c r="P94" s="2"/>
    </row>
    <row r="95" spans="1:16" s="11" customForma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>
        <v>96</v>
      </c>
      <c r="N95" s="10">
        <v>7</v>
      </c>
      <c r="O95" s="10"/>
      <c r="P95" s="10"/>
    </row>
    <row r="96" spans="1:16" x14ac:dyDescent="0.25">
      <c r="A96" s="2"/>
      <c r="B96" s="2" t="s">
        <v>1972</v>
      </c>
      <c r="C96" s="2" t="s">
        <v>5</v>
      </c>
      <c r="D96" s="2" t="str">
        <f>VLOOKUP($C96,Sheet1!$A$2:$D$10,2,0)</f>
        <v>141110-14600</v>
      </c>
      <c r="E96" s="8" t="s">
        <v>52</v>
      </c>
      <c r="F96" s="12">
        <v>46056</v>
      </c>
      <c r="G96" s="13">
        <v>0.10416666666666667</v>
      </c>
      <c r="H96" s="2" t="s">
        <v>53</v>
      </c>
      <c r="I96" s="2" t="s">
        <v>54</v>
      </c>
      <c r="J96" s="2">
        <v>18</v>
      </c>
      <c r="K96" s="14">
        <f>VLOOKUP($C96,Sheet1!$A$2:$D$10,4,0)</f>
        <v>18</v>
      </c>
      <c r="L96" s="14" t="str">
        <f>VLOOKUP($C96,Sheet1!$A$2:$E$10,5,0)</f>
        <v>Trolley (H)</v>
      </c>
      <c r="M96" s="14"/>
      <c r="N96" s="52">
        <v>1</v>
      </c>
      <c r="O96" s="2"/>
      <c r="P96" s="2"/>
    </row>
    <row r="97" spans="1:16" x14ac:dyDescent="0.25">
      <c r="A97" s="2"/>
      <c r="B97" s="2" t="s">
        <v>1981</v>
      </c>
      <c r="C97" s="2" t="s">
        <v>9</v>
      </c>
      <c r="D97" s="2" t="str">
        <f>VLOOKUP($C97,Sheet1!$A$2:$D$10,2,0)</f>
        <v>141120-14600</v>
      </c>
      <c r="E97" s="8" t="s">
        <v>60</v>
      </c>
      <c r="F97" s="12">
        <v>46056</v>
      </c>
      <c r="G97" s="13">
        <v>0.10416666666666667</v>
      </c>
      <c r="H97" s="2" t="s">
        <v>53</v>
      </c>
      <c r="I97" s="2" t="s">
        <v>54</v>
      </c>
      <c r="J97" s="2">
        <v>18</v>
      </c>
      <c r="K97" s="14">
        <f>VLOOKUP($C97,Sheet1!$A$2:$D$10,4,0)</f>
        <v>18</v>
      </c>
      <c r="L97" s="14" t="str">
        <f>VLOOKUP($C97,Sheet1!$A$2:$E$10,5,0)</f>
        <v>Trolley (H)</v>
      </c>
      <c r="M97" s="14"/>
      <c r="N97" s="53"/>
      <c r="O97" s="2"/>
      <c r="P97" s="2"/>
    </row>
    <row r="98" spans="1:16" x14ac:dyDescent="0.25">
      <c r="A98" s="2"/>
      <c r="B98" s="2" t="s">
        <v>1990</v>
      </c>
      <c r="C98" s="2" t="s">
        <v>12</v>
      </c>
      <c r="D98" s="2" t="str">
        <f>VLOOKUP($C98,Sheet1!$A$2:$D$10,2,0)</f>
        <v>141185-74670</v>
      </c>
      <c r="E98" s="8" t="s">
        <v>66</v>
      </c>
      <c r="F98" s="12">
        <v>46056</v>
      </c>
      <c r="G98" s="13">
        <v>0.10416666666666667</v>
      </c>
      <c r="H98" s="2" t="s">
        <v>53</v>
      </c>
      <c r="I98" s="2" t="s">
        <v>54</v>
      </c>
      <c r="J98" s="2">
        <v>40</v>
      </c>
      <c r="K98" s="14">
        <f>VLOOKUP($C98,Sheet1!$A$2:$D$10,4,0)</f>
        <v>40</v>
      </c>
      <c r="L98" s="14" t="str">
        <f>VLOOKUP($C98,Sheet1!$A$2:$E$10,5,0)</f>
        <v>Trolley</v>
      </c>
      <c r="M98" s="14"/>
      <c r="N98" s="2">
        <f>J98/K98</f>
        <v>1</v>
      </c>
      <c r="O98" s="2"/>
      <c r="P98" s="2"/>
    </row>
    <row r="99" spans="1:16" x14ac:dyDescent="0.25">
      <c r="A99" s="2"/>
      <c r="B99" s="2" t="s">
        <v>2001</v>
      </c>
      <c r="C99" s="2" t="s">
        <v>16</v>
      </c>
      <c r="D99" s="2" t="str">
        <f>VLOOKUP($C99,Sheet1!$A$2:$D$10,2,0)</f>
        <v>141140-91211</v>
      </c>
      <c r="E99" s="8" t="s">
        <v>70</v>
      </c>
      <c r="F99" s="12">
        <v>46056</v>
      </c>
      <c r="G99" s="13">
        <v>0.10416666666666667</v>
      </c>
      <c r="H99" s="2" t="s">
        <v>71</v>
      </c>
      <c r="I99" s="2" t="s">
        <v>54</v>
      </c>
      <c r="J99" s="2">
        <v>10</v>
      </c>
      <c r="K99" s="14">
        <f>VLOOKUP($C99,Sheet1!$A$2:$D$10,4,0)</f>
        <v>2</v>
      </c>
      <c r="L99" s="14" t="str">
        <f>VLOOKUP($C99,Sheet1!$A$2:$E$10,5,0)</f>
        <v>Bin</v>
      </c>
      <c r="M99" s="14">
        <f t="shared" ref="M99:M100" si="19">J99/K99</f>
        <v>5</v>
      </c>
      <c r="N99" s="2"/>
      <c r="O99" s="2"/>
      <c r="P99" s="2"/>
    </row>
    <row r="100" spans="1:16" x14ac:dyDescent="0.25">
      <c r="A100" s="2"/>
      <c r="B100" s="2" t="s">
        <v>2012</v>
      </c>
      <c r="C100" s="2" t="s">
        <v>20</v>
      </c>
      <c r="D100" s="2" t="str">
        <f>VLOOKUP($C100,Sheet1!$A$2:$D$10,2,0)</f>
        <v>141150-91211</v>
      </c>
      <c r="E100" s="8" t="s">
        <v>78</v>
      </c>
      <c r="F100" s="12">
        <v>46056</v>
      </c>
      <c r="G100" s="13">
        <v>0.10416666666666667</v>
      </c>
      <c r="H100" s="2" t="s">
        <v>71</v>
      </c>
      <c r="I100" s="2" t="s">
        <v>54</v>
      </c>
      <c r="J100" s="2">
        <v>10</v>
      </c>
      <c r="K100" s="14">
        <f>VLOOKUP($C100,Sheet1!$A$2:$D$10,4,0)</f>
        <v>2</v>
      </c>
      <c r="L100" s="14" t="str">
        <f>VLOOKUP($C100,Sheet1!$A$2:$E$10,5,0)</f>
        <v>Bin</v>
      </c>
      <c r="M100" s="14">
        <f t="shared" si="19"/>
        <v>5</v>
      </c>
      <c r="N100" s="2"/>
      <c r="O100" s="2"/>
      <c r="P100" s="2"/>
    </row>
    <row r="101" spans="1:16" x14ac:dyDescent="0.25">
      <c r="A101" s="2"/>
      <c r="B101" s="2" t="s">
        <v>2022</v>
      </c>
      <c r="C101" s="2" t="s">
        <v>23</v>
      </c>
      <c r="D101" s="2" t="str">
        <f>VLOOKUP($C101,Sheet1!$A$2:$D$10,2,0)</f>
        <v>141186-74360</v>
      </c>
      <c r="E101" s="8" t="s">
        <v>85</v>
      </c>
      <c r="F101" s="12">
        <v>46056</v>
      </c>
      <c r="G101" s="13">
        <v>0.10416666666666667</v>
      </c>
      <c r="H101" s="2" t="s">
        <v>71</v>
      </c>
      <c r="I101" s="2" t="s">
        <v>54</v>
      </c>
      <c r="J101" s="2">
        <v>40</v>
      </c>
      <c r="K101" s="14">
        <f>VLOOKUP($C101,Sheet1!$A$2:$D$10,4,0)</f>
        <v>40</v>
      </c>
      <c r="L101" s="14" t="str">
        <f>VLOOKUP($C101,Sheet1!$A$2:$E$10,5,0)</f>
        <v>Trolley</v>
      </c>
      <c r="M101" s="14"/>
      <c r="N101" s="2">
        <f>J101/K101</f>
        <v>1</v>
      </c>
      <c r="O101" s="2"/>
      <c r="P101" s="2"/>
    </row>
    <row r="102" spans="1:16" x14ac:dyDescent="0.25">
      <c r="A102" s="2"/>
      <c r="B102" s="2" t="s">
        <v>2033</v>
      </c>
      <c r="C102" s="2" t="s">
        <v>26</v>
      </c>
      <c r="D102" s="2" t="str">
        <f>VLOOKUP($C102,Sheet1!$A$2:$D$10,2,0)</f>
        <v>116040-92240</v>
      </c>
      <c r="E102" s="8" t="s">
        <v>90</v>
      </c>
      <c r="F102" s="12">
        <v>46056</v>
      </c>
      <c r="G102" s="13">
        <v>0.10416666666666667</v>
      </c>
      <c r="H102" s="2" t="s">
        <v>91</v>
      </c>
      <c r="I102" s="2" t="s">
        <v>54</v>
      </c>
      <c r="J102" s="2">
        <v>12</v>
      </c>
      <c r="K102" s="14">
        <f>VLOOKUP($C102,Sheet1!$A$2:$D$10,4,0)</f>
        <v>6</v>
      </c>
      <c r="L102" s="14" t="str">
        <f>VLOOKUP($C102,Sheet1!$A$2:$E$10,5,0)</f>
        <v>Bin</v>
      </c>
      <c r="M102" s="14">
        <f t="shared" ref="M102:M104" si="20">J102/K102</f>
        <v>2</v>
      </c>
      <c r="N102" s="2"/>
      <c r="O102" s="2"/>
      <c r="P102" s="2"/>
    </row>
    <row r="103" spans="1:16" x14ac:dyDescent="0.25">
      <c r="A103" s="2"/>
      <c r="B103" s="2" t="s">
        <v>2044</v>
      </c>
      <c r="C103" s="2" t="s">
        <v>32</v>
      </c>
      <c r="D103" s="2" t="str">
        <f>VLOOKUP($C103,Sheet1!$A$2:$D$10,2,0)</f>
        <v>114010-50820</v>
      </c>
      <c r="E103" s="8" t="s">
        <v>98</v>
      </c>
      <c r="F103" s="12">
        <v>46056</v>
      </c>
      <c r="G103" s="13">
        <v>0.10416666666666667</v>
      </c>
      <c r="H103" s="2" t="s">
        <v>91</v>
      </c>
      <c r="I103" s="2" t="s">
        <v>54</v>
      </c>
      <c r="J103" s="2">
        <v>11</v>
      </c>
      <c r="K103" s="14">
        <f>VLOOKUP($C103,Sheet1!$A$2:$D$10,4,0)</f>
        <v>1</v>
      </c>
      <c r="L103" s="14" t="str">
        <f>VLOOKUP($C103,Sheet1!$A$2:$E$10,5,0)</f>
        <v>Bin</v>
      </c>
      <c r="M103" s="14">
        <f t="shared" si="20"/>
        <v>11</v>
      </c>
      <c r="N103" s="2"/>
      <c r="O103" s="2"/>
      <c r="P103" s="2"/>
    </row>
    <row r="104" spans="1:16" x14ac:dyDescent="0.25">
      <c r="A104" s="2"/>
      <c r="B104" s="2" t="s">
        <v>2054</v>
      </c>
      <c r="C104" s="2" t="s">
        <v>29</v>
      </c>
      <c r="D104" s="2" t="str">
        <f>VLOOKUP($C104,Sheet1!$A$2:$D$10,2,0)</f>
        <v>114010-50830</v>
      </c>
      <c r="E104" s="8" t="s">
        <v>98</v>
      </c>
      <c r="F104" s="12">
        <v>46056</v>
      </c>
      <c r="G104" s="13">
        <v>0.10416666666666667</v>
      </c>
      <c r="H104" s="2" t="s">
        <v>91</v>
      </c>
      <c r="I104" s="2" t="s">
        <v>54</v>
      </c>
      <c r="J104" s="2">
        <v>2</v>
      </c>
      <c r="K104" s="14">
        <f>VLOOKUP($C104,Sheet1!$A$2:$D$10,4,0)</f>
        <v>1</v>
      </c>
      <c r="L104" s="14" t="str">
        <f>VLOOKUP($C104,Sheet1!$A$2:$E$10,5,0)</f>
        <v>Bin</v>
      </c>
      <c r="M104" s="14">
        <f t="shared" si="20"/>
        <v>2</v>
      </c>
      <c r="N104" s="2"/>
      <c r="O104" s="2"/>
      <c r="P104" s="2"/>
    </row>
    <row r="105" spans="1:16" s="11" customForma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>
        <v>25</v>
      </c>
      <c r="N105" s="10">
        <v>3</v>
      </c>
      <c r="O105" s="10"/>
      <c r="P105" s="10"/>
    </row>
  </sheetData>
  <mergeCells count="12">
    <mergeCell ref="N36:N37"/>
    <mergeCell ref="N46:N47"/>
    <mergeCell ref="A1:F1"/>
    <mergeCell ref="J1:N1"/>
    <mergeCell ref="L2:N2"/>
    <mergeCell ref="N8:N9"/>
    <mergeCell ref="N26:N27"/>
    <mergeCell ref="N56:N57"/>
    <mergeCell ref="N66:N67"/>
    <mergeCell ref="N76:N77"/>
    <mergeCell ref="N86:N87"/>
    <mergeCell ref="N96:N97"/>
  </mergeCells>
  <conditionalFormatting sqref="B2">
    <cfRule type="duplicateValues" dxfId="4" priority="2"/>
    <cfRule type="duplicateValues" dxfId="3" priority="3"/>
  </conditionalFormatting>
  <conditionalFormatting sqref="B4:B17 B19:B34 B36:B44 B46:B54 B56:B64 B66:B74 B76:B84 B86:B94 B96:B104">
    <cfRule type="duplicateValues" dxfId="2" priority="1"/>
  </conditionalFormatting>
  <conditionalFormatting sqref="C2:D2"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05-01-2026</vt:lpstr>
      <vt:lpstr>06-01-2026</vt:lpstr>
      <vt:lpstr>06-01-26 RPDC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16-01-2026</vt:lpstr>
      <vt:lpstr>17-01-2026</vt:lpstr>
      <vt:lpstr>19-01-2026</vt:lpstr>
      <vt:lpstr>20-01-2026</vt:lpstr>
      <vt:lpstr>RPDC 20-01-2026</vt:lpstr>
      <vt:lpstr>21-01-2026</vt:lpstr>
      <vt:lpstr>22-01-2026</vt:lpstr>
      <vt:lpstr>23-01-2023</vt:lpstr>
      <vt:lpstr>24-01-2026</vt:lpstr>
      <vt:lpstr>25-01-2026</vt:lpstr>
      <vt:lpstr>27-01-2026</vt:lpstr>
      <vt:lpstr>EXPORT 27-01-2026</vt:lpstr>
      <vt:lpstr>28-01-2026</vt:lpstr>
      <vt:lpstr>29-01-2026</vt:lpstr>
      <vt:lpstr>30-01-2026</vt:lpstr>
      <vt:lpstr>31-01-2026</vt:lpstr>
      <vt:lpstr>02-02-2026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GJ1 Warehouse Ops</cp:lastModifiedBy>
  <cp:lastPrinted>2026-01-31T12:11:42Z</cp:lastPrinted>
  <dcterms:created xsi:type="dcterms:W3CDTF">2015-06-05T18:17:20Z</dcterms:created>
  <dcterms:modified xsi:type="dcterms:W3CDTF">2026-02-01T10:21:24Z</dcterms:modified>
</cp:coreProperties>
</file>