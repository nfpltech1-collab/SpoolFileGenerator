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nagarkot-my.sharepoint.com/personal/gj1warehouse_nagarkot_co_in/Documents/GJ01 Inventory Data 2025/3 - Nagare Schedule &amp; Picking Sheet/"/>
    </mc:Choice>
  </mc:AlternateContent>
  <xr:revisionPtr revIDLastSave="54" documentId="11_BC473DCEC8F6EB1D35A05DCD4740BC1D7C57F739" xr6:coauthVersionLast="47" xr6:coauthVersionMax="47" xr10:uidLastSave="{BA6A72E9-F8BB-4132-8246-CF49BB416F2D}"/>
  <bookViews>
    <workbookView xWindow="-120" yWindow="-120" windowWidth="29040" windowHeight="15720" firstSheet="22" activeTab="30" xr2:uid="{00000000-000D-0000-FFFF-FFFF00000000}"/>
  </bookViews>
  <sheets>
    <sheet name="Sheet1" sheetId="1" state="hidden" r:id="rId1"/>
    <sheet name="01-12-2025" sheetId="2" r:id="rId2"/>
    <sheet name="02-12-2025" sheetId="3" r:id="rId3"/>
    <sheet name="03-12-2025" sheetId="4" r:id="rId4"/>
    <sheet name="04-12-2025" sheetId="7" r:id="rId5"/>
    <sheet name="05-12-2025" sheetId="8" r:id="rId6"/>
    <sheet name="06-12-2025" sheetId="10" r:id="rId7"/>
    <sheet name="08-12-2025" sheetId="11" r:id="rId8"/>
    <sheet name="09-12-2025" sheetId="12" r:id="rId9"/>
    <sheet name="09-12-2025 RPDC" sheetId="13" r:id="rId10"/>
    <sheet name="10-12-2025" sheetId="15" r:id="rId11"/>
    <sheet name="11-12-2025" sheetId="17" r:id="rId12"/>
    <sheet name="11-12-2025 EXPORT" sheetId="19" r:id="rId13"/>
    <sheet name="12-12-2025" sheetId="20" r:id="rId14"/>
    <sheet name="13-12-2025" sheetId="21" r:id="rId15"/>
    <sheet name="15-12-2025" sheetId="22" r:id="rId16"/>
    <sheet name="15-12-2025 RPDC" sheetId="23" r:id="rId17"/>
    <sheet name="16-12-2025" sheetId="24" r:id="rId18"/>
    <sheet name="17-12-2025" sheetId="25" r:id="rId19"/>
    <sheet name="18-12-2025" sheetId="26" r:id="rId20"/>
    <sheet name="18-12-2025 RPDC" sheetId="27" r:id="rId21"/>
    <sheet name="19-12-2025" sheetId="30" r:id="rId22"/>
    <sheet name="20-12-2025 EXPORT" sheetId="31" r:id="rId23"/>
    <sheet name="20-12-2025" sheetId="32" r:id="rId24"/>
    <sheet name="22-12-2025" sheetId="33" r:id="rId25"/>
    <sheet name="23-12-2025" sheetId="34" r:id="rId26"/>
    <sheet name="24-12-2025" sheetId="36" r:id="rId27"/>
    <sheet name="25-12-2025" sheetId="37" r:id="rId28"/>
    <sheet name="26-12-2025 EXPORT" sheetId="39" r:id="rId29"/>
    <sheet name="26-12-2025" sheetId="38" r:id="rId30"/>
    <sheet name="27-12-2025" sheetId="40" r:id="rId31"/>
  </sheets>
  <definedNames>
    <definedName name="_xlnm._FilterDatabase" localSheetId="1" hidden="1">'01-12-2025'!$A$3:$P$49</definedName>
    <definedName name="_xlnm._FilterDatabase" localSheetId="2" hidden="1">'02-12-2025'!$A$3:$P$45</definedName>
    <definedName name="_xlnm._FilterDatabase" localSheetId="3" hidden="1">'03-12-2025'!$A$3:$P$36</definedName>
    <definedName name="_xlnm._FilterDatabase" localSheetId="4" hidden="1">'04-12-2025'!$A$3:$P$61</definedName>
    <definedName name="_xlnm._FilterDatabase" localSheetId="5" hidden="1">'05-12-2025'!$A$3:$Q$56</definedName>
    <definedName name="_xlnm._FilterDatabase" localSheetId="6" hidden="1">'06-12-2025'!$A$3:$P$52</definedName>
    <definedName name="_xlnm._FilterDatabase" localSheetId="7" hidden="1">'08-12-2025'!$A$3:$P$51</definedName>
    <definedName name="_xlnm._FilterDatabase" localSheetId="8" hidden="1">'09-12-2025'!$A$3:$P$46</definedName>
    <definedName name="_xlnm._FilterDatabase" localSheetId="10" hidden="1">'10-12-2025'!$A$3:$P$59</definedName>
    <definedName name="_xlnm._FilterDatabase" localSheetId="11" hidden="1">'11-12-2025'!$A$3:$P$59</definedName>
    <definedName name="_xlnm._FilterDatabase" localSheetId="12" hidden="1">'11-12-2025 EXPORT'!$A$1:$R$1</definedName>
    <definedName name="_xlnm._FilterDatabase" localSheetId="13" hidden="1">'12-12-2025'!$A$3:$P$51</definedName>
    <definedName name="_xlnm._FilterDatabase" localSheetId="14" hidden="1">'13-12-2025'!$A$3:$Q$3</definedName>
    <definedName name="_xlnm._FilterDatabase" localSheetId="15" hidden="1">'15-12-2025'!$A$3:$Q$63</definedName>
    <definedName name="_xlnm._FilterDatabase" localSheetId="16" hidden="1">'15-12-2025 RPDC'!$A$1:$R$1</definedName>
    <definedName name="_xlnm._FilterDatabase" localSheetId="17" hidden="1">'16-12-2025'!$A$3:$P$55</definedName>
    <definedName name="_xlnm._FilterDatabase" localSheetId="18" hidden="1">'17-12-2025'!$A$3:$P$51</definedName>
    <definedName name="_xlnm._FilterDatabase" localSheetId="19" hidden="1">'18-12-2025'!$A$3:$P$46</definedName>
    <definedName name="_xlnm._FilterDatabase" localSheetId="21" hidden="1">'19-12-2025'!$A$3:$P$57</definedName>
    <definedName name="_xlnm._FilterDatabase" localSheetId="23" hidden="1">'20-12-2025'!$A$3:$P$46</definedName>
    <definedName name="_xlnm._FilterDatabase" localSheetId="22" hidden="1">'20-12-2025 EXPORT'!$A$1:$Q$1</definedName>
    <definedName name="_xlnm._FilterDatabase" localSheetId="24" hidden="1">'22-12-2025'!$A$3:$P$71</definedName>
    <definedName name="_xlnm._FilterDatabase" localSheetId="25" hidden="1">'23-12-2025'!$A$3:$P$61</definedName>
    <definedName name="_xlnm._FilterDatabase" localSheetId="26" hidden="1">'24-12-2025'!$A$3:$P$51</definedName>
    <definedName name="_xlnm._FilterDatabase" localSheetId="27" hidden="1">'25-12-2025'!$A$3:$Q$34</definedName>
    <definedName name="_xlnm._FilterDatabase" localSheetId="29" hidden="1">'26-12-2025'!$A$3:$P$22</definedName>
    <definedName name="_xlnm._FilterDatabase" localSheetId="28" hidden="1">'26-12-2025 EXPORT'!$A$1:$R$1</definedName>
    <definedName name="_xlnm._FilterDatabase" localSheetId="30" hidden="1">'27-12-2025'!$A$3:$P$23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2" l="1"/>
  <c r="D20" i="40"/>
  <c r="K20" i="40"/>
  <c r="M20" i="40" s="1"/>
  <c r="L20" i="40"/>
  <c r="D21" i="40"/>
  <c r="K21" i="40"/>
  <c r="M21" i="40" s="1"/>
  <c r="L21" i="40"/>
  <c r="K13" i="40"/>
  <c r="L13" i="40"/>
  <c r="K5" i="40"/>
  <c r="L5" i="40"/>
  <c r="K14" i="40"/>
  <c r="L14" i="40"/>
  <c r="K6" i="40"/>
  <c r="N6" i="40" s="1"/>
  <c r="L6" i="40"/>
  <c r="K15" i="40"/>
  <c r="N15" i="40" s="1"/>
  <c r="L15" i="40"/>
  <c r="K7" i="40"/>
  <c r="M7" i="40" s="1"/>
  <c r="L7" i="40"/>
  <c r="K16" i="40"/>
  <c r="M16" i="40" s="1"/>
  <c r="L16" i="40"/>
  <c r="K8" i="40"/>
  <c r="M8" i="40" s="1"/>
  <c r="L8" i="40"/>
  <c r="K17" i="40"/>
  <c r="M17" i="40" s="1"/>
  <c r="L17" i="40"/>
  <c r="K9" i="40"/>
  <c r="N9" i="40" s="1"/>
  <c r="L9" i="40"/>
  <c r="K18" i="40"/>
  <c r="N18" i="40" s="1"/>
  <c r="L18" i="40"/>
  <c r="K10" i="40"/>
  <c r="M10" i="40" s="1"/>
  <c r="L10" i="40"/>
  <c r="K19" i="40"/>
  <c r="M19" i="40" s="1"/>
  <c r="L19" i="40"/>
  <c r="K11" i="40"/>
  <c r="M11" i="40" s="1"/>
  <c r="L11" i="40"/>
  <c r="K12" i="40"/>
  <c r="M12" i="40" s="1"/>
  <c r="L12" i="40"/>
  <c r="L4" i="40"/>
  <c r="K4" i="40"/>
  <c r="D13" i="40"/>
  <c r="D5" i="40"/>
  <c r="D14" i="40"/>
  <c r="D6" i="40"/>
  <c r="D15" i="40"/>
  <c r="D7" i="40"/>
  <c r="D16" i="40"/>
  <c r="D8" i="40"/>
  <c r="D17" i="40"/>
  <c r="D9" i="40"/>
  <c r="D18" i="40"/>
  <c r="D10" i="40"/>
  <c r="D19" i="40"/>
  <c r="D11" i="40"/>
  <c r="D12" i="40"/>
  <c r="D4" i="40"/>
  <c r="D5" i="38" l="1"/>
  <c r="D6" i="38"/>
  <c r="D7" i="38"/>
  <c r="D8" i="38"/>
  <c r="D9" i="38"/>
  <c r="D10" i="38"/>
  <c r="D11" i="38"/>
  <c r="D12" i="38"/>
  <c r="D13" i="38"/>
  <c r="D14" i="38"/>
  <c r="D15" i="38"/>
  <c r="D16" i="38"/>
  <c r="D17" i="38"/>
  <c r="D18" i="38"/>
  <c r="D19" i="38"/>
  <c r="D20" i="38"/>
  <c r="D21" i="38"/>
  <c r="D22" i="38"/>
  <c r="D4" i="38"/>
  <c r="L12" i="38"/>
  <c r="K12" i="38"/>
  <c r="M12" i="38" s="1"/>
  <c r="L11" i="38"/>
  <c r="K11" i="38"/>
  <c r="M11" i="38" s="1"/>
  <c r="L10" i="38"/>
  <c r="K10" i="38"/>
  <c r="M10" i="38" s="1"/>
  <c r="L9" i="38"/>
  <c r="K9" i="38"/>
  <c r="N9" i="38" s="1"/>
  <c r="L8" i="38"/>
  <c r="K8" i="38"/>
  <c r="M8" i="38" s="1"/>
  <c r="L7" i="38"/>
  <c r="K7" i="38"/>
  <c r="M7" i="38" s="1"/>
  <c r="L6" i="38"/>
  <c r="K6" i="38"/>
  <c r="N6" i="38" s="1"/>
  <c r="K5" i="38"/>
  <c r="L5" i="38"/>
  <c r="K13" i="38"/>
  <c r="L13" i="38"/>
  <c r="K14" i="38"/>
  <c r="L14" i="38"/>
  <c r="K15" i="38"/>
  <c r="N15" i="38" s="1"/>
  <c r="L15" i="38"/>
  <c r="K16" i="38"/>
  <c r="M16" i="38" s="1"/>
  <c r="L16" i="38"/>
  <c r="K17" i="38"/>
  <c r="M17" i="38" s="1"/>
  <c r="L17" i="38"/>
  <c r="K18" i="38"/>
  <c r="N18" i="38" s="1"/>
  <c r="L18" i="38"/>
  <c r="K19" i="38"/>
  <c r="M19" i="38" s="1"/>
  <c r="L19" i="38"/>
  <c r="K20" i="38"/>
  <c r="M20" i="38" s="1"/>
  <c r="L20" i="38"/>
  <c r="K21" i="38"/>
  <c r="M21" i="38" s="1"/>
  <c r="L21" i="38"/>
  <c r="K22" i="38"/>
  <c r="M22" i="38" s="1"/>
  <c r="L22" i="38"/>
  <c r="L4" i="38"/>
  <c r="K4" i="38"/>
  <c r="D11" i="37" l="1"/>
  <c r="K11" i="37"/>
  <c r="M11" i="37" s="1"/>
  <c r="L11" i="37"/>
  <c r="L22" i="37"/>
  <c r="K22" i="37"/>
  <c r="N22" i="37" s="1"/>
  <c r="D22" i="37"/>
  <c r="K4" i="37"/>
  <c r="L4" i="37"/>
  <c r="K18" i="37"/>
  <c r="L18" i="37"/>
  <c r="K5" i="37"/>
  <c r="L5" i="37"/>
  <c r="K19" i="37"/>
  <c r="N19" i="37" s="1"/>
  <c r="L19" i="37"/>
  <c r="K6" i="37"/>
  <c r="N6" i="37" s="1"/>
  <c r="L6" i="37"/>
  <c r="K20" i="37"/>
  <c r="M20" i="37" s="1"/>
  <c r="L20" i="37"/>
  <c r="K7" i="37"/>
  <c r="M7" i="37" s="1"/>
  <c r="L7" i="37"/>
  <c r="K21" i="37"/>
  <c r="M21" i="37" s="1"/>
  <c r="L21" i="37"/>
  <c r="K8" i="37"/>
  <c r="M8" i="37" s="1"/>
  <c r="L8" i="37"/>
  <c r="K23" i="37"/>
  <c r="N23" i="37" s="1"/>
  <c r="L23" i="37"/>
  <c r="K9" i="37"/>
  <c r="N9" i="37" s="1"/>
  <c r="L9" i="37"/>
  <c r="K10" i="37"/>
  <c r="M10" i="37" s="1"/>
  <c r="L10" i="37"/>
  <c r="K13" i="37"/>
  <c r="M13" i="37" s="1"/>
  <c r="L13" i="37"/>
  <c r="K12" i="37"/>
  <c r="M12" i="37" s="1"/>
  <c r="L12" i="37"/>
  <c r="K14" i="37"/>
  <c r="M14" i="37" s="1"/>
  <c r="L14" i="37"/>
  <c r="K15" i="37"/>
  <c r="M15" i="37" s="1"/>
  <c r="L15" i="37"/>
  <c r="K24" i="37"/>
  <c r="L24" i="37"/>
  <c r="K25" i="37"/>
  <c r="L25" i="37"/>
  <c r="K26" i="37"/>
  <c r="N26" i="37" s="1"/>
  <c r="L26" i="37"/>
  <c r="K27" i="37"/>
  <c r="M27" i="37" s="1"/>
  <c r="L27" i="37"/>
  <c r="K28" i="37"/>
  <c r="M28" i="37" s="1"/>
  <c r="L28" i="37"/>
  <c r="K29" i="37"/>
  <c r="N29" i="37" s="1"/>
  <c r="L29" i="37"/>
  <c r="K30" i="37"/>
  <c r="M30" i="37" s="1"/>
  <c r="L30" i="37"/>
  <c r="K31" i="37"/>
  <c r="M31" i="37" s="1"/>
  <c r="L31" i="37"/>
  <c r="K32" i="37"/>
  <c r="M32" i="37" s="1"/>
  <c r="L32" i="37"/>
  <c r="L17" i="37"/>
  <c r="K17" i="37"/>
  <c r="D4" i="37"/>
  <c r="D18" i="37"/>
  <c r="D5" i="37"/>
  <c r="D19" i="37"/>
  <c r="D6" i="37"/>
  <c r="D20" i="37"/>
  <c r="D7" i="37"/>
  <c r="D21" i="37"/>
  <c r="D8" i="37"/>
  <c r="D23" i="37"/>
  <c r="D9" i="37"/>
  <c r="D10" i="37"/>
  <c r="D13" i="37"/>
  <c r="D12" i="37"/>
  <c r="D14" i="37"/>
  <c r="D15" i="37"/>
  <c r="D24" i="37"/>
  <c r="D25" i="37"/>
  <c r="D26" i="37"/>
  <c r="D27" i="37"/>
  <c r="D28" i="37"/>
  <c r="D29" i="37"/>
  <c r="D30" i="37"/>
  <c r="D31" i="37"/>
  <c r="D32" i="37"/>
  <c r="D17" i="37"/>
  <c r="L29" i="36" l="1"/>
  <c r="K29" i="36"/>
  <c r="M29" i="36" s="1"/>
  <c r="L28" i="36"/>
  <c r="K28" i="36"/>
  <c r="M28" i="36" s="1"/>
  <c r="L27" i="36"/>
  <c r="K27" i="36"/>
  <c r="M27" i="36" s="1"/>
  <c r="L26" i="36"/>
  <c r="K26" i="36"/>
  <c r="M26" i="36" s="1"/>
  <c r="L25" i="36"/>
  <c r="K25" i="36"/>
  <c r="M25" i="36" s="1"/>
  <c r="L24" i="36"/>
  <c r="K24" i="36"/>
  <c r="L23" i="36"/>
  <c r="K23" i="36"/>
  <c r="D29" i="36"/>
  <c r="D28" i="36"/>
  <c r="D27" i="36"/>
  <c r="D26" i="36"/>
  <c r="D25" i="36"/>
  <c r="D24" i="36"/>
  <c r="D23" i="36"/>
  <c r="K4" i="36"/>
  <c r="L4" i="36"/>
  <c r="K31" i="36"/>
  <c r="L31" i="36"/>
  <c r="K41" i="36"/>
  <c r="L41" i="36"/>
  <c r="K18" i="36"/>
  <c r="L18" i="36"/>
  <c r="K5" i="36"/>
  <c r="L5" i="36"/>
  <c r="K32" i="36"/>
  <c r="L32" i="36"/>
  <c r="K42" i="36"/>
  <c r="L42" i="36"/>
  <c r="K6" i="36"/>
  <c r="N6" i="36" s="1"/>
  <c r="L6" i="36"/>
  <c r="K19" i="36"/>
  <c r="N19" i="36" s="1"/>
  <c r="L19" i="36"/>
  <c r="K33" i="36"/>
  <c r="N33" i="36" s="1"/>
  <c r="L33" i="36"/>
  <c r="K43" i="36"/>
  <c r="N43" i="36" s="1"/>
  <c r="L43" i="36"/>
  <c r="K7" i="36"/>
  <c r="M7" i="36" s="1"/>
  <c r="L7" i="36"/>
  <c r="K20" i="36"/>
  <c r="M20" i="36" s="1"/>
  <c r="L20" i="36"/>
  <c r="K34" i="36"/>
  <c r="M34" i="36" s="1"/>
  <c r="L34" i="36"/>
  <c r="K44" i="36"/>
  <c r="M44" i="36" s="1"/>
  <c r="L44" i="36"/>
  <c r="K8" i="36"/>
  <c r="M8" i="36" s="1"/>
  <c r="L8" i="36"/>
  <c r="K21" i="36"/>
  <c r="M21" i="36" s="1"/>
  <c r="L21" i="36"/>
  <c r="K35" i="36"/>
  <c r="M35" i="36" s="1"/>
  <c r="L35" i="36"/>
  <c r="K45" i="36"/>
  <c r="M45" i="36" s="1"/>
  <c r="L45" i="36"/>
  <c r="K9" i="36"/>
  <c r="N9" i="36" s="1"/>
  <c r="L9" i="36"/>
  <c r="K22" i="36"/>
  <c r="N22" i="36" s="1"/>
  <c r="L22" i="36"/>
  <c r="K36" i="36"/>
  <c r="N36" i="36" s="1"/>
  <c r="L36" i="36"/>
  <c r="K46" i="36"/>
  <c r="N46" i="36" s="1"/>
  <c r="L46" i="36"/>
  <c r="K10" i="36"/>
  <c r="M10" i="36" s="1"/>
  <c r="L10" i="36"/>
  <c r="K11" i="36"/>
  <c r="M11" i="36" s="1"/>
  <c r="L11" i="36"/>
  <c r="K37" i="36"/>
  <c r="M37" i="36" s="1"/>
  <c r="L37" i="36"/>
  <c r="K47" i="36"/>
  <c r="M47" i="36" s="1"/>
  <c r="L47" i="36"/>
  <c r="K12" i="36"/>
  <c r="M12" i="36" s="1"/>
  <c r="L12" i="36"/>
  <c r="K13" i="36"/>
  <c r="M13" i="36" s="1"/>
  <c r="L13" i="36"/>
  <c r="K38" i="36"/>
  <c r="M38" i="36" s="1"/>
  <c r="L38" i="36"/>
  <c r="K48" i="36"/>
  <c r="M48" i="36" s="1"/>
  <c r="L48" i="36"/>
  <c r="K14" i="36"/>
  <c r="M14" i="36" s="1"/>
  <c r="L14" i="36"/>
  <c r="K15" i="36"/>
  <c r="M15" i="36" s="1"/>
  <c r="L15" i="36"/>
  <c r="K39" i="36"/>
  <c r="M39" i="36" s="1"/>
  <c r="L39" i="36"/>
  <c r="K49" i="36"/>
  <c r="M49" i="36" s="1"/>
  <c r="L49" i="36"/>
  <c r="K50" i="36"/>
  <c r="M50" i="36" s="1"/>
  <c r="L50" i="36"/>
  <c r="L17" i="36"/>
  <c r="K17" i="36"/>
  <c r="D4" i="36"/>
  <c r="D31" i="36"/>
  <c r="D41" i="36"/>
  <c r="D18" i="36"/>
  <c r="D5" i="36"/>
  <c r="D32" i="36"/>
  <c r="D42" i="36"/>
  <c r="D6" i="36"/>
  <c r="D19" i="36"/>
  <c r="D33" i="36"/>
  <c r="D43" i="36"/>
  <c r="D7" i="36"/>
  <c r="D20" i="36"/>
  <c r="D34" i="36"/>
  <c r="D44" i="36"/>
  <c r="D8" i="36"/>
  <c r="D21" i="36"/>
  <c r="D35" i="36"/>
  <c r="D45" i="36"/>
  <c r="D9" i="36"/>
  <c r="D22" i="36"/>
  <c r="D36" i="36"/>
  <c r="D46" i="36"/>
  <c r="D10" i="36"/>
  <c r="D11" i="36"/>
  <c r="D37" i="36"/>
  <c r="D47" i="36"/>
  <c r="D12" i="36"/>
  <c r="D13" i="36"/>
  <c r="D38" i="36"/>
  <c r="D48" i="36"/>
  <c r="D14" i="36"/>
  <c r="D15" i="36"/>
  <c r="D39" i="36"/>
  <c r="D49" i="36"/>
  <c r="D50" i="36"/>
  <c r="D17" i="36"/>
  <c r="D4" i="34" l="1"/>
  <c r="D23" i="34"/>
  <c r="D31" i="34"/>
  <c r="D41" i="34"/>
  <c r="D51" i="34"/>
  <c r="D16" i="34"/>
  <c r="D5" i="34"/>
  <c r="D24" i="34"/>
  <c r="D32" i="34"/>
  <c r="D42" i="34"/>
  <c r="D52" i="34"/>
  <c r="D17" i="34"/>
  <c r="D6" i="34"/>
  <c r="D33" i="34"/>
  <c r="D43" i="34"/>
  <c r="D53" i="34"/>
  <c r="D18" i="34"/>
  <c r="D7" i="34"/>
  <c r="D25" i="34"/>
  <c r="D34" i="34"/>
  <c r="D44" i="34"/>
  <c r="D54" i="34"/>
  <c r="D19" i="34"/>
  <c r="D8" i="34"/>
  <c r="D26" i="34"/>
  <c r="D35" i="34"/>
  <c r="D45" i="34"/>
  <c r="D55" i="34"/>
  <c r="D20" i="34"/>
  <c r="D9" i="34"/>
  <c r="D36" i="34"/>
  <c r="D46" i="34"/>
  <c r="D56" i="34"/>
  <c r="D10" i="34"/>
  <c r="D11" i="34"/>
  <c r="D27" i="34"/>
  <c r="D37" i="34"/>
  <c r="D47" i="34"/>
  <c r="D57" i="34"/>
  <c r="D12" i="34"/>
  <c r="D21" i="34"/>
  <c r="D28" i="34"/>
  <c r="D38" i="34"/>
  <c r="D48" i="34"/>
  <c r="D58" i="34"/>
  <c r="D22" i="34"/>
  <c r="D13" i="34"/>
  <c r="D29" i="34"/>
  <c r="D39" i="34"/>
  <c r="D49" i="34"/>
  <c r="D59" i="34"/>
  <c r="D15" i="34"/>
  <c r="K4" i="34"/>
  <c r="L4" i="34"/>
  <c r="K23" i="34"/>
  <c r="L23" i="34"/>
  <c r="K31" i="34"/>
  <c r="L31" i="34"/>
  <c r="K41" i="34"/>
  <c r="L41" i="34"/>
  <c r="K51" i="34"/>
  <c r="L51" i="34"/>
  <c r="K16" i="34"/>
  <c r="L16" i="34"/>
  <c r="K5" i="34"/>
  <c r="L5" i="34"/>
  <c r="K24" i="34"/>
  <c r="L24" i="34"/>
  <c r="K32" i="34"/>
  <c r="L32" i="34"/>
  <c r="K42" i="34"/>
  <c r="L42" i="34"/>
  <c r="K52" i="34"/>
  <c r="L52" i="34"/>
  <c r="K17" i="34"/>
  <c r="N17" i="34" s="1"/>
  <c r="L17" i="34"/>
  <c r="K6" i="34"/>
  <c r="N6" i="34" s="1"/>
  <c r="L6" i="34"/>
  <c r="K33" i="34"/>
  <c r="N33" i="34" s="1"/>
  <c r="L33" i="34"/>
  <c r="K43" i="34"/>
  <c r="N43" i="34" s="1"/>
  <c r="L43" i="34"/>
  <c r="K53" i="34"/>
  <c r="N53" i="34" s="1"/>
  <c r="L53" i="34"/>
  <c r="K18" i="34"/>
  <c r="M18" i="34" s="1"/>
  <c r="L18" i="34"/>
  <c r="K7" i="34"/>
  <c r="M7" i="34" s="1"/>
  <c r="L7" i="34"/>
  <c r="K25" i="34"/>
  <c r="M25" i="34" s="1"/>
  <c r="L25" i="34"/>
  <c r="K34" i="34"/>
  <c r="M34" i="34" s="1"/>
  <c r="L34" i="34"/>
  <c r="K44" i="34"/>
  <c r="M44" i="34" s="1"/>
  <c r="L44" i="34"/>
  <c r="K54" i="34"/>
  <c r="M54" i="34" s="1"/>
  <c r="L54" i="34"/>
  <c r="K19" i="34"/>
  <c r="M19" i="34" s="1"/>
  <c r="L19" i="34"/>
  <c r="K8" i="34"/>
  <c r="M8" i="34" s="1"/>
  <c r="L8" i="34"/>
  <c r="K26" i="34"/>
  <c r="M26" i="34" s="1"/>
  <c r="L26" i="34"/>
  <c r="K35" i="34"/>
  <c r="M35" i="34" s="1"/>
  <c r="L35" i="34"/>
  <c r="K45" i="34"/>
  <c r="M45" i="34" s="1"/>
  <c r="L45" i="34"/>
  <c r="K55" i="34"/>
  <c r="M55" i="34" s="1"/>
  <c r="L55" i="34"/>
  <c r="K20" i="34"/>
  <c r="N20" i="34" s="1"/>
  <c r="L20" i="34"/>
  <c r="K9" i="34"/>
  <c r="N9" i="34" s="1"/>
  <c r="L9" i="34"/>
  <c r="K36" i="34"/>
  <c r="N36" i="34" s="1"/>
  <c r="L36" i="34"/>
  <c r="K46" i="34"/>
  <c r="N46" i="34" s="1"/>
  <c r="L46" i="34"/>
  <c r="K56" i="34"/>
  <c r="N56" i="34" s="1"/>
  <c r="L56" i="34"/>
  <c r="K10" i="34"/>
  <c r="M10" i="34" s="1"/>
  <c r="L10" i="34"/>
  <c r="K11" i="34"/>
  <c r="M11" i="34" s="1"/>
  <c r="L11" i="34"/>
  <c r="K27" i="34"/>
  <c r="M27" i="34" s="1"/>
  <c r="L27" i="34"/>
  <c r="K37" i="34"/>
  <c r="M37" i="34" s="1"/>
  <c r="L37" i="34"/>
  <c r="K47" i="34"/>
  <c r="M47" i="34" s="1"/>
  <c r="L47" i="34"/>
  <c r="K57" i="34"/>
  <c r="M57" i="34" s="1"/>
  <c r="L57" i="34"/>
  <c r="K12" i="34"/>
  <c r="M12" i="34" s="1"/>
  <c r="L12" i="34"/>
  <c r="K21" i="34"/>
  <c r="M21" i="34" s="1"/>
  <c r="L21" i="34"/>
  <c r="K28" i="34"/>
  <c r="M28" i="34" s="1"/>
  <c r="L28" i="34"/>
  <c r="K38" i="34"/>
  <c r="M38" i="34" s="1"/>
  <c r="L38" i="34"/>
  <c r="K48" i="34"/>
  <c r="M48" i="34" s="1"/>
  <c r="L48" i="34"/>
  <c r="K58" i="34"/>
  <c r="M58" i="34" s="1"/>
  <c r="L58" i="34"/>
  <c r="K22" i="34"/>
  <c r="M22" i="34" s="1"/>
  <c r="L22" i="34"/>
  <c r="K13" i="34"/>
  <c r="M13" i="34" s="1"/>
  <c r="L13" i="34"/>
  <c r="K29" i="34"/>
  <c r="M29" i="34" s="1"/>
  <c r="L29" i="34"/>
  <c r="K39" i="34"/>
  <c r="M39" i="34" s="1"/>
  <c r="L39" i="34"/>
  <c r="K49" i="34"/>
  <c r="M49" i="34" s="1"/>
  <c r="L49" i="34"/>
  <c r="K59" i="34"/>
  <c r="M59" i="34" s="1"/>
  <c r="L59" i="34"/>
  <c r="L15" i="34"/>
  <c r="K15" i="34"/>
  <c r="K44" i="32"/>
  <c r="N44" i="32" s="1"/>
  <c r="L44" i="32"/>
  <c r="L43" i="32"/>
  <c r="K43" i="32"/>
  <c r="N43" i="32" s="1"/>
  <c r="D44" i="32"/>
  <c r="D43" i="32"/>
  <c r="L11" i="33"/>
  <c r="K11" i="33"/>
  <c r="N11" i="33" s="1"/>
  <c r="D11" i="33"/>
  <c r="K32" i="33"/>
  <c r="L32" i="33"/>
  <c r="K34" i="33"/>
  <c r="L34" i="33"/>
  <c r="K5" i="33"/>
  <c r="L5" i="33"/>
  <c r="K33" i="33"/>
  <c r="L33" i="33"/>
  <c r="K35" i="33"/>
  <c r="L35" i="33"/>
  <c r="K6" i="33"/>
  <c r="N6" i="33" s="1"/>
  <c r="L6" i="33"/>
  <c r="K7" i="33"/>
  <c r="N7" i="33" s="1"/>
  <c r="L7" i="33"/>
  <c r="K8" i="33"/>
  <c r="M8" i="33" s="1"/>
  <c r="L8" i="33"/>
  <c r="K36" i="33"/>
  <c r="M36" i="33" s="1"/>
  <c r="L36" i="33"/>
  <c r="K37" i="33"/>
  <c r="M37" i="33" s="1"/>
  <c r="L37" i="33"/>
  <c r="K9" i="33"/>
  <c r="M9" i="33" s="1"/>
  <c r="L9" i="33"/>
  <c r="K38" i="33"/>
  <c r="M38" i="33" s="1"/>
  <c r="L38" i="33"/>
  <c r="K39" i="33"/>
  <c r="M39" i="33" s="1"/>
  <c r="L39" i="33"/>
  <c r="K10" i="33"/>
  <c r="N10" i="33" s="1"/>
  <c r="L10" i="33"/>
  <c r="K40" i="33"/>
  <c r="N40" i="33" s="1"/>
  <c r="L40" i="33"/>
  <c r="K12" i="33"/>
  <c r="M12" i="33" s="1"/>
  <c r="L12" i="33"/>
  <c r="K16" i="33"/>
  <c r="M16" i="33" s="1"/>
  <c r="L16" i="33"/>
  <c r="K17" i="33"/>
  <c r="M17" i="33" s="1"/>
  <c r="L17" i="33"/>
  <c r="K13" i="33"/>
  <c r="M13" i="33" s="1"/>
  <c r="L13" i="33"/>
  <c r="K18" i="33"/>
  <c r="M18" i="33" s="1"/>
  <c r="L18" i="33"/>
  <c r="K19" i="33"/>
  <c r="M19" i="33" s="1"/>
  <c r="L19" i="33"/>
  <c r="K14" i="33"/>
  <c r="M14" i="33" s="1"/>
  <c r="L14" i="33"/>
  <c r="K20" i="33"/>
  <c r="M20" i="33" s="1"/>
  <c r="L20" i="33"/>
  <c r="K21" i="33"/>
  <c r="M21" i="33" s="1"/>
  <c r="L21" i="33"/>
  <c r="K22" i="33"/>
  <c r="L22" i="33"/>
  <c r="K23" i="33"/>
  <c r="L23" i="33"/>
  <c r="K24" i="33"/>
  <c r="N24" i="33" s="1"/>
  <c r="L24" i="33"/>
  <c r="K25" i="33"/>
  <c r="M25" i="33" s="1"/>
  <c r="L25" i="33"/>
  <c r="K26" i="33"/>
  <c r="M26" i="33" s="1"/>
  <c r="L26" i="33"/>
  <c r="K27" i="33"/>
  <c r="N27" i="33" s="1"/>
  <c r="L27" i="33"/>
  <c r="K28" i="33"/>
  <c r="M28" i="33" s="1"/>
  <c r="L28" i="33"/>
  <c r="K29" i="33"/>
  <c r="M29" i="33" s="1"/>
  <c r="L29" i="33"/>
  <c r="K30" i="33"/>
  <c r="M30" i="33" s="1"/>
  <c r="L30" i="33"/>
  <c r="K42" i="33"/>
  <c r="L42" i="33"/>
  <c r="K43" i="33"/>
  <c r="L43" i="33"/>
  <c r="K44" i="33"/>
  <c r="N44" i="33" s="1"/>
  <c r="L44" i="33"/>
  <c r="K45" i="33"/>
  <c r="M45" i="33" s="1"/>
  <c r="L45" i="33"/>
  <c r="K46" i="33"/>
  <c r="M46" i="33" s="1"/>
  <c r="L46" i="33"/>
  <c r="K47" i="33"/>
  <c r="N47" i="33" s="1"/>
  <c r="L47" i="33"/>
  <c r="K48" i="33"/>
  <c r="M48" i="33" s="1"/>
  <c r="L48" i="33"/>
  <c r="K49" i="33"/>
  <c r="M49" i="33" s="1"/>
  <c r="L49" i="33"/>
  <c r="K50" i="33"/>
  <c r="M50" i="33" s="1"/>
  <c r="L50" i="33"/>
  <c r="K52" i="33"/>
  <c r="L52" i="33"/>
  <c r="K53" i="33"/>
  <c r="L53" i="33"/>
  <c r="K54" i="33"/>
  <c r="N54" i="33" s="1"/>
  <c r="L54" i="33"/>
  <c r="K55" i="33"/>
  <c r="M55" i="33" s="1"/>
  <c r="L55" i="33"/>
  <c r="K56" i="33"/>
  <c r="M56" i="33" s="1"/>
  <c r="L56" i="33"/>
  <c r="K57" i="33"/>
  <c r="N57" i="33" s="1"/>
  <c r="L57" i="33"/>
  <c r="K58" i="33"/>
  <c r="M58" i="33" s="1"/>
  <c r="L58" i="33"/>
  <c r="K59" i="33"/>
  <c r="M59" i="33" s="1"/>
  <c r="L59" i="33"/>
  <c r="K60" i="33"/>
  <c r="M60" i="33" s="1"/>
  <c r="L60" i="33"/>
  <c r="K61" i="33"/>
  <c r="L61" i="33"/>
  <c r="K62" i="33"/>
  <c r="L62" i="33"/>
  <c r="K63" i="33"/>
  <c r="N63" i="33" s="1"/>
  <c r="L63" i="33"/>
  <c r="K64" i="33"/>
  <c r="M64" i="33" s="1"/>
  <c r="L64" i="33"/>
  <c r="K65" i="33"/>
  <c r="M65" i="33" s="1"/>
  <c r="L65" i="33"/>
  <c r="K66" i="33"/>
  <c r="N66" i="33" s="1"/>
  <c r="L66" i="33"/>
  <c r="K67" i="33"/>
  <c r="M67" i="33" s="1"/>
  <c r="L67" i="33"/>
  <c r="K68" i="33"/>
  <c r="M68" i="33" s="1"/>
  <c r="L68" i="33"/>
  <c r="K69" i="33"/>
  <c r="M69" i="33" s="1"/>
  <c r="L69" i="33"/>
  <c r="L4" i="33"/>
  <c r="K4" i="33"/>
  <c r="D32" i="33"/>
  <c r="D34" i="33"/>
  <c r="D22" i="33"/>
  <c r="D42" i="33"/>
  <c r="D52" i="33"/>
  <c r="D61" i="33"/>
  <c r="D5" i="33"/>
  <c r="D33" i="33"/>
  <c r="D35" i="33"/>
  <c r="D23" i="33"/>
  <c r="D43" i="33"/>
  <c r="D53" i="33"/>
  <c r="D62" i="33"/>
  <c r="D6" i="33"/>
  <c r="D7" i="33"/>
  <c r="D24" i="33"/>
  <c r="D44" i="33"/>
  <c r="D54" i="33"/>
  <c r="D63" i="33"/>
  <c r="D8" i="33"/>
  <c r="D36" i="33"/>
  <c r="D37" i="33"/>
  <c r="D25" i="33"/>
  <c r="D45" i="33"/>
  <c r="D55" i="33"/>
  <c r="D64" i="33"/>
  <c r="D9" i="33"/>
  <c r="D38" i="33"/>
  <c r="D39" i="33"/>
  <c r="D26" i="33"/>
  <c r="D46" i="33"/>
  <c r="D56" i="33"/>
  <c r="D65" i="33"/>
  <c r="D10" i="33"/>
  <c r="D40" i="33"/>
  <c r="D27" i="33"/>
  <c r="D47" i="33"/>
  <c r="D57" i="33"/>
  <c r="D66" i="33"/>
  <c r="D12" i="33"/>
  <c r="D16" i="33"/>
  <c r="D17" i="33"/>
  <c r="D28" i="33"/>
  <c r="D48" i="33"/>
  <c r="D58" i="33"/>
  <c r="D67" i="33"/>
  <c r="D13" i="33"/>
  <c r="D18" i="33"/>
  <c r="D19" i="33"/>
  <c r="D29" i="33"/>
  <c r="D49" i="33"/>
  <c r="D59" i="33"/>
  <c r="D68" i="33"/>
  <c r="D14" i="33"/>
  <c r="D20" i="33"/>
  <c r="D21" i="33"/>
  <c r="D30" i="33"/>
  <c r="D50" i="33"/>
  <c r="D60" i="33"/>
  <c r="D69" i="33"/>
  <c r="D4" i="33"/>
  <c r="K14" i="32" l="1"/>
  <c r="L14" i="32"/>
  <c r="K24" i="32"/>
  <c r="L24" i="32"/>
  <c r="K34" i="32"/>
  <c r="L34" i="32"/>
  <c r="K5" i="32"/>
  <c r="L5" i="32"/>
  <c r="K15" i="32"/>
  <c r="L15" i="32"/>
  <c r="K25" i="32"/>
  <c r="L25" i="32"/>
  <c r="K35" i="32"/>
  <c r="L35" i="32"/>
  <c r="K6" i="32"/>
  <c r="N6" i="32" s="1"/>
  <c r="L6" i="32"/>
  <c r="K16" i="32"/>
  <c r="N16" i="32" s="1"/>
  <c r="L16" i="32"/>
  <c r="K26" i="32"/>
  <c r="N26" i="32" s="1"/>
  <c r="L26" i="32"/>
  <c r="K36" i="32"/>
  <c r="N36" i="32" s="1"/>
  <c r="L36" i="32"/>
  <c r="K7" i="32"/>
  <c r="M7" i="32" s="1"/>
  <c r="L7" i="32"/>
  <c r="K17" i="32"/>
  <c r="M17" i="32" s="1"/>
  <c r="L17" i="32"/>
  <c r="K27" i="32"/>
  <c r="M27" i="32" s="1"/>
  <c r="L27" i="32"/>
  <c r="K37" i="32"/>
  <c r="M37" i="32" s="1"/>
  <c r="L37" i="32"/>
  <c r="K8" i="32"/>
  <c r="M8" i="32" s="1"/>
  <c r="L8" i="32"/>
  <c r="K18" i="32"/>
  <c r="M18" i="32" s="1"/>
  <c r="L18" i="32"/>
  <c r="K28" i="32"/>
  <c r="M28" i="32" s="1"/>
  <c r="L28" i="32"/>
  <c r="K38" i="32"/>
  <c r="M38" i="32" s="1"/>
  <c r="L38" i="32"/>
  <c r="K9" i="32"/>
  <c r="N9" i="32" s="1"/>
  <c r="L9" i="32"/>
  <c r="K19" i="32"/>
  <c r="N19" i="32" s="1"/>
  <c r="L19" i="32"/>
  <c r="K29" i="32"/>
  <c r="N29" i="32" s="1"/>
  <c r="L29" i="32"/>
  <c r="K39" i="32"/>
  <c r="N39" i="32" s="1"/>
  <c r="L39" i="32"/>
  <c r="K10" i="32"/>
  <c r="M10" i="32" s="1"/>
  <c r="L10" i="32"/>
  <c r="K20" i="32"/>
  <c r="M20" i="32" s="1"/>
  <c r="L20" i="32"/>
  <c r="K30" i="32"/>
  <c r="M30" i="32" s="1"/>
  <c r="L30" i="32"/>
  <c r="K40" i="32"/>
  <c r="M40" i="32" s="1"/>
  <c r="L40" i="32"/>
  <c r="K11" i="32"/>
  <c r="M11" i="32" s="1"/>
  <c r="L11" i="32"/>
  <c r="K21" i="32"/>
  <c r="M21" i="32" s="1"/>
  <c r="L21" i="32"/>
  <c r="K31" i="32"/>
  <c r="M31" i="32" s="1"/>
  <c r="L31" i="32"/>
  <c r="K41" i="32"/>
  <c r="M41" i="32" s="1"/>
  <c r="L41" i="32"/>
  <c r="K12" i="32"/>
  <c r="M12" i="32" s="1"/>
  <c r="L12" i="32"/>
  <c r="K22" i="32"/>
  <c r="M22" i="32" s="1"/>
  <c r="L22" i="32"/>
  <c r="K32" i="32"/>
  <c r="M32" i="32" s="1"/>
  <c r="L32" i="32"/>
  <c r="K42" i="32"/>
  <c r="M42" i="32" s="1"/>
  <c r="L42" i="32"/>
  <c r="L4" i="32"/>
  <c r="K4" i="32"/>
  <c r="D14" i="32"/>
  <c r="D24" i="32"/>
  <c r="D34" i="32"/>
  <c r="D5" i="32"/>
  <c r="D15" i="32"/>
  <c r="D25" i="32"/>
  <c r="D35" i="32"/>
  <c r="D6" i="32"/>
  <c r="D16" i="32"/>
  <c r="D26" i="32"/>
  <c r="D36" i="32"/>
  <c r="D7" i="32"/>
  <c r="D17" i="32"/>
  <c r="D27" i="32"/>
  <c r="D37" i="32"/>
  <c r="D8" i="32"/>
  <c r="D18" i="32"/>
  <c r="D28" i="32"/>
  <c r="D38" i="32"/>
  <c r="D9" i="32"/>
  <c r="D19" i="32"/>
  <c r="D29" i="32"/>
  <c r="D39" i="32"/>
  <c r="D10" i="32"/>
  <c r="D20" i="32"/>
  <c r="D30" i="32"/>
  <c r="D40" i="32"/>
  <c r="D11" i="32"/>
  <c r="D21" i="32"/>
  <c r="D31" i="32"/>
  <c r="D41" i="32"/>
  <c r="D12" i="32"/>
  <c r="D22" i="32"/>
  <c r="D32" i="32"/>
  <c r="D42" i="32"/>
  <c r="D4" i="32"/>
  <c r="L12" i="30" l="1"/>
  <c r="K12" i="30"/>
  <c r="M12" i="30" s="1"/>
  <c r="D12" i="30"/>
  <c r="L10" i="30"/>
  <c r="K10" i="30"/>
  <c r="N10" i="30" s="1"/>
  <c r="D10" i="30"/>
  <c r="L5" i="30"/>
  <c r="K5" i="30"/>
  <c r="D5" i="30"/>
  <c r="L4" i="30"/>
  <c r="K4" i="30"/>
  <c r="D4" i="30"/>
  <c r="K17" i="30"/>
  <c r="L17" i="30"/>
  <c r="K27" i="30"/>
  <c r="L27" i="30"/>
  <c r="K37" i="30"/>
  <c r="L37" i="30"/>
  <c r="K47" i="30"/>
  <c r="L47" i="30"/>
  <c r="K16" i="30"/>
  <c r="L16" i="30"/>
  <c r="K18" i="30"/>
  <c r="L18" i="30"/>
  <c r="K28" i="30"/>
  <c r="L28" i="30"/>
  <c r="K38" i="30"/>
  <c r="L38" i="30"/>
  <c r="K48" i="30"/>
  <c r="L48" i="30"/>
  <c r="K6" i="30"/>
  <c r="N6" i="30" s="1"/>
  <c r="L6" i="30"/>
  <c r="K29" i="30"/>
  <c r="N29" i="30" s="1"/>
  <c r="L29" i="30"/>
  <c r="K39" i="30"/>
  <c r="N39" i="30" s="1"/>
  <c r="L39" i="30"/>
  <c r="K49" i="30"/>
  <c r="N49" i="30" s="1"/>
  <c r="L49" i="30"/>
  <c r="K7" i="30"/>
  <c r="M7" i="30" s="1"/>
  <c r="L7" i="30"/>
  <c r="K19" i="30"/>
  <c r="M19" i="30" s="1"/>
  <c r="L19" i="30"/>
  <c r="K30" i="30"/>
  <c r="M30" i="30" s="1"/>
  <c r="L30" i="30"/>
  <c r="K40" i="30"/>
  <c r="M40" i="30" s="1"/>
  <c r="L40" i="30"/>
  <c r="K50" i="30"/>
  <c r="M50" i="30" s="1"/>
  <c r="L50" i="30"/>
  <c r="K8" i="30"/>
  <c r="M8" i="30" s="1"/>
  <c r="L8" i="30"/>
  <c r="K20" i="30"/>
  <c r="M20" i="30" s="1"/>
  <c r="L20" i="30"/>
  <c r="K31" i="30"/>
  <c r="M31" i="30" s="1"/>
  <c r="L31" i="30"/>
  <c r="K41" i="30"/>
  <c r="M41" i="30" s="1"/>
  <c r="L41" i="30"/>
  <c r="K51" i="30"/>
  <c r="M51" i="30" s="1"/>
  <c r="L51" i="30"/>
  <c r="K21" i="30"/>
  <c r="N21" i="30" s="1"/>
  <c r="L21" i="30"/>
  <c r="K9" i="30"/>
  <c r="N9" i="30" s="1"/>
  <c r="L9" i="30"/>
  <c r="K32" i="30"/>
  <c r="N32" i="30" s="1"/>
  <c r="L32" i="30"/>
  <c r="K42" i="30"/>
  <c r="N42" i="30" s="1"/>
  <c r="L42" i="30"/>
  <c r="K52" i="30"/>
  <c r="N52" i="30" s="1"/>
  <c r="L52" i="30"/>
  <c r="K11" i="30"/>
  <c r="M11" i="30" s="1"/>
  <c r="L11" i="30"/>
  <c r="K22" i="30"/>
  <c r="M22" i="30" s="1"/>
  <c r="L22" i="30"/>
  <c r="K33" i="30"/>
  <c r="M33" i="30" s="1"/>
  <c r="L33" i="30"/>
  <c r="K43" i="30"/>
  <c r="M43" i="30" s="1"/>
  <c r="L43" i="30"/>
  <c r="K53" i="30"/>
  <c r="M53" i="30" s="1"/>
  <c r="L53" i="30"/>
  <c r="K23" i="30"/>
  <c r="M23" i="30" s="1"/>
  <c r="L23" i="30"/>
  <c r="K24" i="30"/>
  <c r="M24" i="30" s="1"/>
  <c r="L24" i="30"/>
  <c r="K34" i="30"/>
  <c r="M34" i="30" s="1"/>
  <c r="L34" i="30"/>
  <c r="K44" i="30"/>
  <c r="M44" i="30" s="1"/>
  <c r="L44" i="30"/>
  <c r="K54" i="30"/>
  <c r="M54" i="30" s="1"/>
  <c r="L54" i="30"/>
  <c r="K25" i="30"/>
  <c r="M25" i="30" s="1"/>
  <c r="L25" i="30"/>
  <c r="K13" i="30"/>
  <c r="M13" i="30" s="1"/>
  <c r="L13" i="30"/>
  <c r="K35" i="30"/>
  <c r="M35" i="30" s="1"/>
  <c r="L35" i="30"/>
  <c r="K45" i="30"/>
  <c r="M45" i="30" s="1"/>
  <c r="L45" i="30"/>
  <c r="K55" i="30"/>
  <c r="M55" i="30" s="1"/>
  <c r="L55" i="30"/>
  <c r="L15" i="30"/>
  <c r="K15" i="30"/>
  <c r="D17" i="30"/>
  <c r="D27" i="30"/>
  <c r="D37" i="30"/>
  <c r="D47" i="30"/>
  <c r="D16" i="30"/>
  <c r="D18" i="30"/>
  <c r="D28" i="30"/>
  <c r="D38" i="30"/>
  <c r="D48" i="30"/>
  <c r="D6" i="30"/>
  <c r="D29" i="30"/>
  <c r="D39" i="30"/>
  <c r="D49" i="30"/>
  <c r="D7" i="30"/>
  <c r="D19" i="30"/>
  <c r="D30" i="30"/>
  <c r="D40" i="30"/>
  <c r="D50" i="30"/>
  <c r="D8" i="30"/>
  <c r="D20" i="30"/>
  <c r="D31" i="30"/>
  <c r="D41" i="30"/>
  <c r="D51" i="30"/>
  <c r="D21" i="30"/>
  <c r="D9" i="30"/>
  <c r="D32" i="30"/>
  <c r="D42" i="30"/>
  <c r="D52" i="30"/>
  <c r="D11" i="30"/>
  <c r="D22" i="30"/>
  <c r="D33" i="30"/>
  <c r="D43" i="30"/>
  <c r="D53" i="30"/>
  <c r="D23" i="30"/>
  <c r="D24" i="30"/>
  <c r="D34" i="30"/>
  <c r="D44" i="30"/>
  <c r="D54" i="30"/>
  <c r="D25" i="30"/>
  <c r="D13" i="30"/>
  <c r="D35" i="30"/>
  <c r="D45" i="30"/>
  <c r="D55" i="30"/>
  <c r="D15" i="30"/>
  <c r="K13" i="26" l="1"/>
  <c r="M13" i="26" s="1"/>
  <c r="L13" i="26"/>
  <c r="K14" i="26"/>
  <c r="M14" i="26" s="1"/>
  <c r="L14" i="26"/>
  <c r="D14" i="26"/>
  <c r="D13" i="26"/>
  <c r="K16" i="26" l="1"/>
  <c r="L16" i="26"/>
  <c r="K26" i="26"/>
  <c r="L26" i="26"/>
  <c r="K36" i="26"/>
  <c r="L36" i="26"/>
  <c r="K5" i="26"/>
  <c r="L5" i="26"/>
  <c r="K17" i="26"/>
  <c r="L17" i="26"/>
  <c r="K27" i="26"/>
  <c r="L27" i="26"/>
  <c r="K37" i="26"/>
  <c r="L37" i="26"/>
  <c r="K6" i="26"/>
  <c r="N6" i="26" s="1"/>
  <c r="L6" i="26"/>
  <c r="K18" i="26"/>
  <c r="N18" i="26" s="1"/>
  <c r="L18" i="26"/>
  <c r="K28" i="26"/>
  <c r="N28" i="26" s="1"/>
  <c r="L28" i="26"/>
  <c r="K38" i="26"/>
  <c r="N38" i="26" s="1"/>
  <c r="L38" i="26"/>
  <c r="K7" i="26"/>
  <c r="M7" i="26" s="1"/>
  <c r="L7" i="26"/>
  <c r="K19" i="26"/>
  <c r="M19" i="26" s="1"/>
  <c r="L19" i="26"/>
  <c r="K29" i="26"/>
  <c r="M29" i="26" s="1"/>
  <c r="L29" i="26"/>
  <c r="K39" i="26"/>
  <c r="M39" i="26" s="1"/>
  <c r="L39" i="26"/>
  <c r="K8" i="26"/>
  <c r="M8" i="26" s="1"/>
  <c r="L8" i="26"/>
  <c r="K20" i="26"/>
  <c r="M20" i="26" s="1"/>
  <c r="L20" i="26"/>
  <c r="K30" i="26"/>
  <c r="M30" i="26" s="1"/>
  <c r="L30" i="26"/>
  <c r="K40" i="26"/>
  <c r="M40" i="26" s="1"/>
  <c r="L40" i="26"/>
  <c r="K9" i="26"/>
  <c r="N9" i="26" s="1"/>
  <c r="L9" i="26"/>
  <c r="K21" i="26"/>
  <c r="N21" i="26" s="1"/>
  <c r="L21" i="26"/>
  <c r="K31" i="26"/>
  <c r="N31" i="26" s="1"/>
  <c r="L31" i="26"/>
  <c r="K41" i="26"/>
  <c r="N41" i="26" s="1"/>
  <c r="L41" i="26"/>
  <c r="K10" i="26"/>
  <c r="M10" i="26" s="1"/>
  <c r="L10" i="26"/>
  <c r="K22" i="26"/>
  <c r="M22" i="26" s="1"/>
  <c r="L22" i="26"/>
  <c r="K32" i="26"/>
  <c r="M32" i="26" s="1"/>
  <c r="L32" i="26"/>
  <c r="K42" i="26"/>
  <c r="M42" i="26" s="1"/>
  <c r="L42" i="26"/>
  <c r="K11" i="26"/>
  <c r="M11" i="26" s="1"/>
  <c r="L11" i="26"/>
  <c r="K23" i="26"/>
  <c r="M23" i="26" s="1"/>
  <c r="L23" i="26"/>
  <c r="K33" i="26"/>
  <c r="M33" i="26" s="1"/>
  <c r="L33" i="26"/>
  <c r="K43" i="26"/>
  <c r="M43" i="26" s="1"/>
  <c r="L43" i="26"/>
  <c r="K12" i="26"/>
  <c r="M12" i="26" s="1"/>
  <c r="L12" i="26"/>
  <c r="K24" i="26"/>
  <c r="M24" i="26" s="1"/>
  <c r="L24" i="26"/>
  <c r="K34" i="26"/>
  <c r="M34" i="26" s="1"/>
  <c r="L34" i="26"/>
  <c r="K44" i="26"/>
  <c r="M44" i="26" s="1"/>
  <c r="L44" i="26"/>
  <c r="L4" i="26"/>
  <c r="K4" i="26"/>
  <c r="D16" i="26"/>
  <c r="D26" i="26"/>
  <c r="D36" i="26"/>
  <c r="D5" i="26"/>
  <c r="D17" i="26"/>
  <c r="D27" i="26"/>
  <c r="D37" i="26"/>
  <c r="D6" i="26"/>
  <c r="D18" i="26"/>
  <c r="D28" i="26"/>
  <c r="D38" i="26"/>
  <c r="D7" i="26"/>
  <c r="D19" i="26"/>
  <c r="D29" i="26"/>
  <c r="D39" i="26"/>
  <c r="D8" i="26"/>
  <c r="D20" i="26"/>
  <c r="D30" i="26"/>
  <c r="D40" i="26"/>
  <c r="D9" i="26"/>
  <c r="D21" i="26"/>
  <c r="D31" i="26"/>
  <c r="D41" i="26"/>
  <c r="D10" i="26"/>
  <c r="D22" i="26"/>
  <c r="D32" i="26"/>
  <c r="D42" i="26"/>
  <c r="D11" i="26"/>
  <c r="D23" i="26"/>
  <c r="D33" i="26"/>
  <c r="D43" i="26"/>
  <c r="D12" i="26"/>
  <c r="D24" i="26"/>
  <c r="D34" i="26"/>
  <c r="D44" i="26"/>
  <c r="D4" i="26"/>
  <c r="D6" i="25" l="1"/>
  <c r="D21" i="25"/>
  <c r="D31" i="25"/>
  <c r="D41" i="25"/>
  <c r="D5" i="25"/>
  <c r="D7" i="25"/>
  <c r="D22" i="25"/>
  <c r="D32" i="25"/>
  <c r="D42" i="25"/>
  <c r="D8" i="25"/>
  <c r="D23" i="25"/>
  <c r="D33" i="25"/>
  <c r="D43" i="25"/>
  <c r="D9" i="25"/>
  <c r="D10" i="25"/>
  <c r="D24" i="25"/>
  <c r="D34" i="25"/>
  <c r="D44" i="25"/>
  <c r="D11" i="25"/>
  <c r="D12" i="25"/>
  <c r="D25" i="25"/>
  <c r="D35" i="25"/>
  <c r="D45" i="25"/>
  <c r="D13" i="25"/>
  <c r="D26" i="25"/>
  <c r="D36" i="25"/>
  <c r="D46" i="25"/>
  <c r="D14" i="25"/>
  <c r="D15" i="25"/>
  <c r="D27" i="25"/>
  <c r="D37" i="25"/>
  <c r="D47" i="25"/>
  <c r="D16" i="25"/>
  <c r="D17" i="25"/>
  <c r="D28" i="25"/>
  <c r="D38" i="25"/>
  <c r="D48" i="25"/>
  <c r="D18" i="25"/>
  <c r="D19" i="25"/>
  <c r="D29" i="25"/>
  <c r="D39" i="25"/>
  <c r="D49" i="25"/>
  <c r="D4" i="25"/>
  <c r="K6" i="25"/>
  <c r="L6" i="25"/>
  <c r="K21" i="25"/>
  <c r="L21" i="25"/>
  <c r="K31" i="25"/>
  <c r="L31" i="25"/>
  <c r="K41" i="25"/>
  <c r="L41" i="25"/>
  <c r="K5" i="25"/>
  <c r="L5" i="25"/>
  <c r="K7" i="25"/>
  <c r="L7" i="25"/>
  <c r="K22" i="25"/>
  <c r="L22" i="25"/>
  <c r="K32" i="25"/>
  <c r="L32" i="25"/>
  <c r="K42" i="25"/>
  <c r="L42" i="25"/>
  <c r="K8" i="25"/>
  <c r="N8" i="25" s="1"/>
  <c r="L8" i="25"/>
  <c r="K23" i="25"/>
  <c r="N23" i="25" s="1"/>
  <c r="L23" i="25"/>
  <c r="K33" i="25"/>
  <c r="N33" i="25" s="1"/>
  <c r="L33" i="25"/>
  <c r="K43" i="25"/>
  <c r="N43" i="25" s="1"/>
  <c r="L43" i="25"/>
  <c r="K9" i="25"/>
  <c r="M9" i="25" s="1"/>
  <c r="L9" i="25"/>
  <c r="K10" i="25"/>
  <c r="M10" i="25" s="1"/>
  <c r="L10" i="25"/>
  <c r="K24" i="25"/>
  <c r="M24" i="25" s="1"/>
  <c r="L24" i="25"/>
  <c r="K34" i="25"/>
  <c r="M34" i="25" s="1"/>
  <c r="L34" i="25"/>
  <c r="K44" i="25"/>
  <c r="M44" i="25" s="1"/>
  <c r="L44" i="25"/>
  <c r="K11" i="25"/>
  <c r="M11" i="25" s="1"/>
  <c r="L11" i="25"/>
  <c r="K12" i="25"/>
  <c r="M12" i="25" s="1"/>
  <c r="L12" i="25"/>
  <c r="K25" i="25"/>
  <c r="M25" i="25" s="1"/>
  <c r="L25" i="25"/>
  <c r="K35" i="25"/>
  <c r="M35" i="25" s="1"/>
  <c r="L35" i="25"/>
  <c r="K45" i="25"/>
  <c r="M45" i="25" s="1"/>
  <c r="L45" i="25"/>
  <c r="K13" i="25"/>
  <c r="N13" i="25" s="1"/>
  <c r="L13" i="25"/>
  <c r="K26" i="25"/>
  <c r="N26" i="25" s="1"/>
  <c r="L26" i="25"/>
  <c r="K36" i="25"/>
  <c r="N36" i="25" s="1"/>
  <c r="L36" i="25"/>
  <c r="K46" i="25"/>
  <c r="N46" i="25" s="1"/>
  <c r="L46" i="25"/>
  <c r="K14" i="25"/>
  <c r="M14" i="25" s="1"/>
  <c r="L14" i="25"/>
  <c r="K15" i="25"/>
  <c r="M15" i="25" s="1"/>
  <c r="L15" i="25"/>
  <c r="K27" i="25"/>
  <c r="M27" i="25" s="1"/>
  <c r="L27" i="25"/>
  <c r="K37" i="25"/>
  <c r="M37" i="25" s="1"/>
  <c r="L37" i="25"/>
  <c r="K47" i="25"/>
  <c r="M47" i="25" s="1"/>
  <c r="L47" i="25"/>
  <c r="K16" i="25"/>
  <c r="M16" i="25" s="1"/>
  <c r="L16" i="25"/>
  <c r="K17" i="25"/>
  <c r="M17" i="25" s="1"/>
  <c r="L17" i="25"/>
  <c r="K28" i="25"/>
  <c r="M28" i="25" s="1"/>
  <c r="L28" i="25"/>
  <c r="K38" i="25"/>
  <c r="M38" i="25" s="1"/>
  <c r="L38" i="25"/>
  <c r="K48" i="25"/>
  <c r="M48" i="25" s="1"/>
  <c r="L48" i="25"/>
  <c r="K18" i="25"/>
  <c r="M18" i="25" s="1"/>
  <c r="L18" i="25"/>
  <c r="K19" i="25"/>
  <c r="M19" i="25" s="1"/>
  <c r="L19" i="25"/>
  <c r="K29" i="25"/>
  <c r="M29" i="25" s="1"/>
  <c r="L29" i="25"/>
  <c r="K39" i="25"/>
  <c r="M39" i="25" s="1"/>
  <c r="L39" i="25"/>
  <c r="K49" i="25"/>
  <c r="M49" i="25" s="1"/>
  <c r="L49" i="25"/>
  <c r="L4" i="25"/>
  <c r="K4" i="25"/>
  <c r="K20" i="24" l="1"/>
  <c r="N20" i="24" s="1"/>
  <c r="L20" i="24"/>
  <c r="D20" i="24"/>
  <c r="K6" i="24"/>
  <c r="L6" i="24"/>
  <c r="K25" i="24"/>
  <c r="L25" i="24"/>
  <c r="K35" i="24"/>
  <c r="L35" i="24"/>
  <c r="K45" i="24"/>
  <c r="L45" i="24"/>
  <c r="K5" i="24"/>
  <c r="L5" i="24"/>
  <c r="K7" i="24"/>
  <c r="L7" i="24"/>
  <c r="K26" i="24"/>
  <c r="L26" i="24"/>
  <c r="K36" i="24"/>
  <c r="L36" i="24"/>
  <c r="K46" i="24"/>
  <c r="L46" i="24"/>
  <c r="K8" i="24"/>
  <c r="N8" i="24" s="1"/>
  <c r="L8" i="24"/>
  <c r="K16" i="24"/>
  <c r="N16" i="24" s="1"/>
  <c r="L16" i="24"/>
  <c r="K27" i="24"/>
  <c r="N27" i="24" s="1"/>
  <c r="L27" i="24"/>
  <c r="K37" i="24"/>
  <c r="N37" i="24" s="1"/>
  <c r="L37" i="24"/>
  <c r="K47" i="24"/>
  <c r="N47" i="24" s="1"/>
  <c r="L47" i="24"/>
  <c r="K9" i="24"/>
  <c r="M9" i="24" s="1"/>
  <c r="L9" i="24"/>
  <c r="K17" i="24"/>
  <c r="M17" i="24" s="1"/>
  <c r="L17" i="24"/>
  <c r="K28" i="24"/>
  <c r="M28" i="24" s="1"/>
  <c r="L28" i="24"/>
  <c r="K38" i="24"/>
  <c r="M38" i="24" s="1"/>
  <c r="L38" i="24"/>
  <c r="K48" i="24"/>
  <c r="M48" i="24" s="1"/>
  <c r="L48" i="24"/>
  <c r="K10" i="24"/>
  <c r="M10" i="24" s="1"/>
  <c r="L10" i="24"/>
  <c r="K18" i="24"/>
  <c r="M18" i="24" s="1"/>
  <c r="L18" i="24"/>
  <c r="K29" i="24"/>
  <c r="M29" i="24" s="1"/>
  <c r="L29" i="24"/>
  <c r="K39" i="24"/>
  <c r="M39" i="24" s="1"/>
  <c r="L39" i="24"/>
  <c r="K49" i="24"/>
  <c r="M49" i="24" s="1"/>
  <c r="L49" i="24"/>
  <c r="K11" i="24"/>
  <c r="N11" i="24" s="1"/>
  <c r="L11" i="24"/>
  <c r="K19" i="24"/>
  <c r="N19" i="24" s="1"/>
  <c r="L19" i="24"/>
  <c r="K30" i="24"/>
  <c r="N30" i="24" s="1"/>
  <c r="L30" i="24"/>
  <c r="K40" i="24"/>
  <c r="N40" i="24" s="1"/>
  <c r="L40" i="24"/>
  <c r="K50" i="24"/>
  <c r="N50" i="24" s="1"/>
  <c r="L50" i="24"/>
  <c r="K21" i="24"/>
  <c r="M21" i="24" s="1"/>
  <c r="L21" i="24"/>
  <c r="K12" i="24"/>
  <c r="M12" i="24" s="1"/>
  <c r="L12" i="24"/>
  <c r="K31" i="24"/>
  <c r="M31" i="24" s="1"/>
  <c r="L31" i="24"/>
  <c r="K41" i="24"/>
  <c r="M41" i="24" s="1"/>
  <c r="L41" i="24"/>
  <c r="K51" i="24"/>
  <c r="M51" i="24" s="1"/>
  <c r="L51" i="24"/>
  <c r="K22" i="24"/>
  <c r="M22" i="24" s="1"/>
  <c r="L22" i="24"/>
  <c r="K13" i="24"/>
  <c r="M13" i="24" s="1"/>
  <c r="L13" i="24"/>
  <c r="K32" i="24"/>
  <c r="M32" i="24" s="1"/>
  <c r="L32" i="24"/>
  <c r="K42" i="24"/>
  <c r="M42" i="24" s="1"/>
  <c r="L42" i="24"/>
  <c r="K52" i="24"/>
  <c r="M52" i="24" s="1"/>
  <c r="L52" i="24"/>
  <c r="K23" i="24"/>
  <c r="M23" i="24" s="1"/>
  <c r="L23" i="24"/>
  <c r="K14" i="24"/>
  <c r="M14" i="24" s="1"/>
  <c r="L14" i="24"/>
  <c r="K33" i="24"/>
  <c r="M33" i="24" s="1"/>
  <c r="L33" i="24"/>
  <c r="K43" i="24"/>
  <c r="M43" i="24" s="1"/>
  <c r="L43" i="24"/>
  <c r="K53" i="24"/>
  <c r="M53" i="24" s="1"/>
  <c r="L53" i="24"/>
  <c r="L4" i="24"/>
  <c r="K4" i="24"/>
  <c r="D6" i="24"/>
  <c r="D25" i="24"/>
  <c r="D35" i="24"/>
  <c r="D45" i="24"/>
  <c r="D5" i="24"/>
  <c r="D7" i="24"/>
  <c r="D26" i="24"/>
  <c r="D36" i="24"/>
  <c r="D46" i="24"/>
  <c r="D8" i="24"/>
  <c r="D16" i="24"/>
  <c r="D27" i="24"/>
  <c r="D37" i="24"/>
  <c r="D47" i="24"/>
  <c r="D9" i="24"/>
  <c r="D17" i="24"/>
  <c r="D28" i="24"/>
  <c r="D38" i="24"/>
  <c r="D48" i="24"/>
  <c r="D10" i="24"/>
  <c r="D18" i="24"/>
  <c r="D29" i="24"/>
  <c r="D39" i="24"/>
  <c r="D49" i="24"/>
  <c r="D11" i="24"/>
  <c r="D19" i="24"/>
  <c r="D30" i="24"/>
  <c r="D40" i="24"/>
  <c r="D50" i="24"/>
  <c r="D21" i="24"/>
  <c r="D12" i="24"/>
  <c r="D31" i="24"/>
  <c r="D41" i="24"/>
  <c r="D51" i="24"/>
  <c r="D22" i="24"/>
  <c r="D13" i="24"/>
  <c r="D32" i="24"/>
  <c r="D42" i="24"/>
  <c r="D52" i="24"/>
  <c r="D23" i="24"/>
  <c r="D14" i="24"/>
  <c r="D33" i="24"/>
  <c r="D43" i="24"/>
  <c r="D53" i="24"/>
  <c r="D4" i="24"/>
  <c r="K6" i="22" l="1"/>
  <c r="L6" i="22"/>
  <c r="K23" i="22"/>
  <c r="L23" i="22"/>
  <c r="K33" i="22"/>
  <c r="L33" i="22"/>
  <c r="K43" i="22"/>
  <c r="L43" i="22"/>
  <c r="K53" i="22"/>
  <c r="L53" i="22"/>
  <c r="K5" i="22"/>
  <c r="L5" i="22"/>
  <c r="K7" i="22"/>
  <c r="L7" i="22"/>
  <c r="K24" i="22"/>
  <c r="L24" i="22"/>
  <c r="K34" i="22"/>
  <c r="L34" i="22"/>
  <c r="K44" i="22"/>
  <c r="L44" i="22"/>
  <c r="K54" i="22"/>
  <c r="L54" i="22"/>
  <c r="K8" i="22"/>
  <c r="N8" i="22" s="1"/>
  <c r="L8" i="22"/>
  <c r="K9" i="22"/>
  <c r="N9" i="22" s="1"/>
  <c r="L9" i="22"/>
  <c r="K25" i="22"/>
  <c r="N25" i="22" s="1"/>
  <c r="L25" i="22"/>
  <c r="K35" i="22"/>
  <c r="N35" i="22" s="1"/>
  <c r="L35" i="22"/>
  <c r="K45" i="22"/>
  <c r="N45" i="22" s="1"/>
  <c r="L45" i="22"/>
  <c r="K55" i="22"/>
  <c r="N55" i="22" s="1"/>
  <c r="L55" i="22"/>
  <c r="K10" i="22"/>
  <c r="M10" i="22" s="1"/>
  <c r="L10" i="22"/>
  <c r="K11" i="22"/>
  <c r="M11" i="22" s="1"/>
  <c r="L11" i="22"/>
  <c r="K26" i="22"/>
  <c r="M26" i="22" s="1"/>
  <c r="L26" i="22"/>
  <c r="K36" i="22"/>
  <c r="M36" i="22" s="1"/>
  <c r="L36" i="22"/>
  <c r="K46" i="22"/>
  <c r="M46" i="22" s="1"/>
  <c r="L46" i="22"/>
  <c r="K56" i="22"/>
  <c r="M56" i="22" s="1"/>
  <c r="L56" i="22"/>
  <c r="K12" i="22"/>
  <c r="M12" i="22" s="1"/>
  <c r="L12" i="22"/>
  <c r="K13" i="22"/>
  <c r="M13" i="22" s="1"/>
  <c r="L13" i="22"/>
  <c r="K27" i="22"/>
  <c r="M27" i="22" s="1"/>
  <c r="L27" i="22"/>
  <c r="K37" i="22"/>
  <c r="M37" i="22" s="1"/>
  <c r="L37" i="22"/>
  <c r="K47" i="22"/>
  <c r="M47" i="22" s="1"/>
  <c r="L47" i="22"/>
  <c r="K57" i="22"/>
  <c r="M57" i="22" s="1"/>
  <c r="L57" i="22"/>
  <c r="K14" i="22"/>
  <c r="N14" i="22" s="1"/>
  <c r="L14" i="22"/>
  <c r="K15" i="22"/>
  <c r="N15" i="22" s="1"/>
  <c r="L15" i="22"/>
  <c r="K28" i="22"/>
  <c r="N28" i="22" s="1"/>
  <c r="L28" i="22"/>
  <c r="K38" i="22"/>
  <c r="N38" i="22" s="1"/>
  <c r="L38" i="22"/>
  <c r="K48" i="22"/>
  <c r="N48" i="22" s="1"/>
  <c r="L48" i="22"/>
  <c r="K58" i="22"/>
  <c r="N58" i="22" s="1"/>
  <c r="L58" i="22"/>
  <c r="K16" i="22"/>
  <c r="M16" i="22" s="1"/>
  <c r="L16" i="22"/>
  <c r="K17" i="22"/>
  <c r="M17" i="22" s="1"/>
  <c r="L17" i="22"/>
  <c r="K29" i="22"/>
  <c r="M29" i="22" s="1"/>
  <c r="L29" i="22"/>
  <c r="K39" i="22"/>
  <c r="M39" i="22" s="1"/>
  <c r="L39" i="22"/>
  <c r="K49" i="22"/>
  <c r="M49" i="22" s="1"/>
  <c r="L49" i="22"/>
  <c r="K59" i="22"/>
  <c r="M59" i="22" s="1"/>
  <c r="L59" i="22"/>
  <c r="K18" i="22"/>
  <c r="M18" i="22" s="1"/>
  <c r="L18" i="22"/>
  <c r="K19" i="22"/>
  <c r="M19" i="22" s="1"/>
  <c r="L19" i="22"/>
  <c r="K30" i="22"/>
  <c r="M30" i="22" s="1"/>
  <c r="L30" i="22"/>
  <c r="K40" i="22"/>
  <c r="M40" i="22" s="1"/>
  <c r="L40" i="22"/>
  <c r="K50" i="22"/>
  <c r="M50" i="22" s="1"/>
  <c r="L50" i="22"/>
  <c r="K60" i="22"/>
  <c r="M60" i="22" s="1"/>
  <c r="L60" i="22"/>
  <c r="K20" i="22"/>
  <c r="M20" i="22" s="1"/>
  <c r="L20" i="22"/>
  <c r="K21" i="22"/>
  <c r="M21" i="22" s="1"/>
  <c r="L21" i="22"/>
  <c r="K31" i="22"/>
  <c r="M31" i="22" s="1"/>
  <c r="L31" i="22"/>
  <c r="K41" i="22"/>
  <c r="M41" i="22" s="1"/>
  <c r="L41" i="22"/>
  <c r="K51" i="22"/>
  <c r="M51" i="22" s="1"/>
  <c r="L51" i="22"/>
  <c r="K61" i="22"/>
  <c r="M61" i="22" s="1"/>
  <c r="L61" i="22"/>
  <c r="L4" i="22"/>
  <c r="K4" i="22"/>
  <c r="D6" i="22"/>
  <c r="D23" i="22"/>
  <c r="D33" i="22"/>
  <c r="D43" i="22"/>
  <c r="D53" i="22"/>
  <c r="D5" i="22"/>
  <c r="D7" i="22"/>
  <c r="D24" i="22"/>
  <c r="D34" i="22"/>
  <c r="D44" i="22"/>
  <c r="D54" i="22"/>
  <c r="D8" i="22"/>
  <c r="D9" i="22"/>
  <c r="D25" i="22"/>
  <c r="D35" i="22"/>
  <c r="D45" i="22"/>
  <c r="D55" i="22"/>
  <c r="D10" i="22"/>
  <c r="D11" i="22"/>
  <c r="D26" i="22"/>
  <c r="D36" i="22"/>
  <c r="D46" i="22"/>
  <c r="D56" i="22"/>
  <c r="D12" i="22"/>
  <c r="D13" i="22"/>
  <c r="D27" i="22"/>
  <c r="D37" i="22"/>
  <c r="D47" i="22"/>
  <c r="D57" i="22"/>
  <c r="D14" i="22"/>
  <c r="D15" i="22"/>
  <c r="D28" i="22"/>
  <c r="D38" i="22"/>
  <c r="D48" i="22"/>
  <c r="D58" i="22"/>
  <c r="D16" i="22"/>
  <c r="D17" i="22"/>
  <c r="D29" i="22"/>
  <c r="D39" i="22"/>
  <c r="D49" i="22"/>
  <c r="D59" i="22"/>
  <c r="D18" i="22"/>
  <c r="D19" i="22"/>
  <c r="D30" i="22"/>
  <c r="D40" i="22"/>
  <c r="D50" i="22"/>
  <c r="D60" i="22"/>
  <c r="D20" i="22"/>
  <c r="D21" i="22"/>
  <c r="D31" i="22"/>
  <c r="D41" i="22"/>
  <c r="D51" i="22"/>
  <c r="D61" i="22"/>
  <c r="D4" i="22"/>
  <c r="D27" i="21" l="1"/>
  <c r="D28" i="21"/>
  <c r="D29" i="21"/>
  <c r="D30" i="21"/>
  <c r="D31" i="21"/>
  <c r="D32" i="21"/>
  <c r="D33" i="21"/>
  <c r="D26" i="21"/>
  <c r="K27" i="21"/>
  <c r="L27" i="21"/>
  <c r="K28" i="21"/>
  <c r="L28" i="21"/>
  <c r="K29" i="21"/>
  <c r="L29" i="21"/>
  <c r="K30" i="21"/>
  <c r="L30" i="21"/>
  <c r="K31" i="21"/>
  <c r="L31" i="21"/>
  <c r="K32" i="21"/>
  <c r="M32" i="21" s="1"/>
  <c r="L32" i="21"/>
  <c r="K33" i="21"/>
  <c r="M33" i="21" s="1"/>
  <c r="L33" i="21"/>
  <c r="L26" i="21"/>
  <c r="K26" i="21"/>
  <c r="D38" i="20"/>
  <c r="L44" i="21"/>
  <c r="K44" i="21"/>
  <c r="N44" i="21" s="1"/>
  <c r="D44" i="21"/>
  <c r="D17" i="21"/>
  <c r="D35" i="21"/>
  <c r="D46" i="21"/>
  <c r="D5" i="21"/>
  <c r="D18" i="21"/>
  <c r="D36" i="21"/>
  <c r="D47" i="21"/>
  <c r="D6" i="21"/>
  <c r="D19" i="21"/>
  <c r="D37" i="21"/>
  <c r="D48" i="21"/>
  <c r="D7" i="21"/>
  <c r="D8" i="21"/>
  <c r="D20" i="21"/>
  <c r="D38" i="21"/>
  <c r="D49" i="21"/>
  <c r="D9" i="21"/>
  <c r="D10" i="21"/>
  <c r="D21" i="21"/>
  <c r="D39" i="21"/>
  <c r="D50" i="21"/>
  <c r="D11" i="21"/>
  <c r="D22" i="21"/>
  <c r="D40" i="21"/>
  <c r="D51" i="21"/>
  <c r="D12" i="21"/>
  <c r="D23" i="21"/>
  <c r="D41" i="21"/>
  <c r="D52" i="21"/>
  <c r="D13" i="21"/>
  <c r="D24" i="21"/>
  <c r="D42" i="21"/>
  <c r="D53" i="21"/>
  <c r="D14" i="21"/>
  <c r="D15" i="21"/>
  <c r="D25" i="21"/>
  <c r="D43" i="21"/>
  <c r="D54" i="21"/>
  <c r="D4" i="21"/>
  <c r="K17" i="21"/>
  <c r="L17" i="21"/>
  <c r="K35" i="21"/>
  <c r="L35" i="21"/>
  <c r="K46" i="21"/>
  <c r="L46" i="21"/>
  <c r="K5" i="21"/>
  <c r="L5" i="21"/>
  <c r="K18" i="21"/>
  <c r="L18" i="21"/>
  <c r="K36" i="21"/>
  <c r="L36" i="21"/>
  <c r="K47" i="21"/>
  <c r="L47" i="21"/>
  <c r="K6" i="21"/>
  <c r="N6" i="21" s="1"/>
  <c r="L6" i="21"/>
  <c r="K19" i="21"/>
  <c r="N19" i="21" s="1"/>
  <c r="L19" i="21"/>
  <c r="K37" i="21"/>
  <c r="N37" i="21" s="1"/>
  <c r="L37" i="21"/>
  <c r="K48" i="21"/>
  <c r="N48" i="21" s="1"/>
  <c r="L48" i="21"/>
  <c r="K7" i="21"/>
  <c r="M7" i="21" s="1"/>
  <c r="L7" i="21"/>
  <c r="K8" i="21"/>
  <c r="M8" i="21" s="1"/>
  <c r="L8" i="21"/>
  <c r="K20" i="21"/>
  <c r="M20" i="21" s="1"/>
  <c r="L20" i="21"/>
  <c r="K38" i="21"/>
  <c r="M38" i="21" s="1"/>
  <c r="L38" i="21"/>
  <c r="K49" i="21"/>
  <c r="M49" i="21" s="1"/>
  <c r="L49" i="21"/>
  <c r="K9" i="21"/>
  <c r="M9" i="21" s="1"/>
  <c r="L9" i="21"/>
  <c r="K10" i="21"/>
  <c r="M10" i="21" s="1"/>
  <c r="L10" i="21"/>
  <c r="K21" i="21"/>
  <c r="M21" i="21" s="1"/>
  <c r="L21" i="21"/>
  <c r="K39" i="21"/>
  <c r="M39" i="21" s="1"/>
  <c r="L39" i="21"/>
  <c r="K50" i="21"/>
  <c r="M50" i="21" s="1"/>
  <c r="L50" i="21"/>
  <c r="K11" i="21"/>
  <c r="N11" i="21" s="1"/>
  <c r="L11" i="21"/>
  <c r="K22" i="21"/>
  <c r="N22" i="21" s="1"/>
  <c r="L22" i="21"/>
  <c r="K40" i="21"/>
  <c r="N40" i="21" s="1"/>
  <c r="L40" i="21"/>
  <c r="K51" i="21"/>
  <c r="N51" i="21" s="1"/>
  <c r="L51" i="21"/>
  <c r="K12" i="21"/>
  <c r="M12" i="21" s="1"/>
  <c r="L12" i="21"/>
  <c r="K23" i="21"/>
  <c r="M23" i="21" s="1"/>
  <c r="L23" i="21"/>
  <c r="K41" i="21"/>
  <c r="M41" i="21" s="1"/>
  <c r="L41" i="21"/>
  <c r="K52" i="21"/>
  <c r="M52" i="21" s="1"/>
  <c r="L52" i="21"/>
  <c r="K13" i="21"/>
  <c r="M13" i="21" s="1"/>
  <c r="L13" i="21"/>
  <c r="K24" i="21"/>
  <c r="M24" i="21" s="1"/>
  <c r="L24" i="21"/>
  <c r="K42" i="21"/>
  <c r="M42" i="21" s="1"/>
  <c r="L42" i="21"/>
  <c r="K53" i="21"/>
  <c r="M53" i="21" s="1"/>
  <c r="L53" i="21"/>
  <c r="K14" i="21"/>
  <c r="M14" i="21" s="1"/>
  <c r="L14" i="21"/>
  <c r="K15" i="21"/>
  <c r="M15" i="21" s="1"/>
  <c r="L15" i="21"/>
  <c r="K25" i="21"/>
  <c r="M25" i="21" s="1"/>
  <c r="L25" i="21"/>
  <c r="K43" i="21"/>
  <c r="M43" i="21" s="1"/>
  <c r="L43" i="21"/>
  <c r="K54" i="21"/>
  <c r="M54" i="21" s="1"/>
  <c r="L54" i="21"/>
  <c r="L4" i="21"/>
  <c r="K4" i="21"/>
  <c r="D52" i="17" l="1"/>
  <c r="K52" i="17"/>
  <c r="N52" i="17" s="1"/>
  <c r="L52" i="17"/>
  <c r="D53" i="17"/>
  <c r="K53" i="17"/>
  <c r="M53" i="17" s="1"/>
  <c r="L53" i="17"/>
  <c r="D54" i="17"/>
  <c r="K54" i="17"/>
  <c r="M54" i="17" s="1"/>
  <c r="L54" i="17"/>
  <c r="D55" i="17"/>
  <c r="K55" i="17"/>
  <c r="N55" i="17" s="1"/>
  <c r="L55" i="17"/>
  <c r="D56" i="17"/>
  <c r="K56" i="17"/>
  <c r="M56" i="17" s="1"/>
  <c r="L56" i="17"/>
  <c r="D57" i="17"/>
  <c r="K57" i="17"/>
  <c r="M57" i="17" s="1"/>
  <c r="L57" i="17"/>
  <c r="D58" i="17"/>
  <c r="K58" i="17"/>
  <c r="M58" i="17" s="1"/>
  <c r="L58" i="17"/>
  <c r="D51" i="15"/>
  <c r="K51" i="15"/>
  <c r="L51" i="15"/>
  <c r="N51" i="15"/>
  <c r="D52" i="15"/>
  <c r="K52" i="15"/>
  <c r="L52" i="15"/>
  <c r="M52" i="15"/>
  <c r="D53" i="15"/>
  <c r="K53" i="15"/>
  <c r="L53" i="15"/>
  <c r="M53" i="15"/>
  <c r="D54" i="15"/>
  <c r="K54" i="15"/>
  <c r="L54" i="15"/>
  <c r="N54" i="15"/>
  <c r="D55" i="15"/>
  <c r="K55" i="15"/>
  <c r="M55" i="15" s="1"/>
  <c r="L55" i="15"/>
  <c r="D56" i="15"/>
  <c r="K56" i="15"/>
  <c r="L56" i="15"/>
  <c r="M56" i="15"/>
  <c r="D57" i="15"/>
  <c r="K57" i="15"/>
  <c r="L57" i="15"/>
  <c r="M57" i="15"/>
  <c r="K6" i="20" l="1"/>
  <c r="L6" i="20"/>
  <c r="K21" i="20"/>
  <c r="L21" i="20"/>
  <c r="K31" i="20"/>
  <c r="L31" i="20"/>
  <c r="K41" i="20"/>
  <c r="L41" i="20"/>
  <c r="K5" i="20"/>
  <c r="L5" i="20"/>
  <c r="K7" i="20"/>
  <c r="L7" i="20"/>
  <c r="K22" i="20"/>
  <c r="L22" i="20"/>
  <c r="K32" i="20"/>
  <c r="L32" i="20"/>
  <c r="K42" i="20"/>
  <c r="L42" i="20"/>
  <c r="K8" i="20"/>
  <c r="N8" i="20" s="1"/>
  <c r="L8" i="20"/>
  <c r="K23" i="20"/>
  <c r="N23" i="20" s="1"/>
  <c r="L23" i="20"/>
  <c r="K33" i="20"/>
  <c r="N33" i="20" s="1"/>
  <c r="L33" i="20"/>
  <c r="K43" i="20"/>
  <c r="N43" i="20" s="1"/>
  <c r="L43" i="20"/>
  <c r="K9" i="20"/>
  <c r="M9" i="20" s="1"/>
  <c r="L9" i="20"/>
  <c r="K10" i="20"/>
  <c r="M10" i="20" s="1"/>
  <c r="L10" i="20"/>
  <c r="K24" i="20"/>
  <c r="M24" i="20" s="1"/>
  <c r="L24" i="20"/>
  <c r="K34" i="20"/>
  <c r="M34" i="20" s="1"/>
  <c r="L34" i="20"/>
  <c r="K44" i="20"/>
  <c r="M44" i="20" s="1"/>
  <c r="L44" i="20"/>
  <c r="K11" i="20"/>
  <c r="M11" i="20" s="1"/>
  <c r="L11" i="20"/>
  <c r="K12" i="20"/>
  <c r="M12" i="20" s="1"/>
  <c r="L12" i="20"/>
  <c r="K25" i="20"/>
  <c r="M25" i="20" s="1"/>
  <c r="L25" i="20"/>
  <c r="K35" i="20"/>
  <c r="M35" i="20" s="1"/>
  <c r="L35" i="20"/>
  <c r="K45" i="20"/>
  <c r="M45" i="20" s="1"/>
  <c r="L45" i="20"/>
  <c r="K13" i="20"/>
  <c r="N13" i="20" s="1"/>
  <c r="L13" i="20"/>
  <c r="K26" i="20"/>
  <c r="N26" i="20" s="1"/>
  <c r="L26" i="20"/>
  <c r="K36" i="20"/>
  <c r="N36" i="20" s="1"/>
  <c r="L36" i="20"/>
  <c r="K46" i="20"/>
  <c r="N46" i="20" s="1"/>
  <c r="L46" i="20"/>
  <c r="K14" i="20"/>
  <c r="M14" i="20" s="1"/>
  <c r="L14" i="20"/>
  <c r="K15" i="20"/>
  <c r="M15" i="20" s="1"/>
  <c r="L15" i="20"/>
  <c r="K27" i="20"/>
  <c r="M27" i="20" s="1"/>
  <c r="L27" i="20"/>
  <c r="K37" i="20"/>
  <c r="M37" i="20" s="1"/>
  <c r="L37" i="20"/>
  <c r="K47" i="20"/>
  <c r="M47" i="20" s="1"/>
  <c r="L47" i="20"/>
  <c r="K16" i="20"/>
  <c r="M16" i="20" s="1"/>
  <c r="L16" i="20"/>
  <c r="K17" i="20"/>
  <c r="M17" i="20" s="1"/>
  <c r="L17" i="20"/>
  <c r="K28" i="20"/>
  <c r="M28" i="20" s="1"/>
  <c r="L28" i="20"/>
  <c r="K38" i="20"/>
  <c r="M38" i="20" s="1"/>
  <c r="L38" i="20"/>
  <c r="K48" i="20"/>
  <c r="M48" i="20" s="1"/>
  <c r="L48" i="20"/>
  <c r="K18" i="20"/>
  <c r="M18" i="20" s="1"/>
  <c r="L18" i="20"/>
  <c r="K19" i="20"/>
  <c r="M19" i="20" s="1"/>
  <c r="L19" i="20"/>
  <c r="K29" i="20"/>
  <c r="M29" i="20" s="1"/>
  <c r="L29" i="20"/>
  <c r="K39" i="20"/>
  <c r="M39" i="20" s="1"/>
  <c r="L39" i="20"/>
  <c r="K49" i="20"/>
  <c r="M49" i="20" s="1"/>
  <c r="L49" i="20"/>
  <c r="L4" i="20"/>
  <c r="K4" i="20"/>
  <c r="D6" i="20"/>
  <c r="D21" i="20"/>
  <c r="D31" i="20"/>
  <c r="D41" i="20"/>
  <c r="D5" i="20"/>
  <c r="D7" i="20"/>
  <c r="D22" i="20"/>
  <c r="D32" i="20"/>
  <c r="D42" i="20"/>
  <c r="D8" i="20"/>
  <c r="D23" i="20"/>
  <c r="D33" i="20"/>
  <c r="D43" i="20"/>
  <c r="D9" i="20"/>
  <c r="D10" i="20"/>
  <c r="D24" i="20"/>
  <c r="D34" i="20"/>
  <c r="D44" i="20"/>
  <c r="D11" i="20"/>
  <c r="D12" i="20"/>
  <c r="D25" i="20"/>
  <c r="D35" i="20"/>
  <c r="D45" i="20"/>
  <c r="D13" i="20"/>
  <c r="D26" i="20"/>
  <c r="D36" i="20"/>
  <c r="D46" i="20"/>
  <c r="D14" i="20"/>
  <c r="D15" i="20"/>
  <c r="D27" i="20"/>
  <c r="D37" i="20"/>
  <c r="D47" i="20"/>
  <c r="D16" i="20"/>
  <c r="D17" i="20"/>
  <c r="D28" i="20"/>
  <c r="D48" i="20"/>
  <c r="D18" i="20"/>
  <c r="D19" i="20"/>
  <c r="D29" i="20"/>
  <c r="D39" i="20"/>
  <c r="D49" i="20"/>
  <c r="D4" i="20"/>
  <c r="K6" i="17" l="1"/>
  <c r="L6" i="17"/>
  <c r="K23" i="17"/>
  <c r="L23" i="17"/>
  <c r="K33" i="17"/>
  <c r="L33" i="17"/>
  <c r="K42" i="17"/>
  <c r="L42" i="17"/>
  <c r="K5" i="17"/>
  <c r="L5" i="17"/>
  <c r="K7" i="17"/>
  <c r="L7" i="17"/>
  <c r="K24" i="17"/>
  <c r="L24" i="17"/>
  <c r="K34" i="17"/>
  <c r="L34" i="17"/>
  <c r="K43" i="17"/>
  <c r="L43" i="17"/>
  <c r="K8" i="17"/>
  <c r="N8" i="17" s="1"/>
  <c r="L8" i="17"/>
  <c r="K9" i="17"/>
  <c r="N9" i="17" s="1"/>
  <c r="L9" i="17"/>
  <c r="K25" i="17"/>
  <c r="N25" i="17" s="1"/>
  <c r="L25" i="17"/>
  <c r="K35" i="17"/>
  <c r="N35" i="17" s="1"/>
  <c r="L35" i="17"/>
  <c r="K44" i="17"/>
  <c r="N44" i="17" s="1"/>
  <c r="L44" i="17"/>
  <c r="K10" i="17"/>
  <c r="M10" i="17" s="1"/>
  <c r="L10" i="17"/>
  <c r="K11" i="17"/>
  <c r="M11" i="17" s="1"/>
  <c r="L11" i="17"/>
  <c r="K26" i="17"/>
  <c r="M26" i="17" s="1"/>
  <c r="L26" i="17"/>
  <c r="K36" i="17"/>
  <c r="M36" i="17" s="1"/>
  <c r="L36" i="17"/>
  <c r="K45" i="17"/>
  <c r="M45" i="17" s="1"/>
  <c r="L45" i="17"/>
  <c r="K12" i="17"/>
  <c r="M12" i="17" s="1"/>
  <c r="L12" i="17"/>
  <c r="K13" i="17"/>
  <c r="M13" i="17" s="1"/>
  <c r="L13" i="17"/>
  <c r="K27" i="17"/>
  <c r="M27" i="17" s="1"/>
  <c r="L27" i="17"/>
  <c r="K37" i="17"/>
  <c r="M37" i="17" s="1"/>
  <c r="L37" i="17"/>
  <c r="K46" i="17"/>
  <c r="M46" i="17" s="1"/>
  <c r="L46" i="17"/>
  <c r="K14" i="17"/>
  <c r="N14" i="17" s="1"/>
  <c r="L14" i="17"/>
  <c r="K15" i="17"/>
  <c r="N15" i="17" s="1"/>
  <c r="L15" i="17"/>
  <c r="K28" i="17"/>
  <c r="N28" i="17" s="1"/>
  <c r="L28" i="17"/>
  <c r="K38" i="17"/>
  <c r="N38" i="17" s="1"/>
  <c r="L38" i="17"/>
  <c r="K47" i="17"/>
  <c r="N47" i="17" s="1"/>
  <c r="L47" i="17"/>
  <c r="K16" i="17"/>
  <c r="M16" i="17" s="1"/>
  <c r="L16" i="17"/>
  <c r="K17" i="17"/>
  <c r="M17" i="17" s="1"/>
  <c r="L17" i="17"/>
  <c r="K29" i="17"/>
  <c r="M29" i="17" s="1"/>
  <c r="L29" i="17"/>
  <c r="K39" i="17"/>
  <c r="M39" i="17" s="1"/>
  <c r="L39" i="17"/>
  <c r="K48" i="17"/>
  <c r="M48" i="17" s="1"/>
  <c r="L48" i="17"/>
  <c r="K18" i="17"/>
  <c r="M18" i="17" s="1"/>
  <c r="L18" i="17"/>
  <c r="K19" i="17"/>
  <c r="M19" i="17" s="1"/>
  <c r="L19" i="17"/>
  <c r="K30" i="17"/>
  <c r="M30" i="17" s="1"/>
  <c r="L30" i="17"/>
  <c r="K40" i="17"/>
  <c r="M40" i="17" s="1"/>
  <c r="L40" i="17"/>
  <c r="K49" i="17"/>
  <c r="M49" i="17" s="1"/>
  <c r="L49" i="17"/>
  <c r="K20" i="17"/>
  <c r="M20" i="17" s="1"/>
  <c r="L20" i="17"/>
  <c r="K21" i="17"/>
  <c r="M21" i="17" s="1"/>
  <c r="L21" i="17"/>
  <c r="K31" i="17"/>
  <c r="M31" i="17" s="1"/>
  <c r="L31" i="17"/>
  <c r="K41" i="17"/>
  <c r="M41" i="17" s="1"/>
  <c r="L41" i="17"/>
  <c r="K50" i="17"/>
  <c r="M50" i="17" s="1"/>
  <c r="L50" i="17"/>
  <c r="L4" i="17"/>
  <c r="K4" i="17"/>
  <c r="D6" i="17"/>
  <c r="D23" i="17"/>
  <c r="D33" i="17"/>
  <c r="D42" i="17"/>
  <c r="D5" i="17"/>
  <c r="D7" i="17"/>
  <c r="D24" i="17"/>
  <c r="D34" i="17"/>
  <c r="D43" i="17"/>
  <c r="D8" i="17"/>
  <c r="D9" i="17"/>
  <c r="D25" i="17"/>
  <c r="D35" i="17"/>
  <c r="D44" i="17"/>
  <c r="D10" i="17"/>
  <c r="D11" i="17"/>
  <c r="D26" i="17"/>
  <c r="D36" i="17"/>
  <c r="D45" i="17"/>
  <c r="D12" i="17"/>
  <c r="D13" i="17"/>
  <c r="D27" i="17"/>
  <c r="D37" i="17"/>
  <c r="D46" i="17"/>
  <c r="D14" i="17"/>
  <c r="D15" i="17"/>
  <c r="D28" i="17"/>
  <c r="D38" i="17"/>
  <c r="D47" i="17"/>
  <c r="D16" i="17"/>
  <c r="D17" i="17"/>
  <c r="D29" i="17"/>
  <c r="D39" i="17"/>
  <c r="D48" i="17"/>
  <c r="D18" i="17"/>
  <c r="D19" i="17"/>
  <c r="D30" i="17"/>
  <c r="D40" i="17"/>
  <c r="D49" i="17"/>
  <c r="D20" i="17"/>
  <c r="D21" i="17"/>
  <c r="D31" i="17"/>
  <c r="D41" i="17"/>
  <c r="D50" i="17"/>
  <c r="D4" i="17"/>
  <c r="D14" i="15" l="1"/>
  <c r="K14" i="15"/>
  <c r="L14" i="15"/>
  <c r="K24" i="15"/>
  <c r="L24" i="15"/>
  <c r="K31" i="15"/>
  <c r="L31" i="15"/>
  <c r="K41" i="15"/>
  <c r="L41" i="15"/>
  <c r="K5" i="15"/>
  <c r="L5" i="15"/>
  <c r="K15" i="15"/>
  <c r="L15" i="15"/>
  <c r="K25" i="15"/>
  <c r="L25" i="15"/>
  <c r="K32" i="15"/>
  <c r="L32" i="15"/>
  <c r="K42" i="15"/>
  <c r="L42" i="15"/>
  <c r="K6" i="15"/>
  <c r="N6" i="15" s="1"/>
  <c r="L6" i="15"/>
  <c r="K16" i="15"/>
  <c r="N16" i="15" s="1"/>
  <c r="L16" i="15"/>
  <c r="K33" i="15"/>
  <c r="N33" i="15" s="1"/>
  <c r="L33" i="15"/>
  <c r="K43" i="15"/>
  <c r="N43" i="15" s="1"/>
  <c r="L43" i="15"/>
  <c r="K7" i="15"/>
  <c r="M7" i="15" s="1"/>
  <c r="L7" i="15"/>
  <c r="K17" i="15"/>
  <c r="M17" i="15" s="1"/>
  <c r="L17" i="15"/>
  <c r="K26" i="15"/>
  <c r="M26" i="15" s="1"/>
  <c r="L26" i="15"/>
  <c r="K34" i="15"/>
  <c r="M34" i="15" s="1"/>
  <c r="L34" i="15"/>
  <c r="K44" i="15"/>
  <c r="M44" i="15" s="1"/>
  <c r="L44" i="15"/>
  <c r="K8" i="15"/>
  <c r="M8" i="15" s="1"/>
  <c r="L8" i="15"/>
  <c r="K18" i="15"/>
  <c r="M18" i="15" s="1"/>
  <c r="L18" i="15"/>
  <c r="K19" i="15"/>
  <c r="M19" i="15" s="1"/>
  <c r="L19" i="15"/>
  <c r="K35" i="15"/>
  <c r="M35" i="15" s="1"/>
  <c r="L35" i="15"/>
  <c r="K45" i="15"/>
  <c r="M45" i="15" s="1"/>
  <c r="L45" i="15"/>
  <c r="K9" i="15"/>
  <c r="N9" i="15" s="1"/>
  <c r="L9" i="15"/>
  <c r="K20" i="15"/>
  <c r="N20" i="15" s="1"/>
  <c r="L20" i="15"/>
  <c r="K36" i="15"/>
  <c r="N36" i="15" s="1"/>
  <c r="L36" i="15"/>
  <c r="K46" i="15"/>
  <c r="N46" i="15" s="1"/>
  <c r="L46" i="15"/>
  <c r="K10" i="15"/>
  <c r="M10" i="15" s="1"/>
  <c r="L10" i="15"/>
  <c r="K21" i="15"/>
  <c r="M21" i="15" s="1"/>
  <c r="L21" i="15"/>
  <c r="K27" i="15"/>
  <c r="M27" i="15" s="1"/>
  <c r="L27" i="15"/>
  <c r="K37" i="15"/>
  <c r="M37" i="15" s="1"/>
  <c r="L37" i="15"/>
  <c r="K47" i="15"/>
  <c r="M47" i="15" s="1"/>
  <c r="L47" i="15"/>
  <c r="K11" i="15"/>
  <c r="M11" i="15" s="1"/>
  <c r="L11" i="15"/>
  <c r="K22" i="15"/>
  <c r="M22" i="15" s="1"/>
  <c r="L22" i="15"/>
  <c r="K28" i="15"/>
  <c r="M28" i="15" s="1"/>
  <c r="L28" i="15"/>
  <c r="K38" i="15"/>
  <c r="M38" i="15" s="1"/>
  <c r="L38" i="15"/>
  <c r="K48" i="15"/>
  <c r="M48" i="15" s="1"/>
  <c r="L48" i="15"/>
  <c r="K12" i="15"/>
  <c r="M12" i="15" s="1"/>
  <c r="L12" i="15"/>
  <c r="K23" i="15"/>
  <c r="M23" i="15" s="1"/>
  <c r="L23" i="15"/>
  <c r="K29" i="15"/>
  <c r="M29" i="15" s="1"/>
  <c r="L29" i="15"/>
  <c r="K39" i="15"/>
  <c r="M39" i="15" s="1"/>
  <c r="L39" i="15"/>
  <c r="K49" i="15"/>
  <c r="M49" i="15" s="1"/>
  <c r="L49" i="15"/>
  <c r="L4" i="15"/>
  <c r="K4" i="15"/>
  <c r="D24" i="15"/>
  <c r="D31" i="15"/>
  <c r="D41" i="15"/>
  <c r="D5" i="15"/>
  <c r="D15" i="15"/>
  <c r="D25" i="15"/>
  <c r="D32" i="15"/>
  <c r="D42" i="15"/>
  <c r="D6" i="15"/>
  <c r="D16" i="15"/>
  <c r="D33" i="15"/>
  <c r="D43" i="15"/>
  <c r="D7" i="15"/>
  <c r="D17" i="15"/>
  <c r="D26" i="15"/>
  <c r="D34" i="15"/>
  <c r="D44" i="15"/>
  <c r="D8" i="15"/>
  <c r="D18" i="15"/>
  <c r="D19" i="15"/>
  <c r="D35" i="15"/>
  <c r="D45" i="15"/>
  <c r="D9" i="15"/>
  <c r="D20" i="15"/>
  <c r="D36" i="15"/>
  <c r="D46" i="15"/>
  <c r="D10" i="15"/>
  <c r="D21" i="15"/>
  <c r="D27" i="15"/>
  <c r="D37" i="15"/>
  <c r="D47" i="15"/>
  <c r="D11" i="15"/>
  <c r="D22" i="15"/>
  <c r="D28" i="15"/>
  <c r="D38" i="15"/>
  <c r="D48" i="15"/>
  <c r="D12" i="15"/>
  <c r="D23" i="15"/>
  <c r="D29" i="15"/>
  <c r="D39" i="15"/>
  <c r="D49" i="15"/>
  <c r="D4" i="15"/>
  <c r="K6" i="12" l="1"/>
  <c r="L6" i="12"/>
  <c r="K21" i="12"/>
  <c r="L21" i="12"/>
  <c r="K30" i="12"/>
  <c r="L30" i="12"/>
  <c r="K39" i="12"/>
  <c r="L39" i="12"/>
  <c r="K5" i="12"/>
  <c r="L5" i="12"/>
  <c r="K7" i="12"/>
  <c r="L7" i="12"/>
  <c r="K22" i="12"/>
  <c r="L22" i="12"/>
  <c r="K31" i="12"/>
  <c r="L31" i="12"/>
  <c r="K40" i="12"/>
  <c r="L40" i="12"/>
  <c r="K8" i="12"/>
  <c r="N8" i="12" s="1"/>
  <c r="L8" i="12"/>
  <c r="K9" i="12"/>
  <c r="N9" i="12" s="1"/>
  <c r="L9" i="12"/>
  <c r="K23" i="12"/>
  <c r="N23" i="12" s="1"/>
  <c r="L23" i="12"/>
  <c r="K32" i="12"/>
  <c r="N32" i="12" s="1"/>
  <c r="L32" i="12"/>
  <c r="K41" i="12"/>
  <c r="N41" i="12" s="1"/>
  <c r="L41" i="12"/>
  <c r="K10" i="12"/>
  <c r="M10" i="12" s="1"/>
  <c r="L10" i="12"/>
  <c r="K11" i="12"/>
  <c r="M11" i="12" s="1"/>
  <c r="L11" i="12"/>
  <c r="K24" i="12"/>
  <c r="M24" i="12" s="1"/>
  <c r="L24" i="12"/>
  <c r="K33" i="12"/>
  <c r="M33" i="12" s="1"/>
  <c r="L33" i="12"/>
  <c r="K12" i="12"/>
  <c r="M12" i="12" s="1"/>
  <c r="L12" i="12"/>
  <c r="K13" i="12"/>
  <c r="M13" i="12" s="1"/>
  <c r="L13" i="12"/>
  <c r="K25" i="12"/>
  <c r="M25" i="12" s="1"/>
  <c r="L25" i="12"/>
  <c r="K34" i="12"/>
  <c r="M34" i="12" s="1"/>
  <c r="L34" i="12"/>
  <c r="K14" i="12"/>
  <c r="M14" i="12" s="1"/>
  <c r="L14" i="12"/>
  <c r="K15" i="12"/>
  <c r="M15" i="12" s="1"/>
  <c r="L15" i="12"/>
  <c r="K26" i="12"/>
  <c r="M26" i="12" s="1"/>
  <c r="L26" i="12"/>
  <c r="K35" i="12"/>
  <c r="M35" i="12" s="1"/>
  <c r="L35" i="12"/>
  <c r="K42" i="12"/>
  <c r="M42" i="12" s="1"/>
  <c r="L42" i="12"/>
  <c r="K16" i="12"/>
  <c r="M16" i="12" s="1"/>
  <c r="L16" i="12"/>
  <c r="K17" i="12"/>
  <c r="M17" i="12" s="1"/>
  <c r="L17" i="12"/>
  <c r="K27" i="12"/>
  <c r="M27" i="12" s="1"/>
  <c r="L27" i="12"/>
  <c r="K36" i="12"/>
  <c r="M36" i="12" s="1"/>
  <c r="L36" i="12"/>
  <c r="K43" i="12"/>
  <c r="M43" i="12" s="1"/>
  <c r="L43" i="12"/>
  <c r="K18" i="12"/>
  <c r="M18" i="12" s="1"/>
  <c r="L18" i="12"/>
  <c r="K19" i="12"/>
  <c r="M19" i="12" s="1"/>
  <c r="L19" i="12"/>
  <c r="K28" i="12"/>
  <c r="M28" i="12" s="1"/>
  <c r="L28" i="12"/>
  <c r="K37" i="12"/>
  <c r="M37" i="12" s="1"/>
  <c r="L37" i="12"/>
  <c r="K44" i="12"/>
  <c r="M44" i="12" s="1"/>
  <c r="L44" i="12"/>
  <c r="L4" i="12"/>
  <c r="K4" i="12"/>
  <c r="D6" i="12"/>
  <c r="D21" i="12"/>
  <c r="D30" i="12"/>
  <c r="D39" i="12"/>
  <c r="D5" i="12"/>
  <c r="D7" i="12"/>
  <c r="D22" i="12"/>
  <c r="D31" i="12"/>
  <c r="D40" i="12"/>
  <c r="D8" i="12"/>
  <c r="D9" i="12"/>
  <c r="D23" i="12"/>
  <c r="D32" i="12"/>
  <c r="D41" i="12"/>
  <c r="D10" i="12"/>
  <c r="D11" i="12"/>
  <c r="D24" i="12"/>
  <c r="D33" i="12"/>
  <c r="D12" i="12"/>
  <c r="D13" i="12"/>
  <c r="D25" i="12"/>
  <c r="D34" i="12"/>
  <c r="D14" i="12"/>
  <c r="D15" i="12"/>
  <c r="D26" i="12"/>
  <c r="D35" i="12"/>
  <c r="D42" i="12"/>
  <c r="D16" i="12"/>
  <c r="D17" i="12"/>
  <c r="D27" i="12"/>
  <c r="D36" i="12"/>
  <c r="D43" i="12"/>
  <c r="D18" i="12"/>
  <c r="D19" i="12"/>
  <c r="D28" i="12"/>
  <c r="D37" i="12"/>
  <c r="D44" i="12"/>
  <c r="D4" i="12"/>
  <c r="D6" i="11" l="1"/>
  <c r="D5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2" i="11"/>
  <c r="D23" i="11"/>
  <c r="D24" i="11"/>
  <c r="D25" i="11"/>
  <c r="D26" i="11"/>
  <c r="D27" i="11"/>
  <c r="D28" i="11"/>
  <c r="D29" i="11"/>
  <c r="D30" i="11"/>
  <c r="D32" i="11"/>
  <c r="D33" i="11"/>
  <c r="D34" i="11"/>
  <c r="D35" i="11"/>
  <c r="D36" i="11"/>
  <c r="D37" i="11"/>
  <c r="D38" i="11"/>
  <c r="D39" i="11"/>
  <c r="D40" i="11"/>
  <c r="D42" i="11"/>
  <c r="D43" i="11"/>
  <c r="D44" i="11"/>
  <c r="D45" i="11"/>
  <c r="D46" i="11"/>
  <c r="D47" i="11"/>
  <c r="D48" i="11"/>
  <c r="D49" i="11"/>
  <c r="D50" i="11"/>
  <c r="D4" i="11"/>
  <c r="K6" i="11"/>
  <c r="L6" i="11"/>
  <c r="K5" i="11"/>
  <c r="L5" i="11"/>
  <c r="K7" i="11"/>
  <c r="L7" i="11"/>
  <c r="K8" i="11"/>
  <c r="N8" i="11" s="1"/>
  <c r="L8" i="11"/>
  <c r="K9" i="11"/>
  <c r="M9" i="11" s="1"/>
  <c r="L9" i="11"/>
  <c r="K10" i="11"/>
  <c r="M10" i="11" s="1"/>
  <c r="L10" i="11"/>
  <c r="K11" i="11"/>
  <c r="M11" i="11" s="1"/>
  <c r="L11" i="11"/>
  <c r="K12" i="11"/>
  <c r="M12" i="11" s="1"/>
  <c r="L12" i="11"/>
  <c r="K13" i="11"/>
  <c r="N13" i="11" s="1"/>
  <c r="L13" i="11"/>
  <c r="K14" i="11"/>
  <c r="N14" i="11" s="1"/>
  <c r="L14" i="11"/>
  <c r="K15" i="11"/>
  <c r="M15" i="11" s="1"/>
  <c r="L15" i="11"/>
  <c r="K16" i="11"/>
  <c r="M16" i="11" s="1"/>
  <c r="L16" i="11"/>
  <c r="K17" i="11"/>
  <c r="M17" i="11" s="1"/>
  <c r="L17" i="11"/>
  <c r="K18" i="11"/>
  <c r="M18" i="11" s="1"/>
  <c r="L18" i="11"/>
  <c r="K19" i="11"/>
  <c r="M19" i="11" s="1"/>
  <c r="L19" i="11"/>
  <c r="K20" i="11"/>
  <c r="M20" i="11" s="1"/>
  <c r="L20" i="11"/>
  <c r="K22" i="11"/>
  <c r="L22" i="11"/>
  <c r="K23" i="11"/>
  <c r="L23" i="11"/>
  <c r="K24" i="11"/>
  <c r="N24" i="11" s="1"/>
  <c r="L24" i="11"/>
  <c r="K25" i="11"/>
  <c r="M25" i="11" s="1"/>
  <c r="L25" i="11"/>
  <c r="K26" i="11"/>
  <c r="M26" i="11" s="1"/>
  <c r="L26" i="11"/>
  <c r="K27" i="11"/>
  <c r="N27" i="11" s="1"/>
  <c r="L27" i="11"/>
  <c r="K28" i="11"/>
  <c r="M28" i="11" s="1"/>
  <c r="L28" i="11"/>
  <c r="K29" i="11"/>
  <c r="M29" i="11" s="1"/>
  <c r="L29" i="11"/>
  <c r="K30" i="11"/>
  <c r="M30" i="11" s="1"/>
  <c r="L30" i="11"/>
  <c r="K32" i="11"/>
  <c r="L32" i="11"/>
  <c r="K33" i="11"/>
  <c r="L33" i="11"/>
  <c r="K34" i="11"/>
  <c r="N34" i="11" s="1"/>
  <c r="L34" i="11"/>
  <c r="K35" i="11"/>
  <c r="M35" i="11" s="1"/>
  <c r="L35" i="11"/>
  <c r="K36" i="11"/>
  <c r="M36" i="11" s="1"/>
  <c r="L36" i="11"/>
  <c r="K37" i="11"/>
  <c r="N37" i="11" s="1"/>
  <c r="L37" i="11"/>
  <c r="K38" i="11"/>
  <c r="M38" i="11" s="1"/>
  <c r="L38" i="11"/>
  <c r="K39" i="11"/>
  <c r="M39" i="11" s="1"/>
  <c r="L39" i="11"/>
  <c r="K40" i="11"/>
  <c r="M40" i="11" s="1"/>
  <c r="L40" i="11"/>
  <c r="K42" i="11"/>
  <c r="L42" i="11"/>
  <c r="K43" i="11"/>
  <c r="L43" i="11"/>
  <c r="K44" i="11"/>
  <c r="N44" i="11" s="1"/>
  <c r="L44" i="11"/>
  <c r="K45" i="11"/>
  <c r="M45" i="11" s="1"/>
  <c r="L45" i="11"/>
  <c r="K46" i="11"/>
  <c r="M46" i="11" s="1"/>
  <c r="L46" i="11"/>
  <c r="K47" i="11"/>
  <c r="N47" i="11" s="1"/>
  <c r="L47" i="11"/>
  <c r="K48" i="11"/>
  <c r="M48" i="11" s="1"/>
  <c r="L48" i="11"/>
  <c r="K49" i="11"/>
  <c r="M49" i="11" s="1"/>
  <c r="L49" i="11"/>
  <c r="K50" i="11"/>
  <c r="M50" i="11" s="1"/>
  <c r="L50" i="11"/>
  <c r="L4" i="11"/>
  <c r="K4" i="11"/>
  <c r="D43" i="10"/>
  <c r="D44" i="10"/>
  <c r="D45" i="10"/>
  <c r="D46" i="10"/>
  <c r="D47" i="10"/>
  <c r="D48" i="10"/>
  <c r="D49" i="10"/>
  <c r="D50" i="10"/>
  <c r="D42" i="10"/>
  <c r="D33" i="10"/>
  <c r="D34" i="10"/>
  <c r="D35" i="10"/>
  <c r="D36" i="10"/>
  <c r="D37" i="10"/>
  <c r="D38" i="10"/>
  <c r="D39" i="10"/>
  <c r="D40" i="10"/>
  <c r="D32" i="10"/>
  <c r="D23" i="10"/>
  <c r="D24" i="10"/>
  <c r="D25" i="10"/>
  <c r="D26" i="10"/>
  <c r="D27" i="10"/>
  <c r="D28" i="10"/>
  <c r="D29" i="10"/>
  <c r="D30" i="10"/>
  <c r="D22" i="10"/>
  <c r="D8" i="10"/>
  <c r="D5" i="10"/>
  <c r="D6" i="10"/>
  <c r="D7" i="10"/>
  <c r="D9" i="10"/>
  <c r="D10" i="10"/>
  <c r="D11" i="10"/>
  <c r="D12" i="10"/>
  <c r="D20" i="10"/>
  <c r="D21" i="10"/>
  <c r="D13" i="10"/>
  <c r="D14" i="10"/>
  <c r="D15" i="10"/>
  <c r="D16" i="10"/>
  <c r="D17" i="10"/>
  <c r="D18" i="10"/>
  <c r="D4" i="10"/>
  <c r="K6" i="10"/>
  <c r="L6" i="10"/>
  <c r="K22" i="10"/>
  <c r="L22" i="10"/>
  <c r="K32" i="10"/>
  <c r="L32" i="10"/>
  <c r="K42" i="10"/>
  <c r="L42" i="10"/>
  <c r="K5" i="10"/>
  <c r="L5" i="10"/>
  <c r="K7" i="10"/>
  <c r="L7" i="10"/>
  <c r="K23" i="10"/>
  <c r="L23" i="10"/>
  <c r="K33" i="10"/>
  <c r="L33" i="10"/>
  <c r="K43" i="10"/>
  <c r="L43" i="10"/>
  <c r="K8" i="10"/>
  <c r="N8" i="10" s="1"/>
  <c r="L8" i="10"/>
  <c r="K24" i="10"/>
  <c r="N24" i="10" s="1"/>
  <c r="L24" i="10"/>
  <c r="K34" i="10"/>
  <c r="N34" i="10" s="1"/>
  <c r="L34" i="10"/>
  <c r="K44" i="10"/>
  <c r="N44" i="10" s="1"/>
  <c r="L44" i="10"/>
  <c r="K9" i="10"/>
  <c r="M9" i="10" s="1"/>
  <c r="L9" i="10"/>
  <c r="K10" i="10"/>
  <c r="M10" i="10" s="1"/>
  <c r="L10" i="10"/>
  <c r="K25" i="10"/>
  <c r="M25" i="10" s="1"/>
  <c r="L25" i="10"/>
  <c r="K35" i="10"/>
  <c r="M35" i="10" s="1"/>
  <c r="L35" i="10"/>
  <c r="K45" i="10"/>
  <c r="M45" i="10" s="1"/>
  <c r="L45" i="10"/>
  <c r="K11" i="10"/>
  <c r="M11" i="10" s="1"/>
  <c r="L11" i="10"/>
  <c r="K12" i="10"/>
  <c r="M12" i="10" s="1"/>
  <c r="L12" i="10"/>
  <c r="K26" i="10"/>
  <c r="M26" i="10" s="1"/>
  <c r="L26" i="10"/>
  <c r="K36" i="10"/>
  <c r="M36" i="10" s="1"/>
  <c r="L36" i="10"/>
  <c r="K46" i="10"/>
  <c r="M46" i="10" s="1"/>
  <c r="L46" i="10"/>
  <c r="K20" i="10"/>
  <c r="N20" i="10" s="1"/>
  <c r="L20" i="10"/>
  <c r="K21" i="10"/>
  <c r="N21" i="10" s="1"/>
  <c r="L21" i="10"/>
  <c r="K27" i="10"/>
  <c r="N27" i="10" s="1"/>
  <c r="L27" i="10"/>
  <c r="K37" i="10"/>
  <c r="N37" i="10" s="1"/>
  <c r="L37" i="10"/>
  <c r="K47" i="10"/>
  <c r="N47" i="10" s="1"/>
  <c r="L47" i="10"/>
  <c r="K13" i="10"/>
  <c r="M13" i="10" s="1"/>
  <c r="L13" i="10"/>
  <c r="K14" i="10"/>
  <c r="M14" i="10" s="1"/>
  <c r="L14" i="10"/>
  <c r="K28" i="10"/>
  <c r="M28" i="10" s="1"/>
  <c r="L28" i="10"/>
  <c r="K38" i="10"/>
  <c r="M38" i="10" s="1"/>
  <c r="L38" i="10"/>
  <c r="K48" i="10"/>
  <c r="M48" i="10" s="1"/>
  <c r="L48" i="10"/>
  <c r="K15" i="10"/>
  <c r="M15" i="10" s="1"/>
  <c r="L15" i="10"/>
  <c r="K16" i="10"/>
  <c r="M16" i="10" s="1"/>
  <c r="L16" i="10"/>
  <c r="K29" i="10"/>
  <c r="M29" i="10" s="1"/>
  <c r="L29" i="10"/>
  <c r="K39" i="10"/>
  <c r="M39" i="10" s="1"/>
  <c r="L39" i="10"/>
  <c r="K49" i="10"/>
  <c r="M49" i="10" s="1"/>
  <c r="L49" i="10"/>
  <c r="K17" i="10"/>
  <c r="M17" i="10" s="1"/>
  <c r="L17" i="10"/>
  <c r="K18" i="10"/>
  <c r="M18" i="10" s="1"/>
  <c r="L18" i="10"/>
  <c r="K30" i="10"/>
  <c r="M30" i="10" s="1"/>
  <c r="L30" i="10"/>
  <c r="K40" i="10"/>
  <c r="M40" i="10" s="1"/>
  <c r="L40" i="10"/>
  <c r="K50" i="10"/>
  <c r="M50" i="10" s="1"/>
  <c r="L50" i="10"/>
  <c r="L4" i="10"/>
  <c r="K4" i="10"/>
  <c r="K48" i="8"/>
  <c r="L48" i="8"/>
  <c r="K49" i="8"/>
  <c r="L49" i="8"/>
  <c r="K50" i="8"/>
  <c r="M50" i="8" s="1"/>
  <c r="L50" i="8"/>
  <c r="K51" i="8"/>
  <c r="M51" i="8" s="1"/>
  <c r="L51" i="8"/>
  <c r="K52" i="8"/>
  <c r="L52" i="8"/>
  <c r="K53" i="8"/>
  <c r="M53" i="8" s="1"/>
  <c r="L53" i="8"/>
  <c r="K54" i="8"/>
  <c r="M54" i="8" s="1"/>
  <c r="L54" i="8"/>
  <c r="K55" i="8"/>
  <c r="M55" i="8" s="1"/>
  <c r="L55" i="8"/>
  <c r="L47" i="8"/>
  <c r="K47" i="8"/>
  <c r="D48" i="8"/>
  <c r="D49" i="8"/>
  <c r="D50" i="8"/>
  <c r="D51" i="8"/>
  <c r="D52" i="8"/>
  <c r="D53" i="8"/>
  <c r="D54" i="8"/>
  <c r="D55" i="8"/>
  <c r="D47" i="8"/>
  <c r="Q54" i="8" l="1"/>
  <c r="K20" i="8" l="1"/>
  <c r="L20" i="8"/>
  <c r="K30" i="8"/>
  <c r="L30" i="8"/>
  <c r="K5" i="8"/>
  <c r="L5" i="8"/>
  <c r="K21" i="8"/>
  <c r="L21" i="8"/>
  <c r="K31" i="8"/>
  <c r="L31" i="8"/>
  <c r="K6" i="8"/>
  <c r="N6" i="8" s="1"/>
  <c r="L6" i="8"/>
  <c r="K22" i="8"/>
  <c r="N22" i="8" s="1"/>
  <c r="L22" i="8"/>
  <c r="K32" i="8"/>
  <c r="N32" i="8" s="1"/>
  <c r="L32" i="8"/>
  <c r="K40" i="8"/>
  <c r="N40" i="8" s="1"/>
  <c r="L40" i="8"/>
  <c r="K7" i="8"/>
  <c r="M7" i="8" s="1"/>
  <c r="L7" i="8"/>
  <c r="K8" i="8"/>
  <c r="M8" i="8" s="1"/>
  <c r="L8" i="8"/>
  <c r="K23" i="8"/>
  <c r="M23" i="8" s="1"/>
  <c r="L23" i="8"/>
  <c r="K33" i="8"/>
  <c r="M33" i="8" s="1"/>
  <c r="L33" i="8"/>
  <c r="K41" i="8"/>
  <c r="M41" i="8" s="1"/>
  <c r="L41" i="8"/>
  <c r="K9" i="8"/>
  <c r="M9" i="8" s="1"/>
  <c r="L9" i="8"/>
  <c r="K10" i="8"/>
  <c r="M10" i="8" s="1"/>
  <c r="L10" i="8"/>
  <c r="K24" i="8"/>
  <c r="M24" i="8" s="1"/>
  <c r="L24" i="8"/>
  <c r="K34" i="8"/>
  <c r="M34" i="8" s="1"/>
  <c r="L34" i="8"/>
  <c r="K42" i="8"/>
  <c r="M42" i="8" s="1"/>
  <c r="L42" i="8"/>
  <c r="K11" i="8"/>
  <c r="N11" i="8" s="1"/>
  <c r="L11" i="8"/>
  <c r="K12" i="8"/>
  <c r="N12" i="8" s="1"/>
  <c r="L12" i="8"/>
  <c r="K25" i="8"/>
  <c r="N25" i="8" s="1"/>
  <c r="L25" i="8"/>
  <c r="K35" i="8"/>
  <c r="N35" i="8" s="1"/>
  <c r="L35" i="8"/>
  <c r="K43" i="8"/>
  <c r="N43" i="8" s="1"/>
  <c r="L43" i="8"/>
  <c r="K13" i="8"/>
  <c r="M13" i="8" s="1"/>
  <c r="L13" i="8"/>
  <c r="K14" i="8"/>
  <c r="M14" i="8" s="1"/>
  <c r="L14" i="8"/>
  <c r="K26" i="8"/>
  <c r="M26" i="8" s="1"/>
  <c r="L26" i="8"/>
  <c r="K36" i="8"/>
  <c r="M36" i="8" s="1"/>
  <c r="L36" i="8"/>
  <c r="K44" i="8"/>
  <c r="M44" i="8" s="1"/>
  <c r="L44" i="8"/>
  <c r="K15" i="8"/>
  <c r="M15" i="8" s="1"/>
  <c r="L15" i="8"/>
  <c r="K16" i="8"/>
  <c r="M16" i="8" s="1"/>
  <c r="L16" i="8"/>
  <c r="K27" i="8"/>
  <c r="M27" i="8" s="1"/>
  <c r="L27" i="8"/>
  <c r="K37" i="8"/>
  <c r="M37" i="8" s="1"/>
  <c r="L37" i="8"/>
  <c r="K45" i="8"/>
  <c r="M45" i="8" s="1"/>
  <c r="L45" i="8"/>
  <c r="K17" i="8"/>
  <c r="M17" i="8" s="1"/>
  <c r="L17" i="8"/>
  <c r="K18" i="8"/>
  <c r="M18" i="8" s="1"/>
  <c r="L18" i="8"/>
  <c r="K28" i="8"/>
  <c r="M28" i="8" s="1"/>
  <c r="L28" i="8"/>
  <c r="K38" i="8"/>
  <c r="M38" i="8" s="1"/>
  <c r="L38" i="8"/>
  <c r="K46" i="8"/>
  <c r="M46" i="8" s="1"/>
  <c r="L46" i="8"/>
  <c r="L4" i="8"/>
  <c r="K4" i="8"/>
  <c r="D20" i="8"/>
  <c r="D30" i="8"/>
  <c r="D5" i="8"/>
  <c r="D21" i="8"/>
  <c r="D31" i="8"/>
  <c r="D6" i="8"/>
  <c r="D22" i="8"/>
  <c r="D32" i="8"/>
  <c r="D40" i="8"/>
  <c r="D7" i="8"/>
  <c r="D8" i="8"/>
  <c r="D23" i="8"/>
  <c r="D33" i="8"/>
  <c r="D41" i="8"/>
  <c r="D9" i="8"/>
  <c r="D10" i="8"/>
  <c r="D24" i="8"/>
  <c r="D34" i="8"/>
  <c r="D42" i="8"/>
  <c r="D11" i="8"/>
  <c r="D12" i="8"/>
  <c r="D25" i="8"/>
  <c r="D35" i="8"/>
  <c r="D43" i="8"/>
  <c r="D13" i="8"/>
  <c r="D14" i="8"/>
  <c r="D26" i="8"/>
  <c r="D36" i="8"/>
  <c r="D44" i="8"/>
  <c r="D15" i="8"/>
  <c r="D16" i="8"/>
  <c r="D27" i="8"/>
  <c r="D37" i="8"/>
  <c r="D45" i="8"/>
  <c r="D17" i="8"/>
  <c r="D18" i="8"/>
  <c r="D28" i="8"/>
  <c r="D38" i="8"/>
  <c r="D46" i="8"/>
  <c r="D4" i="8"/>
  <c r="K54" i="7" l="1"/>
  <c r="L54" i="7"/>
  <c r="K55" i="7"/>
  <c r="L55" i="7"/>
  <c r="K56" i="7"/>
  <c r="M56" i="7" s="1"/>
  <c r="L56" i="7"/>
  <c r="K57" i="7"/>
  <c r="M57" i="7" s="1"/>
  <c r="L57" i="7"/>
  <c r="K58" i="7"/>
  <c r="M58" i="7" s="1"/>
  <c r="L58" i="7"/>
  <c r="K59" i="7"/>
  <c r="M59" i="7" s="1"/>
  <c r="L59" i="7"/>
  <c r="K60" i="7"/>
  <c r="M60" i="7" s="1"/>
  <c r="L60" i="7"/>
  <c r="L53" i="7"/>
  <c r="K53" i="7"/>
  <c r="D54" i="7"/>
  <c r="D55" i="7"/>
  <c r="D56" i="7"/>
  <c r="D57" i="7"/>
  <c r="D58" i="7"/>
  <c r="D59" i="7"/>
  <c r="D60" i="7"/>
  <c r="D53" i="7"/>
  <c r="K6" i="7" l="1"/>
  <c r="L6" i="7"/>
  <c r="K23" i="7"/>
  <c r="L23" i="7"/>
  <c r="K33" i="7"/>
  <c r="L33" i="7"/>
  <c r="K43" i="7"/>
  <c r="L43" i="7"/>
  <c r="K5" i="7"/>
  <c r="L5" i="7"/>
  <c r="K7" i="7"/>
  <c r="L7" i="7"/>
  <c r="K24" i="7"/>
  <c r="L24" i="7"/>
  <c r="K34" i="7"/>
  <c r="L34" i="7"/>
  <c r="K44" i="7"/>
  <c r="L44" i="7"/>
  <c r="K8" i="7"/>
  <c r="N8" i="7" s="1"/>
  <c r="L8" i="7"/>
  <c r="K9" i="7"/>
  <c r="N9" i="7" s="1"/>
  <c r="L9" i="7"/>
  <c r="K25" i="7"/>
  <c r="N25" i="7" s="1"/>
  <c r="L25" i="7"/>
  <c r="K35" i="7"/>
  <c r="N35" i="7" s="1"/>
  <c r="L35" i="7"/>
  <c r="K45" i="7"/>
  <c r="N45" i="7" s="1"/>
  <c r="L45" i="7"/>
  <c r="K10" i="7"/>
  <c r="M10" i="7" s="1"/>
  <c r="L10" i="7"/>
  <c r="K11" i="7"/>
  <c r="M11" i="7" s="1"/>
  <c r="L11" i="7"/>
  <c r="K26" i="7"/>
  <c r="M26" i="7" s="1"/>
  <c r="L26" i="7"/>
  <c r="K36" i="7"/>
  <c r="M36" i="7" s="1"/>
  <c r="L36" i="7"/>
  <c r="K46" i="7"/>
  <c r="M46" i="7" s="1"/>
  <c r="L46" i="7"/>
  <c r="K12" i="7"/>
  <c r="M12" i="7" s="1"/>
  <c r="L12" i="7"/>
  <c r="K13" i="7"/>
  <c r="M13" i="7" s="1"/>
  <c r="L13" i="7"/>
  <c r="K27" i="7"/>
  <c r="M27" i="7" s="1"/>
  <c r="L27" i="7"/>
  <c r="K37" i="7"/>
  <c r="M37" i="7" s="1"/>
  <c r="L37" i="7"/>
  <c r="K47" i="7"/>
  <c r="M47" i="7" s="1"/>
  <c r="L47" i="7"/>
  <c r="K14" i="7"/>
  <c r="N14" i="7" s="1"/>
  <c r="L14" i="7"/>
  <c r="K15" i="7"/>
  <c r="N15" i="7" s="1"/>
  <c r="L15" i="7"/>
  <c r="K28" i="7"/>
  <c r="N28" i="7" s="1"/>
  <c r="L28" i="7"/>
  <c r="K38" i="7"/>
  <c r="N38" i="7" s="1"/>
  <c r="L38" i="7"/>
  <c r="K48" i="7"/>
  <c r="N48" i="7" s="1"/>
  <c r="L48" i="7"/>
  <c r="K16" i="7"/>
  <c r="M16" i="7" s="1"/>
  <c r="L16" i="7"/>
  <c r="K17" i="7"/>
  <c r="M17" i="7" s="1"/>
  <c r="L17" i="7"/>
  <c r="K29" i="7"/>
  <c r="M29" i="7" s="1"/>
  <c r="L29" i="7"/>
  <c r="K39" i="7"/>
  <c r="M39" i="7" s="1"/>
  <c r="L39" i="7"/>
  <c r="K49" i="7"/>
  <c r="M49" i="7" s="1"/>
  <c r="L49" i="7"/>
  <c r="K18" i="7"/>
  <c r="M18" i="7" s="1"/>
  <c r="L18" i="7"/>
  <c r="K19" i="7"/>
  <c r="M19" i="7" s="1"/>
  <c r="L19" i="7"/>
  <c r="K30" i="7"/>
  <c r="M30" i="7" s="1"/>
  <c r="L30" i="7"/>
  <c r="K40" i="7"/>
  <c r="M40" i="7" s="1"/>
  <c r="L40" i="7"/>
  <c r="K50" i="7"/>
  <c r="M50" i="7" s="1"/>
  <c r="L50" i="7"/>
  <c r="K20" i="7"/>
  <c r="M20" i="7" s="1"/>
  <c r="L20" i="7"/>
  <c r="K21" i="7"/>
  <c r="M21" i="7" s="1"/>
  <c r="L21" i="7"/>
  <c r="K31" i="7"/>
  <c r="M31" i="7" s="1"/>
  <c r="L31" i="7"/>
  <c r="K41" i="7"/>
  <c r="M41" i="7" s="1"/>
  <c r="L41" i="7"/>
  <c r="K51" i="7"/>
  <c r="M51" i="7" s="1"/>
  <c r="L51" i="7"/>
  <c r="L4" i="7"/>
  <c r="K4" i="7"/>
  <c r="D6" i="7"/>
  <c r="D23" i="7"/>
  <c r="D33" i="7"/>
  <c r="D43" i="7"/>
  <c r="D5" i="7"/>
  <c r="D7" i="7"/>
  <c r="D24" i="7"/>
  <c r="D34" i="7"/>
  <c r="D44" i="7"/>
  <c r="D8" i="7"/>
  <c r="D9" i="7"/>
  <c r="D25" i="7"/>
  <c r="D35" i="7"/>
  <c r="D45" i="7"/>
  <c r="D10" i="7"/>
  <c r="D11" i="7"/>
  <c r="D26" i="7"/>
  <c r="D36" i="7"/>
  <c r="D46" i="7"/>
  <c r="D12" i="7"/>
  <c r="D13" i="7"/>
  <c r="D27" i="7"/>
  <c r="D37" i="7"/>
  <c r="D47" i="7"/>
  <c r="D14" i="7"/>
  <c r="D15" i="7"/>
  <c r="D28" i="7"/>
  <c r="D38" i="7"/>
  <c r="D48" i="7"/>
  <c r="D16" i="7"/>
  <c r="D17" i="7"/>
  <c r="D29" i="7"/>
  <c r="D39" i="7"/>
  <c r="D49" i="7"/>
  <c r="D18" i="7"/>
  <c r="D19" i="7"/>
  <c r="D30" i="7"/>
  <c r="D40" i="7"/>
  <c r="D50" i="7"/>
  <c r="D20" i="7"/>
  <c r="D21" i="7"/>
  <c r="D31" i="7"/>
  <c r="D41" i="7"/>
  <c r="D51" i="7"/>
  <c r="D4" i="7"/>
  <c r="K4" i="4" l="1"/>
  <c r="L4" i="4"/>
  <c r="K14" i="4"/>
  <c r="L14" i="4"/>
  <c r="K5" i="4"/>
  <c r="L5" i="4"/>
  <c r="K6" i="4"/>
  <c r="N6" i="4" s="1"/>
  <c r="L6" i="4"/>
  <c r="K7" i="4"/>
  <c r="N7" i="4" s="1"/>
  <c r="L7" i="4"/>
  <c r="K8" i="4"/>
  <c r="M8" i="4" s="1"/>
  <c r="L8" i="4"/>
  <c r="K9" i="4"/>
  <c r="M9" i="4" s="1"/>
  <c r="L9" i="4"/>
  <c r="K10" i="4"/>
  <c r="M10" i="4" s="1"/>
  <c r="L10" i="4"/>
  <c r="K11" i="4"/>
  <c r="M11" i="4" s="1"/>
  <c r="L11" i="4"/>
  <c r="K15" i="4"/>
  <c r="N15" i="4" s="1"/>
  <c r="L15" i="4"/>
  <c r="K16" i="4"/>
  <c r="N16" i="4" s="1"/>
  <c r="L16" i="4"/>
  <c r="K17" i="4"/>
  <c r="M17" i="4" s="1"/>
  <c r="L17" i="4"/>
  <c r="K18" i="4"/>
  <c r="M18" i="4" s="1"/>
  <c r="L18" i="4"/>
  <c r="K19" i="4"/>
  <c r="M19" i="4" s="1"/>
  <c r="L19" i="4"/>
  <c r="K20" i="4"/>
  <c r="M20" i="4" s="1"/>
  <c r="L20" i="4"/>
  <c r="K21" i="4"/>
  <c r="M21" i="4" s="1"/>
  <c r="L21" i="4"/>
  <c r="K23" i="4"/>
  <c r="L23" i="4"/>
  <c r="K24" i="4"/>
  <c r="L24" i="4"/>
  <c r="K25" i="4"/>
  <c r="M25" i="4" s="1"/>
  <c r="L25" i="4"/>
  <c r="K26" i="4"/>
  <c r="M26" i="4" s="1"/>
  <c r="L26" i="4"/>
  <c r="K27" i="4"/>
  <c r="M27" i="4" s="1"/>
  <c r="L27" i="4"/>
  <c r="K28" i="4"/>
  <c r="M28" i="4" s="1"/>
  <c r="L28" i="4"/>
  <c r="K30" i="4"/>
  <c r="N30" i="4" s="1"/>
  <c r="L30" i="4"/>
  <c r="K31" i="4"/>
  <c r="M31" i="4" s="1"/>
  <c r="L31" i="4"/>
  <c r="K32" i="4"/>
  <c r="M32" i="4" s="1"/>
  <c r="L32" i="4"/>
  <c r="K33" i="4"/>
  <c r="M33" i="4" s="1"/>
  <c r="L33" i="4"/>
  <c r="K34" i="4"/>
  <c r="M34" i="4" s="1"/>
  <c r="L34" i="4"/>
  <c r="L13" i="4"/>
  <c r="K13" i="4"/>
  <c r="D4" i="4"/>
  <c r="D14" i="4"/>
  <c r="D5" i="4"/>
  <c r="D6" i="4"/>
  <c r="D7" i="4"/>
  <c r="D8" i="4"/>
  <c r="D9" i="4"/>
  <c r="D10" i="4"/>
  <c r="D11" i="4"/>
  <c r="D15" i="4"/>
  <c r="D16" i="4"/>
  <c r="D17" i="4"/>
  <c r="D18" i="4"/>
  <c r="D19" i="4"/>
  <c r="D20" i="4"/>
  <c r="D21" i="4"/>
  <c r="D23" i="4"/>
  <c r="D24" i="4"/>
  <c r="D25" i="4"/>
  <c r="D26" i="4"/>
  <c r="D27" i="4"/>
  <c r="D28" i="4"/>
  <c r="D30" i="4"/>
  <c r="D31" i="4"/>
  <c r="D32" i="4"/>
  <c r="D33" i="4"/>
  <c r="D34" i="4"/>
  <c r="D13" i="4"/>
  <c r="K4" i="3"/>
  <c r="L4" i="3"/>
  <c r="K23" i="3"/>
  <c r="L23" i="3"/>
  <c r="K36" i="3"/>
  <c r="L36" i="3"/>
  <c r="K13" i="3"/>
  <c r="L13" i="3"/>
  <c r="K5" i="3"/>
  <c r="L5" i="3"/>
  <c r="K24" i="3"/>
  <c r="L24" i="3"/>
  <c r="K37" i="3"/>
  <c r="L37" i="3"/>
  <c r="K6" i="3"/>
  <c r="N6" i="3" s="1"/>
  <c r="L6" i="3"/>
  <c r="K7" i="3"/>
  <c r="N7" i="3" s="1"/>
  <c r="L7" i="3"/>
  <c r="K25" i="3"/>
  <c r="N25" i="3" s="1"/>
  <c r="L25" i="3"/>
  <c r="K38" i="3"/>
  <c r="N38" i="3" s="1"/>
  <c r="L38" i="3"/>
  <c r="K8" i="3"/>
  <c r="M8" i="3" s="1"/>
  <c r="L8" i="3"/>
  <c r="K9" i="3"/>
  <c r="M9" i="3" s="1"/>
  <c r="L9" i="3"/>
  <c r="K26" i="3"/>
  <c r="M26" i="3" s="1"/>
  <c r="L26" i="3"/>
  <c r="K32" i="3"/>
  <c r="M32" i="3" s="1"/>
  <c r="L32" i="3"/>
  <c r="K39" i="3"/>
  <c r="M39" i="3" s="1"/>
  <c r="L39" i="3"/>
  <c r="K10" i="3"/>
  <c r="M10" i="3" s="1"/>
  <c r="L10" i="3"/>
  <c r="K11" i="3"/>
  <c r="M11" i="3" s="1"/>
  <c r="L11" i="3"/>
  <c r="K27" i="3"/>
  <c r="M27" i="3" s="1"/>
  <c r="L27" i="3"/>
  <c r="K33" i="3"/>
  <c r="M33" i="3" s="1"/>
  <c r="L33" i="3"/>
  <c r="K40" i="3"/>
  <c r="M40" i="3" s="1"/>
  <c r="L40" i="3"/>
  <c r="K14" i="3"/>
  <c r="N14" i="3" s="1"/>
  <c r="L14" i="3"/>
  <c r="K15" i="3"/>
  <c r="N15" i="3" s="1"/>
  <c r="L15" i="3"/>
  <c r="K28" i="3"/>
  <c r="N28" i="3" s="1"/>
  <c r="L28" i="3"/>
  <c r="K16" i="3"/>
  <c r="M16" i="3" s="1"/>
  <c r="L16" i="3"/>
  <c r="K17" i="3"/>
  <c r="M17" i="3" s="1"/>
  <c r="L17" i="3"/>
  <c r="K29" i="3"/>
  <c r="M29" i="3" s="1"/>
  <c r="L29" i="3"/>
  <c r="K41" i="3"/>
  <c r="M41" i="3" s="1"/>
  <c r="L41" i="3"/>
  <c r="K18" i="3"/>
  <c r="M18" i="3" s="1"/>
  <c r="L18" i="3"/>
  <c r="K19" i="3"/>
  <c r="M19" i="3" s="1"/>
  <c r="L19" i="3"/>
  <c r="K30" i="3"/>
  <c r="M30" i="3" s="1"/>
  <c r="L30" i="3"/>
  <c r="K34" i="3"/>
  <c r="M34" i="3" s="1"/>
  <c r="L34" i="3"/>
  <c r="K42" i="3"/>
  <c r="M42" i="3" s="1"/>
  <c r="L42" i="3"/>
  <c r="K20" i="3"/>
  <c r="M20" i="3" s="1"/>
  <c r="L20" i="3"/>
  <c r="K21" i="3"/>
  <c r="M21" i="3" s="1"/>
  <c r="L21" i="3"/>
  <c r="K31" i="3"/>
  <c r="M31" i="3" s="1"/>
  <c r="L31" i="3"/>
  <c r="K43" i="3"/>
  <c r="M43" i="3" s="1"/>
  <c r="L43" i="3"/>
  <c r="L12" i="3"/>
  <c r="K12" i="3"/>
  <c r="D4" i="3"/>
  <c r="D23" i="3"/>
  <c r="D36" i="3"/>
  <c r="D13" i="3"/>
  <c r="D5" i="3"/>
  <c r="D24" i="3"/>
  <c r="D37" i="3"/>
  <c r="D6" i="3"/>
  <c r="D7" i="3"/>
  <c r="D25" i="3"/>
  <c r="D38" i="3"/>
  <c r="D8" i="3"/>
  <c r="D9" i="3"/>
  <c r="D26" i="3"/>
  <c r="D32" i="3"/>
  <c r="D39" i="3"/>
  <c r="D10" i="3"/>
  <c r="D11" i="3"/>
  <c r="D27" i="3"/>
  <c r="D33" i="3"/>
  <c r="D40" i="3"/>
  <c r="D14" i="3"/>
  <c r="D15" i="3"/>
  <c r="D28" i="3"/>
  <c r="D16" i="3"/>
  <c r="D17" i="3"/>
  <c r="D29" i="3"/>
  <c r="D41" i="3"/>
  <c r="D18" i="3"/>
  <c r="D19" i="3"/>
  <c r="D30" i="3"/>
  <c r="D34" i="3"/>
  <c r="D42" i="3"/>
  <c r="D20" i="3"/>
  <c r="D21" i="3"/>
  <c r="D31" i="3"/>
  <c r="D43" i="3"/>
  <c r="D12" i="3"/>
  <c r="L6" i="2"/>
  <c r="L23" i="2"/>
  <c r="L33" i="2"/>
  <c r="L5" i="2"/>
  <c r="L7" i="2"/>
  <c r="L24" i="2"/>
  <c r="L34" i="2"/>
  <c r="L8" i="2"/>
  <c r="L9" i="2"/>
  <c r="L25" i="2"/>
  <c r="L35" i="2"/>
  <c r="L10" i="2"/>
  <c r="L11" i="2"/>
  <c r="L26" i="2"/>
  <c r="L36" i="2"/>
  <c r="L43" i="2"/>
  <c r="L12" i="2"/>
  <c r="L13" i="2"/>
  <c r="L27" i="2"/>
  <c r="L37" i="2"/>
  <c r="L44" i="2"/>
  <c r="L14" i="2"/>
  <c r="L15" i="2"/>
  <c r="L28" i="2"/>
  <c r="L38" i="2"/>
  <c r="L16" i="2"/>
  <c r="L17" i="2"/>
  <c r="L29" i="2"/>
  <c r="L39" i="2"/>
  <c r="L45" i="2"/>
  <c r="L18" i="2"/>
  <c r="L19" i="2"/>
  <c r="L30" i="2"/>
  <c r="L40" i="2"/>
  <c r="L46" i="2"/>
  <c r="L20" i="2"/>
  <c r="L21" i="2"/>
  <c r="L31" i="2"/>
  <c r="L41" i="2"/>
  <c r="L47" i="2"/>
  <c r="L4" i="2"/>
  <c r="K6" i="2"/>
  <c r="K23" i="2"/>
  <c r="K33" i="2"/>
  <c r="K5" i="2"/>
  <c r="K7" i="2"/>
  <c r="K24" i="2"/>
  <c r="K34" i="2"/>
  <c r="K8" i="2"/>
  <c r="N8" i="2" s="1"/>
  <c r="K9" i="2"/>
  <c r="N9" i="2" s="1"/>
  <c r="K25" i="2"/>
  <c r="N25" i="2" s="1"/>
  <c r="K35" i="2"/>
  <c r="N35" i="2" s="1"/>
  <c r="K10" i="2"/>
  <c r="M10" i="2" s="1"/>
  <c r="K11" i="2"/>
  <c r="M11" i="2" s="1"/>
  <c r="K26" i="2"/>
  <c r="M26" i="2" s="1"/>
  <c r="K36" i="2"/>
  <c r="M36" i="2" s="1"/>
  <c r="K43" i="2"/>
  <c r="M43" i="2" s="1"/>
  <c r="K12" i="2"/>
  <c r="M12" i="2" s="1"/>
  <c r="K13" i="2"/>
  <c r="M13" i="2" s="1"/>
  <c r="K27" i="2"/>
  <c r="M27" i="2" s="1"/>
  <c r="K37" i="2"/>
  <c r="M37" i="2" s="1"/>
  <c r="K44" i="2"/>
  <c r="M44" i="2" s="1"/>
  <c r="K14" i="2"/>
  <c r="N14" i="2" s="1"/>
  <c r="K15" i="2"/>
  <c r="N15" i="2" s="1"/>
  <c r="K28" i="2"/>
  <c r="N28" i="2" s="1"/>
  <c r="K38" i="2"/>
  <c r="N38" i="2" s="1"/>
  <c r="K16" i="2"/>
  <c r="M16" i="2" s="1"/>
  <c r="K17" i="2"/>
  <c r="M17" i="2" s="1"/>
  <c r="K29" i="2"/>
  <c r="M29" i="2" s="1"/>
  <c r="K39" i="2"/>
  <c r="M39" i="2" s="1"/>
  <c r="K45" i="2"/>
  <c r="M45" i="2" s="1"/>
  <c r="K18" i="2"/>
  <c r="M18" i="2" s="1"/>
  <c r="K19" i="2"/>
  <c r="M19" i="2" s="1"/>
  <c r="K30" i="2"/>
  <c r="M30" i="2" s="1"/>
  <c r="K40" i="2"/>
  <c r="M40" i="2" s="1"/>
  <c r="K46" i="2"/>
  <c r="M46" i="2" s="1"/>
  <c r="K20" i="2"/>
  <c r="M20" i="2" s="1"/>
  <c r="K21" i="2"/>
  <c r="M21" i="2" s="1"/>
  <c r="K31" i="2"/>
  <c r="M31" i="2" s="1"/>
  <c r="K41" i="2"/>
  <c r="M41" i="2" s="1"/>
  <c r="K47" i="2"/>
  <c r="M47" i="2" s="1"/>
  <c r="K4" i="2"/>
  <c r="D6" i="2"/>
  <c r="D23" i="2"/>
  <c r="D33" i="2"/>
  <c r="D5" i="2"/>
  <c r="D7" i="2"/>
  <c r="D24" i="2"/>
  <c r="D34" i="2"/>
  <c r="D8" i="2"/>
  <c r="D9" i="2"/>
  <c r="D25" i="2"/>
  <c r="D35" i="2"/>
  <c r="D10" i="2"/>
  <c r="D11" i="2"/>
  <c r="D26" i="2"/>
  <c r="D36" i="2"/>
  <c r="D43" i="2"/>
  <c r="D12" i="2"/>
  <c r="D13" i="2"/>
  <c r="D27" i="2"/>
  <c r="D37" i="2"/>
  <c r="D44" i="2"/>
  <c r="D14" i="2"/>
  <c r="D15" i="2"/>
  <c r="D28" i="2"/>
  <c r="D38" i="2"/>
  <c r="D16" i="2"/>
  <c r="D17" i="2"/>
  <c r="D29" i="2"/>
  <c r="D39" i="2"/>
  <c r="D45" i="2"/>
  <c r="D18" i="2"/>
  <c r="D19" i="2"/>
  <c r="D30" i="2"/>
  <c r="D40" i="2"/>
  <c r="D46" i="2"/>
  <c r="D20" i="2"/>
  <c r="D21" i="2"/>
  <c r="D31" i="2"/>
  <c r="D41" i="2"/>
  <c r="D47" i="2"/>
</calcChain>
</file>

<file path=xl/sharedStrings.xml><?xml version="1.0" encoding="utf-8"?>
<sst xmlns="http://schemas.openxmlformats.org/spreadsheetml/2006/main" count="8944" uniqueCount="1526">
  <si>
    <t>PART NUMBER</t>
  </si>
  <si>
    <t>Mat Code</t>
  </si>
  <si>
    <t>PART NAME</t>
  </si>
  <si>
    <t>Packing Standard</t>
  </si>
  <si>
    <t>Packed In</t>
  </si>
  <si>
    <t>55101M58U10</t>
  </si>
  <si>
    <t>141110-14600</t>
  </si>
  <si>
    <t>CALIPER RR</t>
  </si>
  <si>
    <t>Trolley (H)</t>
  </si>
  <si>
    <t>55102M58U10</t>
  </si>
  <si>
    <t>141120-14600</t>
  </si>
  <si>
    <t>CALIPER LH</t>
  </si>
  <si>
    <t>55311M58U00</t>
  </si>
  <si>
    <t>141185-74670</t>
  </si>
  <si>
    <t>DISC FR</t>
  </si>
  <si>
    <t>Trolley</t>
  </si>
  <si>
    <t>55401M58U00</t>
  </si>
  <si>
    <t>141140-91211</t>
  </si>
  <si>
    <t>MOC RH</t>
  </si>
  <si>
    <t>Bin</t>
  </si>
  <si>
    <t>55402M58U00</t>
  </si>
  <si>
    <t>141150-91211</t>
  </si>
  <si>
    <t>MOC LH</t>
  </si>
  <si>
    <t>55611M58U00</t>
  </si>
  <si>
    <t>141186-74360</t>
  </si>
  <si>
    <t>DISC RR</t>
  </si>
  <si>
    <t>56110M58UA1</t>
  </si>
  <si>
    <t>116040-92240</t>
  </si>
  <si>
    <t>ESC</t>
  </si>
  <si>
    <t>5A120M58U50</t>
  </si>
  <si>
    <t>114010-50830</t>
  </si>
  <si>
    <t>AHB LH</t>
  </si>
  <si>
    <t>5A120M58U01</t>
  </si>
  <si>
    <t>114010-50820</t>
  </si>
  <si>
    <t>AHB RH</t>
  </si>
  <si>
    <t>KANBAN NO</t>
  </si>
  <si>
    <t>SUPPLY DATE</t>
  </si>
  <si>
    <t>SUPPLY TIME</t>
  </si>
  <si>
    <t>UNLOADING LOC</t>
  </si>
  <si>
    <t>01Z599626144AC5</t>
  </si>
  <si>
    <t>CALIPER ASSY,FRONT BRAKE,R</t>
  </si>
  <si>
    <t>CA-07</t>
  </si>
  <si>
    <t>AC5</t>
  </si>
  <si>
    <t>01Z599798425AC5</t>
  </si>
  <si>
    <t>01Z599626152AC5</t>
  </si>
  <si>
    <t>01Z599626160AC5</t>
  </si>
  <si>
    <t>01Z599626179AC5</t>
  </si>
  <si>
    <t>CALIPER ASSY,FRONT BRAKE,L</t>
  </si>
  <si>
    <t>01Z599798050AC5</t>
  </si>
  <si>
    <t>01Z599626187AC5</t>
  </si>
  <si>
    <t>01Z599626195AC5</t>
  </si>
  <si>
    <t>01Z599626209AC5</t>
  </si>
  <si>
    <t>DISC,FRONT BRAKE</t>
  </si>
  <si>
    <t>01Z599804298AC5</t>
  </si>
  <si>
    <t>01Z599626217AC5</t>
  </si>
  <si>
    <t>01Z599626225AC5</t>
  </si>
  <si>
    <t>01Z599626241AC5</t>
  </si>
  <si>
    <t>CALIPER ASSY,REAR BRAKE,R</t>
  </si>
  <si>
    <t>CA-21</t>
  </si>
  <si>
    <t>01Z599802309AC5</t>
  </si>
  <si>
    <t>01Z599626250AC5</t>
  </si>
  <si>
    <t>01Z599626268AC5</t>
  </si>
  <si>
    <t>01Z599626233AC5</t>
  </si>
  <si>
    <t>01Z599626284AC5</t>
  </si>
  <si>
    <t>CALIPER ASSY,REAR BRAKE,L</t>
  </si>
  <si>
    <t>01Z599804573AC5</t>
  </si>
  <si>
    <t>01Z599626292AC5</t>
  </si>
  <si>
    <t>01Z599626306AC5</t>
  </si>
  <si>
    <t>01Z599626276AC5</t>
  </si>
  <si>
    <t>01Z599626314AC5</t>
  </si>
  <si>
    <t>DISC,REAR BRAKE</t>
  </si>
  <si>
    <t>01Z599805189AC5</t>
  </si>
  <si>
    <t>01Z599626322AC5</t>
  </si>
  <si>
    <t>01Z599626330AC5</t>
  </si>
  <si>
    <t>01Z599626357AC5</t>
  </si>
  <si>
    <t>ACTUATOR ASSY,NO VARIANT ESP</t>
  </si>
  <si>
    <t>CA-01</t>
  </si>
  <si>
    <t>01Z599803712AC5</t>
  </si>
  <si>
    <t>01Z599626365AC5</t>
  </si>
  <si>
    <t>01Z599626373AC5</t>
  </si>
  <si>
    <t>01Z599626349AC5</t>
  </si>
  <si>
    <t>01Z599626390AC5</t>
  </si>
  <si>
    <t>CYLINDER ASSY,BK MASTER W/ECU</t>
  </si>
  <si>
    <t>01Z599796090AC5</t>
  </si>
  <si>
    <t>01Z599626403AC5</t>
  </si>
  <si>
    <t>01Z599626411AC5</t>
  </si>
  <si>
    <t>01Z599626381AC5</t>
  </si>
  <si>
    <t>01Z599626438AC5</t>
  </si>
  <si>
    <t>01Z599803186AC5</t>
  </si>
  <si>
    <t>01Z599626446AC5</t>
  </si>
  <si>
    <t>01Z599626454AC5</t>
  </si>
  <si>
    <t>01Z599626420AC5</t>
  </si>
  <si>
    <t>Download : X539_eNagare_20251129.txt</t>
  </si>
  <si>
    <t>Dailly SMG Pick List</t>
  </si>
  <si>
    <t xml:space="preserve">24AACCN5739J1ZA </t>
  </si>
  <si>
    <t>Supply Month</t>
  </si>
  <si>
    <t>Vehicle No</t>
  </si>
  <si>
    <t>INVOICE NO</t>
  </si>
  <si>
    <t>Material  Code</t>
  </si>
  <si>
    <t>Line</t>
  </si>
  <si>
    <t>Qty Req</t>
  </si>
  <si>
    <t>Packing Standerd</t>
  </si>
  <si>
    <t>Packed in</t>
  </si>
  <si>
    <t xml:space="preserve">TTL Bin </t>
  </si>
  <si>
    <t xml:space="preserve"> TORLLY</t>
  </si>
  <si>
    <t>INV NO</t>
  </si>
  <si>
    <t>G/I/25-26/01294</t>
  </si>
  <si>
    <t>G/I/25-26/01295</t>
  </si>
  <si>
    <t>G/I/25-26/01296</t>
  </si>
  <si>
    <t>G/I/25-26/01297</t>
  </si>
  <si>
    <t>GJ02ZZ7144</t>
  </si>
  <si>
    <t>GJ23Y8525</t>
  </si>
  <si>
    <t>HR47G9416</t>
  </si>
  <si>
    <t>HR47E8635</t>
  </si>
  <si>
    <t>G/I/25-26/01298</t>
  </si>
  <si>
    <t>G/I/25-26/01299</t>
  </si>
  <si>
    <t>G/I/25-26/01300</t>
  </si>
  <si>
    <t>G/I/25-26/01301</t>
  </si>
  <si>
    <t>02Z500327530AC5</t>
  </si>
  <si>
    <t>02Z500460281AC5</t>
  </si>
  <si>
    <t>02Z500327549AC5</t>
  </si>
  <si>
    <t>02Z500327522AC5</t>
  </si>
  <si>
    <t>02Z500327565AC5</t>
  </si>
  <si>
    <t>02Z500461059AC5</t>
  </si>
  <si>
    <t>02Z500327573AC5</t>
  </si>
  <si>
    <t>02Z500327557AC5</t>
  </si>
  <si>
    <t>02Z500327590AC5</t>
  </si>
  <si>
    <t>02Z500457973AC5</t>
  </si>
  <si>
    <t>02Z500327603AC5</t>
  </si>
  <si>
    <t>02Z500327581AC5</t>
  </si>
  <si>
    <t>02Z500327620AC5</t>
  </si>
  <si>
    <t>02Z500455156AC5</t>
  </si>
  <si>
    <t>02Z500327638AC5</t>
  </si>
  <si>
    <t>02Z500327646AC5</t>
  </si>
  <si>
    <t>02Z500327611AC5</t>
  </si>
  <si>
    <t>02Z500327662AC5</t>
  </si>
  <si>
    <t>02Z500465461AC5</t>
  </si>
  <si>
    <t>02Z500327670AC5</t>
  </si>
  <si>
    <t>02Z500327689AC5</t>
  </si>
  <si>
    <t>02Z500327654AC5</t>
  </si>
  <si>
    <t>02Z500327697AC5</t>
  </si>
  <si>
    <t>02Z500455113AC5</t>
  </si>
  <si>
    <t>02Z500327700AC5</t>
  </si>
  <si>
    <t>02Z500327727AC5</t>
  </si>
  <si>
    <t>02Z500460508AC5</t>
  </si>
  <si>
    <t>02Z500327735AC5</t>
  </si>
  <si>
    <t>02Z500327719AC5</t>
  </si>
  <si>
    <t>02Z500327751AC5</t>
  </si>
  <si>
    <t>02Z500457523AC5</t>
  </si>
  <si>
    <t>02Z500327760AC5</t>
  </si>
  <si>
    <t>02Z500327778AC5</t>
  </si>
  <si>
    <t>02Z500327743AC5</t>
  </si>
  <si>
    <t>02Z500327794AC5</t>
  </si>
  <si>
    <t>02Z500455660AC5</t>
  </si>
  <si>
    <t>02Z500327808AC5</t>
  </si>
  <si>
    <t>02Z500327786AC5</t>
  </si>
  <si>
    <t>Download : X539_eNagare_2025121.txt</t>
  </si>
  <si>
    <t>GJ01KT7585</t>
  </si>
  <si>
    <t>G/I/25-26/01303</t>
  </si>
  <si>
    <t>G/I/25-26/01302</t>
  </si>
  <si>
    <t>G/I/25-26/01304</t>
  </si>
  <si>
    <t>G/I/25-26/01305</t>
  </si>
  <si>
    <t>G/I/25-26/01306</t>
  </si>
  <si>
    <t>G/I/25-26/01307</t>
  </si>
  <si>
    <t>G/I/25-26/01308</t>
  </si>
  <si>
    <t>G/I/25-26/01309</t>
  </si>
  <si>
    <t>G/I/25-26/01310</t>
  </si>
  <si>
    <t>Barode sticker</t>
  </si>
  <si>
    <t xml:space="preserve"> 12509Q100239</t>
  </si>
  <si>
    <t>12505Q100031</t>
  </si>
  <si>
    <t>12504Q100266</t>
  </si>
  <si>
    <t>12504Q100256</t>
  </si>
  <si>
    <t>03Z501049852AC5</t>
  </si>
  <si>
    <t>03Z501091131AC5</t>
  </si>
  <si>
    <t>03Z501049860AC5</t>
  </si>
  <si>
    <t>03Z501049879AC5</t>
  </si>
  <si>
    <t>03Z501096001AC5</t>
  </si>
  <si>
    <t>03Z501049887AC5</t>
  </si>
  <si>
    <t>03Z501049909AC5</t>
  </si>
  <si>
    <t>03Z501100670AC5</t>
  </si>
  <si>
    <t>03Z501049895AC5</t>
  </si>
  <si>
    <t>03Z501049925AC5</t>
  </si>
  <si>
    <t>03Z501102567AC5</t>
  </si>
  <si>
    <t>03Z501049933AC5</t>
  </si>
  <si>
    <t>03Z501049917AC5</t>
  </si>
  <si>
    <t>03Z501049950AC5</t>
  </si>
  <si>
    <t>03Z501102486AC5</t>
  </si>
  <si>
    <t>03Z501049968AC5</t>
  </si>
  <si>
    <t>03Z501049941AC5</t>
  </si>
  <si>
    <t>03Z501049976AC5</t>
  </si>
  <si>
    <t>03Z501098403AC5</t>
  </si>
  <si>
    <t>03Z501097423AC5</t>
  </si>
  <si>
    <t>03Z501049992AC5</t>
  </si>
  <si>
    <t>03Z501101676AC5</t>
  </si>
  <si>
    <t>03Z501050001AC5</t>
  </si>
  <si>
    <t>03Z501049984AC5</t>
  </si>
  <si>
    <t>03Z501050028AC5</t>
  </si>
  <si>
    <t>03Z501088700AC5</t>
  </si>
  <si>
    <t>03Z501050036AC5</t>
  </si>
  <si>
    <t>03Z501050010AC5</t>
  </si>
  <si>
    <t>Download : X539_eNagare_2025122.txt</t>
  </si>
  <si>
    <t>G/I/25-26/01311</t>
  </si>
  <si>
    <t>G/I/25-26/01312</t>
  </si>
  <si>
    <t>G/I/25-26/01313</t>
  </si>
  <si>
    <t>G/I/25-26/01314</t>
  </si>
  <si>
    <t>G/I/25-26/01315</t>
  </si>
  <si>
    <t>G/I/25-26/01316</t>
  </si>
  <si>
    <t>G/I/25-26/01317</t>
  </si>
  <si>
    <t>G/I/25-26/01318</t>
  </si>
  <si>
    <t>12509Q100239</t>
  </si>
  <si>
    <t>910101985-36PCS / 910101603-04 PCS</t>
  </si>
  <si>
    <t>910101603-40 PCS / 910101143-40 PCS</t>
  </si>
  <si>
    <t>04Z501700855AC5</t>
  </si>
  <si>
    <t>04Z501742914AC5</t>
  </si>
  <si>
    <t>04Z501700863AC5</t>
  </si>
  <si>
    <t>04Z501700871AC5</t>
  </si>
  <si>
    <t>04Z501700880AC5</t>
  </si>
  <si>
    <t>04Z501700898AC5</t>
  </si>
  <si>
    <t>04Z501753444AC5</t>
  </si>
  <si>
    <t>04Z501700901AC5</t>
  </si>
  <si>
    <t>04Z501700910AC5</t>
  </si>
  <si>
    <t>04Z501700928AC5</t>
  </si>
  <si>
    <t>04Z501700936AC5</t>
  </si>
  <si>
    <t>04Z501749951AC5</t>
  </si>
  <si>
    <t>04Z501700944AC5</t>
  </si>
  <si>
    <t>04Z501700952AC5</t>
  </si>
  <si>
    <t>04Z501700960AC5</t>
  </si>
  <si>
    <t>04Z501700987AC5</t>
  </si>
  <si>
    <t>04Z501743252AC5</t>
  </si>
  <si>
    <t>04Z501700995AC5</t>
  </si>
  <si>
    <t>04Z501701002AC5</t>
  </si>
  <si>
    <t>04Z501700979AC5</t>
  </si>
  <si>
    <t>04Z501701029AC5</t>
  </si>
  <si>
    <t>04Z501758764AC5</t>
  </si>
  <si>
    <t>04Z501701037AC5</t>
  </si>
  <si>
    <t>04Z501701045AC5</t>
  </si>
  <si>
    <t>04Z501701010AC5</t>
  </si>
  <si>
    <t>04Z501701061AC5</t>
  </si>
  <si>
    <t>04Z501753207AC5</t>
  </si>
  <si>
    <t>04Z501701070AC5</t>
  </si>
  <si>
    <t>04Z501701088AC5</t>
  </si>
  <si>
    <t>04Z501701053AC5</t>
  </si>
  <si>
    <t>04Z501701100AC5</t>
  </si>
  <si>
    <t>04Z501746081AC5</t>
  </si>
  <si>
    <t>04Z501701118AC5</t>
  </si>
  <si>
    <t>04Z501701126AC5</t>
  </si>
  <si>
    <t>04Z501701096AC5</t>
  </si>
  <si>
    <t>04Z501701142AC5</t>
  </si>
  <si>
    <t>04Z501741993AC5</t>
  </si>
  <si>
    <t>04Z501701150AC5</t>
  </si>
  <si>
    <t>04Z501701169AC5</t>
  </si>
  <si>
    <t>04Z501701134AC5</t>
  </si>
  <si>
    <t>04Z501701185AC5</t>
  </si>
  <si>
    <t>04Z501754130AC5</t>
  </si>
  <si>
    <t>04Z501701193AC5</t>
  </si>
  <si>
    <t>04Z501701207AC5</t>
  </si>
  <si>
    <t>04Z501701177AC5</t>
  </si>
  <si>
    <t>Download : X539_eNagare_2025123.txt</t>
  </si>
  <si>
    <t>G/I/25-26/01319</t>
  </si>
  <si>
    <t>G/I/25-26/01320</t>
  </si>
  <si>
    <t>G/I/25-26/01321</t>
  </si>
  <si>
    <t>G/I/25-26/01322</t>
  </si>
  <si>
    <t>G/I/25-26/01323</t>
  </si>
  <si>
    <t>G/I/25-26/01324</t>
  </si>
  <si>
    <t>G/I/25-26/01325</t>
  </si>
  <si>
    <t>G/I/25-26/01326</t>
  </si>
  <si>
    <t>05Z502423618AC5</t>
  </si>
  <si>
    <t>05Z502422263AC5</t>
  </si>
  <si>
    <t>05Z502423626AC5</t>
  </si>
  <si>
    <t>05Z502423111AC5</t>
  </si>
  <si>
    <t>05Z502422760AC5</t>
  </si>
  <si>
    <t>05Z502425025AC5</t>
  </si>
  <si>
    <t>05Z502424037AC5</t>
  </si>
  <si>
    <t>05Z502422999AC5</t>
  </si>
  <si>
    <t>G/I/25-26/01327</t>
  </si>
  <si>
    <t>G/I/25-26/01328</t>
  </si>
  <si>
    <t>05Z502400480AC5</t>
  </si>
  <si>
    <t>05Z502400499AC5</t>
  </si>
  <si>
    <t>05Z502400502AC5</t>
  </si>
  <si>
    <t>05Z502400510AC5</t>
  </si>
  <si>
    <t>05Z502400529AC5</t>
  </si>
  <si>
    <t>05Z502400537AC5</t>
  </si>
  <si>
    <t>05Z502400553AC5</t>
  </si>
  <si>
    <t>05Z502400561AC5</t>
  </si>
  <si>
    <t>05Z502400570AC5</t>
  </si>
  <si>
    <t>05Z502400545AC5</t>
  </si>
  <si>
    <t>05Z502400596AC5</t>
  </si>
  <si>
    <t>05Z502431238AC5</t>
  </si>
  <si>
    <t>05Z502400600AC5</t>
  </si>
  <si>
    <t>05Z502400618AC5</t>
  </si>
  <si>
    <t>05Z502400588AC5</t>
  </si>
  <si>
    <t>05Z502400634AC5</t>
  </si>
  <si>
    <t>05Z502437937AC5</t>
  </si>
  <si>
    <t>05Z502400642AC5</t>
  </si>
  <si>
    <t>05Z502400650AC5</t>
  </si>
  <si>
    <t>05Z502400626AC5</t>
  </si>
  <si>
    <t>05Z502400669AC5</t>
  </si>
  <si>
    <t>05Z502438089AC5</t>
  </si>
  <si>
    <t>05Z502400677AC5</t>
  </si>
  <si>
    <t>05Z502400685AC5</t>
  </si>
  <si>
    <t>05Z502400693AC5</t>
  </si>
  <si>
    <t>05Z502400715AC5</t>
  </si>
  <si>
    <t>05Z502430088AC5</t>
  </si>
  <si>
    <t>05Z502400723AC5</t>
  </si>
  <si>
    <t>05Z502400731AC5</t>
  </si>
  <si>
    <t>05Z502400707AC5</t>
  </si>
  <si>
    <t>05Z502400758AC5</t>
  </si>
  <si>
    <t>05Z502439905AC5</t>
  </si>
  <si>
    <t>05Z502400766AC5</t>
  </si>
  <si>
    <t>05Z502400774AC5</t>
  </si>
  <si>
    <t>05Z502400740AC5</t>
  </si>
  <si>
    <t>05Z502400790AC5</t>
  </si>
  <si>
    <t>05Z502427664AC5</t>
  </si>
  <si>
    <t>05Z502400804AC5</t>
  </si>
  <si>
    <t>05Z502400812AC5</t>
  </si>
  <si>
    <t>05Z502400782AC5</t>
  </si>
  <si>
    <t>Download : X539_eNagare_2025124.txt</t>
  </si>
  <si>
    <t>910102649- 80 Qty/ 910102507-40 Qty</t>
  </si>
  <si>
    <t>910101143-02 Qty. / 910101603- 80 Qty. / 910101985-38 Qty.</t>
  </si>
  <si>
    <t xml:space="preserve">old invoice </t>
  </si>
  <si>
    <t xml:space="preserve">Barode sticker </t>
  </si>
  <si>
    <t>910101603/ 910100578</t>
  </si>
  <si>
    <t>old</t>
  </si>
  <si>
    <t>G/I/25-26/01329</t>
  </si>
  <si>
    <t>G/I/25-26/01330</t>
  </si>
  <si>
    <t>G/I/25-26/01331</t>
  </si>
  <si>
    <t>G/I/25-26/01332</t>
  </si>
  <si>
    <t>G/I/25-26/01333</t>
  </si>
  <si>
    <t>G/I/25-26/01334</t>
  </si>
  <si>
    <t>G/I/25-26/01335</t>
  </si>
  <si>
    <t>G/I/25-26/01336</t>
  </si>
  <si>
    <t>06Z503076903AC5</t>
  </si>
  <si>
    <t>06Z503082466AC5</t>
  </si>
  <si>
    <t>06Z503079856AC5</t>
  </si>
  <si>
    <t>06Z503082326AC5</t>
  </si>
  <si>
    <t>06Z503078558AC5</t>
  </si>
  <si>
    <t>06Z503080897AC5</t>
  </si>
  <si>
    <t>06Z503077691AC5</t>
  </si>
  <si>
    <t>06Z503080714AC5</t>
  </si>
  <si>
    <t>06Z503080552AC5</t>
  </si>
  <si>
    <t>G/I/25-26/01338</t>
  </si>
  <si>
    <t>G/I/25-26/01339</t>
  </si>
  <si>
    <t>06Z503058468AC5</t>
  </si>
  <si>
    <t>06Z503087123AC5</t>
  </si>
  <si>
    <t>06Z503058450AC5</t>
  </si>
  <si>
    <t>06Z503058476AC5</t>
  </si>
  <si>
    <t>06Z503058484AC5</t>
  </si>
  <si>
    <t>06Z503058506AC5</t>
  </si>
  <si>
    <t>06Z503089169AC5</t>
  </si>
  <si>
    <t>06Z503058492AC5</t>
  </si>
  <si>
    <t>06Z503058514AC5</t>
  </si>
  <si>
    <t>06Z503058522AC5</t>
  </si>
  <si>
    <t>06Z503058530AC5</t>
  </si>
  <si>
    <t>06Z503058549AC5</t>
  </si>
  <si>
    <t>06Z503058557AC5</t>
  </si>
  <si>
    <t>06Z503058565AC5</t>
  </si>
  <si>
    <t>06Z503058581AC5</t>
  </si>
  <si>
    <t>06Z503088600AC5</t>
  </si>
  <si>
    <t>06Z503058590AC5</t>
  </si>
  <si>
    <t>06Z503058603AC5</t>
  </si>
  <si>
    <t>06Z503058573AC5</t>
  </si>
  <si>
    <t>06Z503058620AC5</t>
  </si>
  <si>
    <t>06Z503096718AC5</t>
  </si>
  <si>
    <t>06Z503058638AC5</t>
  </si>
  <si>
    <t>06Z503058646AC5</t>
  </si>
  <si>
    <t>06Z503058611AC5</t>
  </si>
  <si>
    <t>06Z503058654AC5</t>
  </si>
  <si>
    <t>06Z503085740AC5</t>
  </si>
  <si>
    <t>06Z503058662AC5</t>
  </si>
  <si>
    <t>06Z503058670AC5</t>
  </si>
  <si>
    <t>06Z503058689AC5</t>
  </si>
  <si>
    <t>06Z503058700AC5</t>
  </si>
  <si>
    <t>06Z503094677AC5</t>
  </si>
  <si>
    <t>06Z503058719AC5</t>
  </si>
  <si>
    <t>06Z503058727AC5</t>
  </si>
  <si>
    <t>06Z503058697AC5</t>
  </si>
  <si>
    <t>06Z503068790AC5</t>
  </si>
  <si>
    <t>06Z503090582AC5</t>
  </si>
  <si>
    <t>06Z503068803AC5</t>
  </si>
  <si>
    <t>06Z503068811AC5</t>
  </si>
  <si>
    <t>06Z503058735AC5</t>
  </si>
  <si>
    <t>06Z503068838AC5</t>
  </si>
  <si>
    <t>06Z503096300AC5</t>
  </si>
  <si>
    <t>06Z503068846AC5</t>
  </si>
  <si>
    <t>06Z503068854AC5</t>
  </si>
  <si>
    <t>06Z503068820AC5</t>
  </si>
  <si>
    <t>Download : X539_eNagare_2025125.txt</t>
  </si>
  <si>
    <t>G/I/25-26/01340</t>
  </si>
  <si>
    <t>G/I/25-26/01341</t>
  </si>
  <si>
    <t>G/I/25-26/01342</t>
  </si>
  <si>
    <t>G/I/25-26/01343</t>
  </si>
  <si>
    <t>G/I/25-26/01344</t>
  </si>
  <si>
    <t>G/I/25-26/01345</t>
  </si>
  <si>
    <t>G/I/25-26/01346</t>
  </si>
  <si>
    <t>G/I/25-26/01347</t>
  </si>
  <si>
    <t>G/I/25-26/01348</t>
  </si>
  <si>
    <t>910100578-25 Qty. / 910101143-15 Qty.</t>
  </si>
  <si>
    <t>12504Q100266-5 Qty / 12504Q100241-6 Qty.</t>
  </si>
  <si>
    <t>12504Q100241</t>
  </si>
  <si>
    <t>08Z503606074AC5</t>
  </si>
  <si>
    <t>08Z503750116AC5</t>
  </si>
  <si>
    <t>08Z503606082AC5</t>
  </si>
  <si>
    <t>08Z503606090AC5</t>
  </si>
  <si>
    <t>08Z503606066AC5</t>
  </si>
  <si>
    <t>08Z503606112AC5</t>
  </si>
  <si>
    <t>08Z503748375AC5</t>
  </si>
  <si>
    <t>08Z503606120AC5</t>
  </si>
  <si>
    <t>08Z503606139AC5</t>
  </si>
  <si>
    <t>08Z503606104AC5</t>
  </si>
  <si>
    <t>08Z503606155AC5</t>
  </si>
  <si>
    <t>08Z503606163AC5</t>
  </si>
  <si>
    <t>08Z503606171AC5</t>
  </si>
  <si>
    <t>08Z503606147AC5</t>
  </si>
  <si>
    <t>08Z503606198AC5</t>
  </si>
  <si>
    <t>08Z503756912AC5</t>
  </si>
  <si>
    <t>08Z503606201AC5</t>
  </si>
  <si>
    <t>08Z503606210AC5</t>
  </si>
  <si>
    <t>08Z503606180AC5</t>
  </si>
  <si>
    <t>08Z503606236AC5</t>
  </si>
  <si>
    <t>08Z503745171AC5</t>
  </si>
  <si>
    <t>08Z503606244AC5</t>
  </si>
  <si>
    <t>08Z503606252AC5</t>
  </si>
  <si>
    <t>08Z503606228AC5</t>
  </si>
  <si>
    <t>08Z503606279AC5</t>
  </si>
  <si>
    <t>08Z503756890AC5</t>
  </si>
  <si>
    <t>08Z503606287AC5</t>
  </si>
  <si>
    <t>08Z503606295AC5</t>
  </si>
  <si>
    <t>08Z503606260AC5</t>
  </si>
  <si>
    <t>08Z503606317AC5</t>
  </si>
  <si>
    <t>08Z503759202AC5</t>
  </si>
  <si>
    <t>08Z503606325AC5</t>
  </si>
  <si>
    <t>08Z503606333AC5</t>
  </si>
  <si>
    <t>08Z503606309AC5</t>
  </si>
  <si>
    <t>08Z503606350AC5</t>
  </si>
  <si>
    <t>08Z503748553AC5</t>
  </si>
  <si>
    <t>08Z503606368AC5</t>
  </si>
  <si>
    <t>08Z503606376AC5</t>
  </si>
  <si>
    <t>08Z503606341AC5</t>
  </si>
  <si>
    <t>08Z503606392AC5</t>
  </si>
  <si>
    <t>08Z503748774AC5</t>
  </si>
  <si>
    <t>08Z503606406AC5</t>
  </si>
  <si>
    <t>08Z503606414AC5</t>
  </si>
  <si>
    <t>08Z503606384AC5</t>
  </si>
  <si>
    <t>G/I/25-26/01349</t>
  </si>
  <si>
    <t>G/I/25-26/01350</t>
  </si>
  <si>
    <t>G/I/25-26/01351</t>
  </si>
  <si>
    <t>G/I/25-26/01352</t>
  </si>
  <si>
    <t>G/I/25-26/01353</t>
  </si>
  <si>
    <t>G/I/25-26/01354</t>
  </si>
  <si>
    <t>G/I/25-26/01355</t>
  </si>
  <si>
    <t>G/I/25-26/01356</t>
  </si>
  <si>
    <t>GJ02AT0524</t>
  </si>
  <si>
    <t>910102863-40 Qty./ 910102786-80 Qty.</t>
  </si>
  <si>
    <t>12505Q100043</t>
  </si>
  <si>
    <t>12505Q100043-2 Qty. / 12505Q100051-13 Qty.</t>
  </si>
  <si>
    <t>AN0250009736</t>
  </si>
  <si>
    <t>AN0250009736-Barode sticker</t>
  </si>
  <si>
    <t>09Z504272846AC5</t>
  </si>
  <si>
    <t>X539</t>
  </si>
  <si>
    <t>09Z504422325AC5</t>
  </si>
  <si>
    <t>09Z504272854AC5</t>
  </si>
  <si>
    <t>09Z504272862AC5</t>
  </si>
  <si>
    <t>09Z504272838AC5</t>
  </si>
  <si>
    <t>09Z504272889AC5</t>
  </si>
  <si>
    <t>09Z504414292AC5</t>
  </si>
  <si>
    <t>09Z504284470AC5</t>
  </si>
  <si>
    <t>09Z504284488AC5</t>
  </si>
  <si>
    <t>09Z504272870AC5</t>
  </si>
  <si>
    <t>09Z504284500AC5</t>
  </si>
  <si>
    <t>09Z504421280AC5</t>
  </si>
  <si>
    <t>09Z504284518AC5</t>
  </si>
  <si>
    <t>09Z504284526AC5</t>
  </si>
  <si>
    <t>09Z504284496AC5</t>
  </si>
  <si>
    <t>09Z504284550AC5</t>
  </si>
  <si>
    <t>09Z504422481AC5</t>
  </si>
  <si>
    <t>09Z504284534AC5</t>
  </si>
  <si>
    <t>09Z504284542AC5</t>
  </si>
  <si>
    <t>09Z504284585AC5</t>
  </si>
  <si>
    <t>09Z504409710AC5</t>
  </si>
  <si>
    <t>09Z504284569AC5</t>
  </si>
  <si>
    <t>09Z504284577AC5</t>
  </si>
  <si>
    <t>09Z504284607AC5</t>
  </si>
  <si>
    <t>09Z504417402AC5</t>
  </si>
  <si>
    <t>09Z504284615AC5</t>
  </si>
  <si>
    <t>09Z504284623AC5</t>
  </si>
  <si>
    <t>09Z504284593AC5</t>
  </si>
  <si>
    <t>09Z504284640AC5</t>
  </si>
  <si>
    <t>09Z504424069AC5</t>
  </si>
  <si>
    <t>09Z504284658AC5</t>
  </si>
  <si>
    <t>09Z504284666AC5</t>
  </si>
  <si>
    <t>09Z504284631AC5</t>
  </si>
  <si>
    <t>09Z504284682AC5</t>
  </si>
  <si>
    <t>09Z504409027AC5</t>
  </si>
  <si>
    <t>09Z504284690AC5</t>
  </si>
  <si>
    <t>09Z504284704AC5</t>
  </si>
  <si>
    <t>09Z504284674AC5</t>
  </si>
  <si>
    <t>Download : X539_eNagare_2025128.txt</t>
  </si>
  <si>
    <t>G/I/25-26/01357</t>
  </si>
  <si>
    <t>G/I/25-26/01358</t>
  </si>
  <si>
    <t>G/I/25-26/01359</t>
  </si>
  <si>
    <t>G/I/25-26/01360</t>
  </si>
  <si>
    <t>G/I/25-26/01361</t>
  </si>
  <si>
    <t>G/I/25-26/01362</t>
  </si>
  <si>
    <t>G/I/25-26/01363</t>
  </si>
  <si>
    <t>G/I/25-26/01364</t>
  </si>
  <si>
    <t>Supply For</t>
  </si>
  <si>
    <t>Original DI Date</t>
  </si>
  <si>
    <t>Revised DI Date</t>
  </si>
  <si>
    <t>Vendor Code</t>
  </si>
  <si>
    <t>Part Number</t>
  </si>
  <si>
    <t>Scheduled Quantity</t>
  </si>
  <si>
    <t>Recieved Quantity</t>
  </si>
  <si>
    <t>Rejected Quantity</t>
  </si>
  <si>
    <t>Location</t>
  </si>
  <si>
    <t>DI Number</t>
  </si>
  <si>
    <t>Attention</t>
  </si>
  <si>
    <t>Price Change Flag</t>
  </si>
  <si>
    <t>Latest Batch Code</t>
  </si>
  <si>
    <t>Price</t>
  </si>
  <si>
    <t>Sales Id</t>
  </si>
  <si>
    <t>Sales No</t>
  </si>
  <si>
    <t>Price Revision List</t>
  </si>
  <si>
    <t>SPARES</t>
  </si>
  <si>
    <t>5A130M58U01</t>
  </si>
  <si>
    <t>WAD</t>
  </si>
  <si>
    <t>M25446972393</t>
  </si>
  <si>
    <t>*</t>
  </si>
  <si>
    <t>N</t>
  </si>
  <si>
    <t>AA</t>
  </si>
  <si>
    <t>Item Price Revision List</t>
  </si>
  <si>
    <t>55920M58U00</t>
  </si>
  <si>
    <t>M25446972083</t>
  </si>
  <si>
    <t>Download : X5392025128Spares.txt</t>
  </si>
  <si>
    <t xml:space="preserve"> </t>
  </si>
  <si>
    <t>10Z504888588AC5</t>
  </si>
  <si>
    <t>10Z504888596AC5</t>
  </si>
  <si>
    <t>10Z504888600AC5</t>
  </si>
  <si>
    <t>10Z504888618AC5</t>
  </si>
  <si>
    <t>10Z504888626AC5</t>
  </si>
  <si>
    <t>10Z504888634AC5</t>
  </si>
  <si>
    <t>10Z504888642AC5</t>
  </si>
  <si>
    <t>10Z504888650AC5</t>
  </si>
  <si>
    <t>10Z504888669AC5</t>
  </si>
  <si>
    <t>10Z504888677AC5</t>
  </si>
  <si>
    <t>10Z504888693AC5</t>
  </si>
  <si>
    <t>10Z504888707AC5</t>
  </si>
  <si>
    <t>10Z504888715AC5</t>
  </si>
  <si>
    <t>10Z504888685AC5</t>
  </si>
  <si>
    <t>10Z504888731AC5</t>
  </si>
  <si>
    <t>10Z504888740AC5</t>
  </si>
  <si>
    <t>10Z504888758AC5</t>
  </si>
  <si>
    <t>10Z504888723AC5</t>
  </si>
  <si>
    <t>10Z504888774AC5</t>
  </si>
  <si>
    <t>10Z504888782AC5</t>
  </si>
  <si>
    <t>10Z504888790AC5</t>
  </si>
  <si>
    <t>10Z504888766AC5</t>
  </si>
  <si>
    <t>10Z504888812AC5</t>
  </si>
  <si>
    <t>10Z504888820AC5</t>
  </si>
  <si>
    <t>10Z504888839AC5</t>
  </si>
  <si>
    <t>10Z504888804AC5</t>
  </si>
  <si>
    <t>10Z504888855AC5</t>
  </si>
  <si>
    <t>10Z504888863AC5</t>
  </si>
  <si>
    <t>10Z504888871AC5</t>
  </si>
  <si>
    <t>10Z504888847AC5</t>
  </si>
  <si>
    <t>10Z504888898AC5</t>
  </si>
  <si>
    <t>10Z504888901AC5</t>
  </si>
  <si>
    <t>10Z504888910AC5</t>
  </si>
  <si>
    <t>10Z504888880AC5</t>
  </si>
  <si>
    <t>Download : X539_eNagare_2025129.txt</t>
  </si>
  <si>
    <t>G/I/25-26/01366</t>
  </si>
  <si>
    <t>G/I/25-26/01367</t>
  </si>
  <si>
    <t>G/I/25-26/01368</t>
  </si>
  <si>
    <t>G/I/25-26/01369</t>
  </si>
  <si>
    <t>G/I/25-26/01370</t>
  </si>
  <si>
    <t>G/I/25-26/01371</t>
  </si>
  <si>
    <t>G/I/25-26/01372</t>
  </si>
  <si>
    <t>G/I/25-26/01373</t>
  </si>
  <si>
    <t>10Z505073910AC5</t>
  </si>
  <si>
    <t>10Z505090440AC5</t>
  </si>
  <si>
    <t>10Z505085802AC5</t>
  </si>
  <si>
    <t>10Z505098688AC5</t>
  </si>
  <si>
    <t>10Z505082641AC5</t>
  </si>
  <si>
    <t>10Z505069599AC5</t>
  </si>
  <si>
    <t>10Z505096952AC5</t>
  </si>
  <si>
    <t>10Z505085560AC5</t>
  </si>
  <si>
    <t>10Z505089689AC5</t>
  </si>
  <si>
    <t>10Z505071437AC5</t>
  </si>
  <si>
    <t>10Z505072034AC5</t>
  </si>
  <si>
    <t>10Z505096413AC5</t>
  </si>
  <si>
    <t>10Z505089360AC5</t>
  </si>
  <si>
    <t>10Z505092345AC5</t>
  </si>
  <si>
    <t>10Z505086450AC5</t>
  </si>
  <si>
    <t>10Z505099323AC5</t>
  </si>
  <si>
    <t>G/I/25-26/01375</t>
  </si>
  <si>
    <t>G/I/25-26/01376</t>
  </si>
  <si>
    <t>G/I/25-26/01377</t>
  </si>
  <si>
    <t>G/I/25-26/01374</t>
  </si>
  <si>
    <t>G/I/25-26/01365</t>
  </si>
  <si>
    <t>11Z505714079AC5</t>
  </si>
  <si>
    <t>11Z505768993AC5</t>
  </si>
  <si>
    <t>11Z505714087AC5</t>
  </si>
  <si>
    <t>11Z505714095AC5</t>
  </si>
  <si>
    <t>11Z505714109AC5</t>
  </si>
  <si>
    <t>11Z505714117AC5</t>
  </si>
  <si>
    <t>11Z505763924AC5</t>
  </si>
  <si>
    <t>11Z505714125AC5</t>
  </si>
  <si>
    <t>11Z505714133AC5</t>
  </si>
  <si>
    <t>11Z505714141AC5</t>
  </si>
  <si>
    <t>11Z505714168AC5</t>
  </si>
  <si>
    <t>11Z505780217AC5</t>
  </si>
  <si>
    <t>11Z505714176AC5</t>
  </si>
  <si>
    <t>11Z505714184AC5</t>
  </si>
  <si>
    <t>11Z505714150AC5</t>
  </si>
  <si>
    <t>11Z505714206AC5</t>
  </si>
  <si>
    <t>11Z505763347AC5</t>
  </si>
  <si>
    <t>11Z505714214AC5</t>
  </si>
  <si>
    <t>11Z505714222AC5</t>
  </si>
  <si>
    <t>11Z505714192AC5</t>
  </si>
  <si>
    <t>11Z505714249AC5</t>
  </si>
  <si>
    <t>11Z505763215AC5</t>
  </si>
  <si>
    <t>11Z505714257AC5</t>
  </si>
  <si>
    <t>11Z505714265AC5</t>
  </si>
  <si>
    <t>11Z505714230AC5</t>
  </si>
  <si>
    <t>11Z505714281AC5</t>
  </si>
  <si>
    <t>11Z505770203AC5</t>
  </si>
  <si>
    <t>11Z505719631AC5</t>
  </si>
  <si>
    <t>11Z505719640AC5</t>
  </si>
  <si>
    <t>11Z505714273AC5</t>
  </si>
  <si>
    <t>11Z505719666AC5</t>
  </si>
  <si>
    <t>11Z505778921AC5</t>
  </si>
  <si>
    <t>11Z505719674AC5</t>
  </si>
  <si>
    <t>11Z505719682AC5</t>
  </si>
  <si>
    <t>11Z505719658AC5</t>
  </si>
  <si>
    <t>11Z505719704AC5</t>
  </si>
  <si>
    <t>11Z505771170AC5</t>
  </si>
  <si>
    <t>11Z505719712AC5</t>
  </si>
  <si>
    <t>11Z505719720AC5</t>
  </si>
  <si>
    <t>11Z505719690AC5</t>
  </si>
  <si>
    <t>11Z505719747AC5</t>
  </si>
  <si>
    <t>11Z505758912AC5</t>
  </si>
  <si>
    <t>11Z505719755AC5</t>
  </si>
  <si>
    <t>11Z505719763AC5</t>
  </si>
  <si>
    <t>11Z505719739AC5</t>
  </si>
  <si>
    <t>Download : X539_eNagare_20251210.txt</t>
  </si>
  <si>
    <t>G/I/25-26/01380</t>
  </si>
  <si>
    <t>G/I/25-26/01381</t>
  </si>
  <si>
    <t>G/I/25-26/01382</t>
  </si>
  <si>
    <t>G/I/25-26/01383</t>
  </si>
  <si>
    <t>G/I/25-26/01384</t>
  </si>
  <si>
    <t>G/I/25-26/01385</t>
  </si>
  <si>
    <t>G/I/25-26/01386</t>
  </si>
  <si>
    <t>G/I/25-26/01387</t>
  </si>
  <si>
    <t>DC/25-26-/03</t>
  </si>
  <si>
    <t>DC/25-26-/02</t>
  </si>
  <si>
    <t>DC/25-26-/03-18 Qty. / Barode sticker- 18 Qty.</t>
  </si>
  <si>
    <t>DC/25-26-/02-18 Qty. / Barode sticker- 18 Qty.</t>
  </si>
  <si>
    <t>12509Q100239-16 Qty / old part-10 Qty.</t>
  </si>
  <si>
    <t>12509Q100239-3 Qty / old part-17 Qty.</t>
  </si>
  <si>
    <t>55830M58U10</t>
  </si>
  <si>
    <t>M25445621503</t>
  </si>
  <si>
    <t>55101M58U10-999</t>
  </si>
  <si>
    <t>M25448607863</t>
  </si>
  <si>
    <t>55102M58U10-999</t>
  </si>
  <si>
    <t>M25448466483</t>
  </si>
  <si>
    <t>M25448607873</t>
  </si>
  <si>
    <t>Download : X53920251211Spares.txt</t>
  </si>
  <si>
    <t>12Z506444229AC5</t>
  </si>
  <si>
    <t>12Z506447090AC5</t>
  </si>
  <si>
    <t>12Z506444431AC5</t>
  </si>
  <si>
    <t>12Z506445853AC5</t>
  </si>
  <si>
    <t>12Z506446906AC5</t>
  </si>
  <si>
    <t>12Z506445730AC5</t>
  </si>
  <si>
    <t>12Z506447406AC5</t>
  </si>
  <si>
    <t>G/I/25-26/01391</t>
  </si>
  <si>
    <t>G/I/25-26/01392</t>
  </si>
  <si>
    <t>12Z506306829AC5</t>
  </si>
  <si>
    <t>12Z506456545AC5</t>
  </si>
  <si>
    <t>12Z506306837AC5</t>
  </si>
  <si>
    <t>12Z506306845AC5</t>
  </si>
  <si>
    <t>12Z506306810AC5</t>
  </si>
  <si>
    <t>12Z506306861AC5</t>
  </si>
  <si>
    <t>12Z506456901AC5</t>
  </si>
  <si>
    <t>12Z506306870AC5</t>
  </si>
  <si>
    <t>12Z506315372AC5</t>
  </si>
  <si>
    <t>12Z506306853AC5</t>
  </si>
  <si>
    <t>12Z506315399AC5</t>
  </si>
  <si>
    <t>12Z506315402AC5</t>
  </si>
  <si>
    <t>12Z506315410AC5</t>
  </si>
  <si>
    <t>12Z506315380AC5</t>
  </si>
  <si>
    <t>12Z506315437AC5</t>
  </si>
  <si>
    <t>12Z506467598AC5</t>
  </si>
  <si>
    <t>12Z506315445AC5</t>
  </si>
  <si>
    <t>12Z506315453AC5</t>
  </si>
  <si>
    <t>12Z506315429AC5</t>
  </si>
  <si>
    <t>12Z506315470AC5</t>
  </si>
  <si>
    <t>12Z506455247AC5</t>
  </si>
  <si>
    <t>12Z506315488AC5</t>
  </si>
  <si>
    <t>12Z506315496AC5</t>
  </si>
  <si>
    <t>12Z506315461AC5</t>
  </si>
  <si>
    <t>12Z506315518AC5</t>
  </si>
  <si>
    <t>12Z506315526AC5</t>
  </si>
  <si>
    <t>12Z506315534AC5</t>
  </si>
  <si>
    <t>12Z506315500AC5</t>
  </si>
  <si>
    <t>12Z506315550AC5</t>
  </si>
  <si>
    <t>12Z506463142AC5</t>
  </si>
  <si>
    <t>12Z506315569AC5</t>
  </si>
  <si>
    <t>12Z506315577AC5</t>
  </si>
  <si>
    <t>12Z506315542AC5</t>
  </si>
  <si>
    <t>12Z506315593AC5</t>
  </si>
  <si>
    <t>12Z506466800AC5</t>
  </si>
  <si>
    <t>12Z506315607AC5</t>
  </si>
  <si>
    <t>12Z506315615AC5</t>
  </si>
  <si>
    <t>12Z506315585AC5</t>
  </si>
  <si>
    <t>12Z506315631AC5</t>
  </si>
  <si>
    <t>12Z506459340AC5</t>
  </si>
  <si>
    <t>12Z506315640AC5</t>
  </si>
  <si>
    <t>12Z506315658AC5</t>
  </si>
  <si>
    <t>12Z506315623AC5</t>
  </si>
  <si>
    <t>Download : X539_eNagare_20251211.txt</t>
  </si>
  <si>
    <t>910102863-40 Qty / 910103038 -40 Qty.</t>
  </si>
  <si>
    <t xml:space="preserve">Old Part </t>
  </si>
  <si>
    <t>12505Q100031-12 Qty. / 12505Q100114 - 22 Qty.</t>
  </si>
  <si>
    <t>12505Q100114</t>
  </si>
  <si>
    <t>DC/25-26-/03- 22 Qty / Barcode part - 14 Qty.</t>
  </si>
  <si>
    <t>DC/25-26-/02 - 14 Qty. /DC/25-26-/03 - 18 Qty. / Tag -04 Qty.</t>
  </si>
  <si>
    <t>G/I/25-26/01393</t>
  </si>
  <si>
    <t>G/I/25-26/01394</t>
  </si>
  <si>
    <t>G/I/25-26/01395</t>
  </si>
  <si>
    <t>G/I/25-26/01396</t>
  </si>
  <si>
    <t>G/I/25-26/01397</t>
  </si>
  <si>
    <t>G/I/25-26/01398</t>
  </si>
  <si>
    <t>G/I/25-26/01399</t>
  </si>
  <si>
    <t>G/I/25-26/01400</t>
  </si>
  <si>
    <t>13Z507003200AC5</t>
  </si>
  <si>
    <t>13Z507003218AC5</t>
  </si>
  <si>
    <t>13Z507003226AC5</t>
  </si>
  <si>
    <t>13Z507003196AC5</t>
  </si>
  <si>
    <t>13Z507003242AC5</t>
  </si>
  <si>
    <t>13Z507003250AC5</t>
  </si>
  <si>
    <t>13Z507003269AC5</t>
  </si>
  <si>
    <t>13Z507003234AC5</t>
  </si>
  <si>
    <t>13Z507003285AC5</t>
  </si>
  <si>
    <t>13Z507003293AC5</t>
  </si>
  <si>
    <t>13Z507003307AC5</t>
  </si>
  <si>
    <t>13Z507003277AC5</t>
  </si>
  <si>
    <t>13Z507003323AC5</t>
  </si>
  <si>
    <t>13Z507155000AC5</t>
  </si>
  <si>
    <t>13Z507003331AC5</t>
  </si>
  <si>
    <t>13Z507003340AC5</t>
  </si>
  <si>
    <t>13Z507003315AC5</t>
  </si>
  <si>
    <t>13Z507003366AC5</t>
  </si>
  <si>
    <t>13Z507162294AC5</t>
  </si>
  <si>
    <t>13Z507003374AC5</t>
  </si>
  <si>
    <t>13Z507003382AC5</t>
  </si>
  <si>
    <t>13Z507003358AC5</t>
  </si>
  <si>
    <t>13Z507003404AC5</t>
  </si>
  <si>
    <t>13Z507003412AC5</t>
  </si>
  <si>
    <t>13Z507003420AC5</t>
  </si>
  <si>
    <t>13Z507003390AC5</t>
  </si>
  <si>
    <t>13Z507003447AC5</t>
  </si>
  <si>
    <t>13Z507003455AC5</t>
  </si>
  <si>
    <t>13Z507003463AC5</t>
  </si>
  <si>
    <t>13Z507003439AC5</t>
  </si>
  <si>
    <t>13Z507003480AC5</t>
  </si>
  <si>
    <t>13Z507003498AC5</t>
  </si>
  <si>
    <t>13Z507003501AC5</t>
  </si>
  <si>
    <t>13Z507003471AC5</t>
  </si>
  <si>
    <t>13Z507003528AC5</t>
  </si>
  <si>
    <t>13Z507153597AC5</t>
  </si>
  <si>
    <t>13Z507003536AC5</t>
  </si>
  <si>
    <t>13Z507003544AC5</t>
  </si>
  <si>
    <t>13Z507003510AC5</t>
  </si>
  <si>
    <t>Download : X539_eNagare_20251212.txt</t>
  </si>
  <si>
    <t>G/I/25-26/01401</t>
  </si>
  <si>
    <t>G/I/25-26/01402</t>
  </si>
  <si>
    <t>G/I/25-26/01403</t>
  </si>
  <si>
    <t>G/I/25-26/01404</t>
  </si>
  <si>
    <t>G/I/25-26/01405</t>
  </si>
  <si>
    <t>G/I/25-26/01406</t>
  </si>
  <si>
    <t>G/I/25-26/01407</t>
  </si>
  <si>
    <t>G/I/25-26/01408</t>
  </si>
  <si>
    <t>G/I/25-26/01409</t>
  </si>
  <si>
    <t>Acutal dispatch date 12-12-2025</t>
  </si>
  <si>
    <t>Acutal dispatch date 11-12-2025</t>
  </si>
  <si>
    <t>DA-01</t>
  </si>
  <si>
    <t>MR446641126AD2</t>
  </si>
  <si>
    <t>MR446641136AD2</t>
  </si>
  <si>
    <t>MR446645363AD2</t>
  </si>
  <si>
    <t>MR446641146AD2</t>
  </si>
  <si>
    <t>MR446641156AD2</t>
  </si>
  <si>
    <t>MR446645373AD2</t>
  </si>
  <si>
    <t>MR446641166AD2</t>
  </si>
  <si>
    <t>MR446641176AD2</t>
  </si>
  <si>
    <t>SMG DI</t>
  </si>
  <si>
    <t>G/I/25-26/01410</t>
  </si>
  <si>
    <t>G/I/25-26/01411</t>
  </si>
  <si>
    <t>15Z507831560AC5</t>
  </si>
  <si>
    <t>15Z507867328AC5</t>
  </si>
  <si>
    <t>15Z507870612AC5</t>
  </si>
  <si>
    <t>15Z507831579AC5</t>
  </si>
  <si>
    <t>15Z507831587AC5</t>
  </si>
  <si>
    <t>15Z507831595AC5</t>
  </si>
  <si>
    <t>15Z507831609AC5</t>
  </si>
  <si>
    <t>15Z507849532AC5</t>
  </si>
  <si>
    <t>15Z507871635AC5</t>
  </si>
  <si>
    <t>15Z507831617AC5</t>
  </si>
  <si>
    <t>15Z507831625AC5</t>
  </si>
  <si>
    <t>15Z507831633AC5</t>
  </si>
  <si>
    <t>15Z507831650AC5</t>
  </si>
  <si>
    <t>15Z507859112AC5</t>
  </si>
  <si>
    <t>15Z507869266AC5</t>
  </si>
  <si>
    <t>15Z507831668AC5</t>
  </si>
  <si>
    <t>15Z507831676AC5</t>
  </si>
  <si>
    <t>15Z507831641AC5</t>
  </si>
  <si>
    <t>15Z507831692AC5</t>
  </si>
  <si>
    <t>15Z507862067AC5</t>
  </si>
  <si>
    <t>15Z507870302AC5</t>
  </si>
  <si>
    <t>15Z507831706AC5</t>
  </si>
  <si>
    <t>15Z507831714AC5</t>
  </si>
  <si>
    <t>15Z507831684AC5</t>
  </si>
  <si>
    <t>15Z507831730AC5</t>
  </si>
  <si>
    <t>15Z507853785AC5</t>
  </si>
  <si>
    <t>15Z507867824AC5</t>
  </si>
  <si>
    <t>15Z507831749AC5</t>
  </si>
  <si>
    <t>15Z507831757AC5</t>
  </si>
  <si>
    <t>15Z507831722AC5</t>
  </si>
  <si>
    <t>15Z507831773AC5</t>
  </si>
  <si>
    <t>15Z507859716AC5</t>
  </si>
  <si>
    <t>15Z507867930AC5</t>
  </si>
  <si>
    <t>15Z507831781AC5</t>
  </si>
  <si>
    <t>15Z507831790AC5</t>
  </si>
  <si>
    <t>15Z507831765AC5</t>
  </si>
  <si>
    <t>15Z507831811AC5</t>
  </si>
  <si>
    <t>15Z507861613AC5</t>
  </si>
  <si>
    <t>15Z507870698AC5</t>
  </si>
  <si>
    <t>15Z507831820AC5</t>
  </si>
  <si>
    <t>15Z507831838AC5</t>
  </si>
  <si>
    <t>15Z507831803AC5</t>
  </si>
  <si>
    <t>15Z507831854AC5</t>
  </si>
  <si>
    <t>15Z507865171AC5</t>
  </si>
  <si>
    <t>15Z507870108AC5</t>
  </si>
  <si>
    <t>15Z507831862AC5</t>
  </si>
  <si>
    <t>15Z507831870AC5</t>
  </si>
  <si>
    <t>15Z507831846AC5</t>
  </si>
  <si>
    <t>15Z507831897AC5</t>
  </si>
  <si>
    <t>15Z507850352AC5</t>
  </si>
  <si>
    <t>15Z507870035AC5</t>
  </si>
  <si>
    <t>15Z507831900AC5</t>
  </si>
  <si>
    <t>15Z507831919AC5</t>
  </si>
  <si>
    <t>15Z507831889AC5</t>
  </si>
  <si>
    <t>Download : X539_eNagare_20251213.txt</t>
  </si>
  <si>
    <t>G/I/25-26/01412</t>
  </si>
  <si>
    <t>G/I/25-26/01413</t>
  </si>
  <si>
    <t>G/I/25-26/01414</t>
  </si>
  <si>
    <t>G/I/25-26/01415</t>
  </si>
  <si>
    <t>G/I/25-26/01416</t>
  </si>
  <si>
    <t>G/I/25-26/01417</t>
  </si>
  <si>
    <t>G/I/25-26/01418</t>
  </si>
  <si>
    <t>G/I/25-26/01419</t>
  </si>
  <si>
    <t>G/I/25-26/01420</t>
  </si>
  <si>
    <t>G/I/25-26/01421</t>
  </si>
  <si>
    <t>HR47G2227</t>
  </si>
  <si>
    <t>For</t>
  </si>
  <si>
    <t>M25448463773</t>
  </si>
  <si>
    <t>M25448463833</t>
  </si>
  <si>
    <t>M25448448813</t>
  </si>
  <si>
    <t>M25448448833</t>
  </si>
  <si>
    <t>56130M58UG1</t>
  </si>
  <si>
    <t>M25448448803</t>
  </si>
  <si>
    <t>Download : X53920251214Spares.txt</t>
  </si>
  <si>
    <t>GJ27TT5965</t>
  </si>
  <si>
    <t>AN0250009858</t>
  </si>
  <si>
    <t>DC/25-26-/03-28 Qty. / AN0250009858- 8 Qty.</t>
  </si>
  <si>
    <t>OLD PART</t>
  </si>
  <si>
    <t>DC/25-26-/03-30 Qty. / AN0250009858- 4 Qty.</t>
  </si>
  <si>
    <t>910101143- 25 Qty. / 910100866-15 Qty.</t>
  </si>
  <si>
    <t>DC/25-26-/03-03 Qty. / AN0250009858- 18 Qty.</t>
  </si>
  <si>
    <t xml:space="preserve"> AN0250009858</t>
  </si>
  <si>
    <t>12504Q100229</t>
  </si>
  <si>
    <t>12504Q100229-27 Qty / OLD PART - 3 Qty.</t>
  </si>
  <si>
    <t xml:space="preserve"> AN0250009858-11 Qty. / AN0250009736- 7 Qty.</t>
  </si>
  <si>
    <t xml:space="preserve"> AN0250009736</t>
  </si>
  <si>
    <t>12505Q100125</t>
  </si>
  <si>
    <t>12504Q100271</t>
  </si>
  <si>
    <t>AN0250009736 - 32 / Sample part -4 Qty.</t>
  </si>
  <si>
    <t xml:space="preserve"> AN0250009858 - 31 / Sample part -5 Qty.</t>
  </si>
  <si>
    <t xml:space="preserve">AN0250009736 </t>
  </si>
  <si>
    <t xml:space="preserve"> AN0250009858-02 Qty / AN0250009939-32</t>
  </si>
  <si>
    <t>AN0250009736 -8 Qty. / AN0250009939-28 Qty</t>
  </si>
  <si>
    <t>910103227 - 40 Qty. / 910103038 -40 Qty.</t>
  </si>
  <si>
    <t>AN0250009936 -18 Qty. / AN0250009939-36 Qty</t>
  </si>
  <si>
    <t>AN0250009736 -18 Qty. / AN0250009939-36 Qty</t>
  </si>
  <si>
    <t>16Z508422940AC5</t>
  </si>
  <si>
    <t>16Z508587868AC5</t>
  </si>
  <si>
    <t>16Z508422958AC5</t>
  </si>
  <si>
    <t>16Z508422966AC5</t>
  </si>
  <si>
    <t>16Z508422931AC5</t>
  </si>
  <si>
    <t>16Z508422982AC5</t>
  </si>
  <si>
    <t>16Z508598037AC5</t>
  </si>
  <si>
    <t>16Z508422990AC5</t>
  </si>
  <si>
    <t>16Z508423008AC5</t>
  </si>
  <si>
    <t>16Z508422974AC5</t>
  </si>
  <si>
    <t>16Z508423024AC5</t>
  </si>
  <si>
    <t>16Z508592136AC5</t>
  </si>
  <si>
    <t>16Z508423032AC5</t>
  </si>
  <si>
    <t>16Z508423040AC5</t>
  </si>
  <si>
    <t>16Z508423016AC5</t>
  </si>
  <si>
    <t>16Z508423067AC5</t>
  </si>
  <si>
    <t>16Z508587752AC5</t>
  </si>
  <si>
    <t>16Z508423075AC5</t>
  </si>
  <si>
    <t>16Z508423059AC5</t>
  </si>
  <si>
    <t>16Z508423083AC5</t>
  </si>
  <si>
    <t>16Z508423105AC5</t>
  </si>
  <si>
    <t>16Z508586640AC5</t>
  </si>
  <si>
    <t>16Z508423113AC5</t>
  </si>
  <si>
    <t>16Z508423091AC5</t>
  </si>
  <si>
    <t>16Z508423121AC5</t>
  </si>
  <si>
    <t>16Z508423148AC5</t>
  </si>
  <si>
    <t>16Z508587400AC5</t>
  </si>
  <si>
    <t>16Z508423156AC5</t>
  </si>
  <si>
    <t>16Z508423164AC5</t>
  </si>
  <si>
    <t>16Z508423130AC5</t>
  </si>
  <si>
    <t>16Z508423180AC5</t>
  </si>
  <si>
    <t>16Z508587981AC5</t>
  </si>
  <si>
    <t>16Z508423199AC5</t>
  </si>
  <si>
    <t>16Z508423172AC5</t>
  </si>
  <si>
    <t>16Z508423202AC5</t>
  </si>
  <si>
    <t>16Z508423210AC5</t>
  </si>
  <si>
    <t>16Z508590168AC5</t>
  </si>
  <si>
    <t>16Z508423237AC5</t>
  </si>
  <si>
    <t>16Z508423229AC5</t>
  </si>
  <si>
    <t>16Z508423245AC5</t>
  </si>
  <si>
    <t>16Z508423261AC5</t>
  </si>
  <si>
    <t>16Z508592292AC5</t>
  </si>
  <si>
    <t>16Z508423288AC5</t>
  </si>
  <si>
    <t>16Z508423270AC5</t>
  </si>
  <si>
    <t>16Z508423253AC5</t>
  </si>
  <si>
    <t>Download : X539_eNagare_20251215.txt</t>
  </si>
  <si>
    <t>G/I/25-26/01424</t>
  </si>
  <si>
    <t>G/I/25-26/01425</t>
  </si>
  <si>
    <t>G/I/25-26/01426</t>
  </si>
  <si>
    <t>G/I/25-26/01427</t>
  </si>
  <si>
    <t>G/I/25-26/01428</t>
  </si>
  <si>
    <t>G/I/25-26/01429</t>
  </si>
  <si>
    <t>G/I/25-26/01430</t>
  </si>
  <si>
    <t>G/I/25-26/01431</t>
  </si>
  <si>
    <t>G/I/25-26/01432</t>
  </si>
  <si>
    <t>G/I/25-26/01433</t>
  </si>
  <si>
    <t>G/I/25-26/01434</t>
  </si>
  <si>
    <t>17Z509083294AC5</t>
  </si>
  <si>
    <t>17Z509288813AC5</t>
  </si>
  <si>
    <t>17Z509083286AC5</t>
  </si>
  <si>
    <t>17Z509083308AC5</t>
  </si>
  <si>
    <t>17Z509083278AC5</t>
  </si>
  <si>
    <t>17Z509083332AC5</t>
  </si>
  <si>
    <t>17Z509291989AC5</t>
  </si>
  <si>
    <t>17Z509083324AC5</t>
  </si>
  <si>
    <t>17Z509083340AC5</t>
  </si>
  <si>
    <t>17Z509083316AC5</t>
  </si>
  <si>
    <t>17Z509083367AC5</t>
  </si>
  <si>
    <t>17Z509083375AC5</t>
  </si>
  <si>
    <t>17Z509083383AC5</t>
  </si>
  <si>
    <t>17Z509083359AC5</t>
  </si>
  <si>
    <t>17Z509083405AC5</t>
  </si>
  <si>
    <t>17Z509290346AC5</t>
  </si>
  <si>
    <t>17Z509083413AC5</t>
  </si>
  <si>
    <t>17Z509083421AC5</t>
  </si>
  <si>
    <t>17Z509083391AC5</t>
  </si>
  <si>
    <t>17Z509083430AC5</t>
  </si>
  <si>
    <t>17Z509289585AC5</t>
  </si>
  <si>
    <t>17Z509083448AC5</t>
  </si>
  <si>
    <t>17Z509083456AC5</t>
  </si>
  <si>
    <t>17Z509083464AC5</t>
  </si>
  <si>
    <t>17Z509083472AC5</t>
  </si>
  <si>
    <t>17Z509083480AC5</t>
  </si>
  <si>
    <t>17Z509083499AC5</t>
  </si>
  <si>
    <t>17Z509083502AC5</t>
  </si>
  <si>
    <t>17Z509083529AC5</t>
  </si>
  <si>
    <t>17Z509298312AC5</t>
  </si>
  <si>
    <t>17Z509083537AC5</t>
  </si>
  <si>
    <t>17Z509083545AC5</t>
  </si>
  <si>
    <t>17Z509083510AC5</t>
  </si>
  <si>
    <t>17Z509083570AC5</t>
  </si>
  <si>
    <t>17Z509290885AC5</t>
  </si>
  <si>
    <t>17Z509083553AC5</t>
  </si>
  <si>
    <t>17Z509083561AC5</t>
  </si>
  <si>
    <t>17Z509083588AC5</t>
  </si>
  <si>
    <t>17Z509083626AC5</t>
  </si>
  <si>
    <t>17Z509298100AC5</t>
  </si>
  <si>
    <t>17Z509083600AC5</t>
  </si>
  <si>
    <t>17Z509083596AC5</t>
  </si>
  <si>
    <t>17Z509083618AC5</t>
  </si>
  <si>
    <t>Download : X539_eNagare_20251216.txt</t>
  </si>
  <si>
    <t>G/I/25-26/01435</t>
  </si>
  <si>
    <t>G/I/25-26/01436</t>
  </si>
  <si>
    <t>G/I/25-26/01437</t>
  </si>
  <si>
    <t>G/I/25-26/01438</t>
  </si>
  <si>
    <t>G/I/25-26/01439</t>
  </si>
  <si>
    <t>G/I/25-26/01440</t>
  </si>
  <si>
    <t>G/I/25-26/01441</t>
  </si>
  <si>
    <t>G/I/25-26/01442</t>
  </si>
  <si>
    <t>HR47H5465</t>
  </si>
  <si>
    <t>18Z509997210AC5</t>
  </si>
  <si>
    <t>18Z509997229AC5</t>
  </si>
  <si>
    <t>18Z509997237AC5</t>
  </si>
  <si>
    <t>18Z509997245AC5</t>
  </si>
  <si>
    <t>18Z509997253AC5</t>
  </si>
  <si>
    <t>18Z509997261AC5</t>
  </si>
  <si>
    <t>18Z509997270AC5</t>
  </si>
  <si>
    <t>18Z509997288AC5</t>
  </si>
  <si>
    <t>18Z509997300AC5</t>
  </si>
  <si>
    <t>18Z509997318AC5</t>
  </si>
  <si>
    <t>18Z509997326AC5</t>
  </si>
  <si>
    <t>18Z509997296AC5</t>
  </si>
  <si>
    <t>18Z509997334AC5</t>
  </si>
  <si>
    <t>18Z509997342AC5</t>
  </si>
  <si>
    <t>18Z509997350AC5</t>
  </si>
  <si>
    <t>18Z509997369AC5</t>
  </si>
  <si>
    <t>18Z509997377AC5</t>
  </si>
  <si>
    <t>18Z509997385AC5</t>
  </si>
  <si>
    <t>18Z509997393AC5</t>
  </si>
  <si>
    <t>18Z509997407AC5</t>
  </si>
  <si>
    <t>18Z509997423AC5</t>
  </si>
  <si>
    <t>18Z509997431AC5</t>
  </si>
  <si>
    <t>18Z509997440AC5</t>
  </si>
  <si>
    <t>18Z509997415AC5</t>
  </si>
  <si>
    <t>18Z509997458AC5</t>
  </si>
  <si>
    <t>18Z509997466AC5</t>
  </si>
  <si>
    <t>18Z509997474AC5</t>
  </si>
  <si>
    <t>18Z509997482AC5</t>
  </si>
  <si>
    <t>18Z509997512AC5</t>
  </si>
  <si>
    <t>18Z509997490AC5</t>
  </si>
  <si>
    <t>18Z509997504AC5</t>
  </si>
  <si>
    <t>18Z509997520AC5</t>
  </si>
  <si>
    <t>18Z509997539AC5</t>
  </si>
  <si>
    <t>18Z509997563AC5</t>
  </si>
  <si>
    <t>18Z509997547AC5</t>
  </si>
  <si>
    <t>18Z509997555AC5</t>
  </si>
  <si>
    <t>Download : X539_eNagare_20251217.txt</t>
  </si>
  <si>
    <t>55810M58U20</t>
  </si>
  <si>
    <t>M25447840293</t>
  </si>
  <si>
    <t>56130M58UC1</t>
  </si>
  <si>
    <t>M25447840303</t>
  </si>
  <si>
    <t>AN0250009939</t>
  </si>
  <si>
    <t>12505Q100031-24 Qty. / 12505Q100114 -3 Qty.</t>
  </si>
  <si>
    <t>-</t>
  </si>
  <si>
    <t>910103227-40 Qty./  910100866-40 Qty.</t>
  </si>
  <si>
    <t>12504Q100229-27 Qty. / 12504Q100256-3 Qty.</t>
  </si>
  <si>
    <t>12508Q100183</t>
  </si>
  <si>
    <t>AN0250010084</t>
  </si>
  <si>
    <t>AN0250009939-5 Qty./ AN0250010084-13 Qty.</t>
  </si>
  <si>
    <t>AN0250009939-7 Qty./ AN0250010084-11 Qty.</t>
  </si>
  <si>
    <t>910103227-40 Qty/ 910103483 -40 Qty.</t>
  </si>
  <si>
    <t>12505Q100051 -1 Qty. /12505Q100114 -11 Qty.</t>
  </si>
  <si>
    <t>12505Q100051 -8 Qty. /12505Q100114 -4 Qty.</t>
  </si>
  <si>
    <t>12508Q100183-18 / 12505Q100125-6</t>
  </si>
  <si>
    <t>12505Q100051</t>
  </si>
  <si>
    <t>12504Q100271-09 / 12505Q100031-8</t>
  </si>
  <si>
    <t>12505Q100031-16 Qty / 12504Q100271-4</t>
  </si>
  <si>
    <t>G/I/25-26/01443</t>
  </si>
  <si>
    <t>G/I/25-26/01444</t>
  </si>
  <si>
    <t>G/I/25-26/01445</t>
  </si>
  <si>
    <t>G/I/25-26/01446</t>
  </si>
  <si>
    <t>G/I/25-26/01447</t>
  </si>
  <si>
    <t>G/I/25-26/01448</t>
  </si>
  <si>
    <t>G/I/25-26/01449</t>
  </si>
  <si>
    <t>G/I/25-26/01450</t>
  </si>
  <si>
    <t>18Z510022856AC5</t>
  </si>
  <si>
    <t>18Z510023062AC5</t>
  </si>
  <si>
    <t>G/I/25-26/01452</t>
  </si>
  <si>
    <t>G/I/25-26/01453</t>
  </si>
  <si>
    <t>19Z510487883AC5</t>
  </si>
  <si>
    <t>19Z510714910AC5</t>
  </si>
  <si>
    <t>19Z510487891AC5</t>
  </si>
  <si>
    <t>19Z510487905AC5</t>
  </si>
  <si>
    <t>19Z510487913AC5</t>
  </si>
  <si>
    <t>19Z510487921AC5</t>
  </si>
  <si>
    <t>19Z510712038AC5</t>
  </si>
  <si>
    <t>19Z510487930AC5</t>
  </si>
  <si>
    <t>19Z510487948AC5</t>
  </si>
  <si>
    <t>19Z510487956AC5</t>
  </si>
  <si>
    <t>19Z510487972AC5</t>
  </si>
  <si>
    <t>19Z510487980AC5</t>
  </si>
  <si>
    <t>19Z510487999AC5</t>
  </si>
  <si>
    <t>19Z510487964AC5</t>
  </si>
  <si>
    <t>19Z510488006AC5</t>
  </si>
  <si>
    <t>19Z510717668AC5</t>
  </si>
  <si>
    <t>19Z510488014AC5</t>
  </si>
  <si>
    <t>19Z510488022AC5</t>
  </si>
  <si>
    <t>19Z510488030AC5</t>
  </si>
  <si>
    <t>19Z510488049AC5</t>
  </si>
  <si>
    <t>19Z510717765AC5</t>
  </si>
  <si>
    <t>19Z510488057AC5</t>
  </si>
  <si>
    <t>19Z510488065AC5</t>
  </si>
  <si>
    <t>19Z510488073AC5</t>
  </si>
  <si>
    <t>19Z510488090AC5</t>
  </si>
  <si>
    <t>19Z510715975AC5</t>
  </si>
  <si>
    <t>19Z510488103AC5</t>
  </si>
  <si>
    <t>19Z510488111AC5</t>
  </si>
  <si>
    <t>19Z510488081AC5</t>
  </si>
  <si>
    <t>19Z510488120AC5</t>
  </si>
  <si>
    <t>19Z510716190AC5</t>
  </si>
  <si>
    <t>19Z510488138AC5</t>
  </si>
  <si>
    <t>19Z510488146AC5</t>
  </si>
  <si>
    <t>19Z510488154AC5</t>
  </si>
  <si>
    <t>19Z510488162AC5</t>
  </si>
  <si>
    <t>19Z510720383AC5</t>
  </si>
  <si>
    <t>19Z510488170AC5</t>
  </si>
  <si>
    <t>19Z510488189AC5</t>
  </si>
  <si>
    <t>19Z510488197AC5</t>
  </si>
  <si>
    <t>19Z510488200AC5</t>
  </si>
  <si>
    <t>19Z510720227AC5</t>
  </si>
  <si>
    <t>19Z510488219AC5</t>
  </si>
  <si>
    <t>19Z510488227AC5</t>
  </si>
  <si>
    <t>19Z510488235AC5</t>
  </si>
  <si>
    <t>Download : X539_eNagare_20251218.txt</t>
  </si>
  <si>
    <t>12504Q100256-35 Qty. / 12504Q100229-07 Qty.</t>
  </si>
  <si>
    <t>910103227- 40 Qty / 910103227 -40 Qty.</t>
  </si>
  <si>
    <t>12505Q100031-19 Qty / 12504Q100229-3 Qty.</t>
  </si>
  <si>
    <t>12504Q100256-17 Qty. / 12504Q100229-23 Qty.</t>
  </si>
  <si>
    <t>12505Q100051-13 Qty / 12505Q100064-7 Qty.</t>
  </si>
  <si>
    <t>AN0250010084-18 Qty. / AN0250010303-18 Qty.</t>
  </si>
  <si>
    <t>12505Q100064 -11 Qty / 12505Q100051- 7 Qty.</t>
  </si>
  <si>
    <t xml:space="preserve">12505Q100064 </t>
  </si>
  <si>
    <t>G/I/25-26/01454</t>
  </si>
  <si>
    <t>G/I/25-26/01455</t>
  </si>
  <si>
    <t>G/I/25-26/01456</t>
  </si>
  <si>
    <t>G/I/25-26/01457</t>
  </si>
  <si>
    <t>G/I/25-26/01458</t>
  </si>
  <si>
    <t>G/I/25-26/01459</t>
  </si>
  <si>
    <t>G/I/25-26/01460</t>
  </si>
  <si>
    <t>G/I/25-26/01461</t>
  </si>
  <si>
    <t>G/I/25-26/01462</t>
  </si>
  <si>
    <t>G/I/25-26/01463</t>
  </si>
  <si>
    <t>M25448155373</t>
  </si>
  <si>
    <t>M25448155353</t>
  </si>
  <si>
    <t>56130M58UD1</t>
  </si>
  <si>
    <t>M25448158993</t>
  </si>
  <si>
    <t>56130M58UE1</t>
  </si>
  <si>
    <t>M25448159003</t>
  </si>
  <si>
    <t>56130M58UF1</t>
  </si>
  <si>
    <t>M25448159013</t>
  </si>
  <si>
    <t>55910M58U10</t>
  </si>
  <si>
    <t>M25447402503</t>
  </si>
  <si>
    <t>Download : X53920251219Spares.txt</t>
  </si>
  <si>
    <t>20Z511374810AC5</t>
  </si>
  <si>
    <t>20Z511424931AC5</t>
  </si>
  <si>
    <t>20Z511374829AC5</t>
  </si>
  <si>
    <t>20Z511374837AC5</t>
  </si>
  <si>
    <t>20Z511374845AC5</t>
  </si>
  <si>
    <t>20Z511374853AC5</t>
  </si>
  <si>
    <t>20Z511414421AC5</t>
  </si>
  <si>
    <t>20Z511374861AC5</t>
  </si>
  <si>
    <t>20Z511374870AC5</t>
  </si>
  <si>
    <t>20Z511374888AC5</t>
  </si>
  <si>
    <t>20Z511374900AC5</t>
  </si>
  <si>
    <t>20Z511414677AC5</t>
  </si>
  <si>
    <t>20Z511374918AC5</t>
  </si>
  <si>
    <t>20Z511374926AC5</t>
  </si>
  <si>
    <t>20Z511374896AC5</t>
  </si>
  <si>
    <t>20Z511374934AC5</t>
  </si>
  <si>
    <t>20Z511423650AC5</t>
  </si>
  <si>
    <t>20Z511374942AC5</t>
  </si>
  <si>
    <t>20Z511374950AC5</t>
  </si>
  <si>
    <t>20Z511374969AC5</t>
  </si>
  <si>
    <t>20Z511374977AC5</t>
  </si>
  <si>
    <t>20Z511409665AC5</t>
  </si>
  <si>
    <t>20Z511374985AC5</t>
  </si>
  <si>
    <t>20Z511374993AC5</t>
  </si>
  <si>
    <t>20Z511375000AC5</t>
  </si>
  <si>
    <t>20Z511375027AC5</t>
  </si>
  <si>
    <t>20Z511419369AC5</t>
  </si>
  <si>
    <t>20Z511375035AC5</t>
  </si>
  <si>
    <t>20Z511375043AC5</t>
  </si>
  <si>
    <t>20Z511375019AC5</t>
  </si>
  <si>
    <t>20Z511375051AC5</t>
  </si>
  <si>
    <t>20Z511420863AC5</t>
  </si>
  <si>
    <t>20Z511375060AC5</t>
  </si>
  <si>
    <t>20Z511375078AC5</t>
  </si>
  <si>
    <t>20Z511375086AC5</t>
  </si>
  <si>
    <t>20Z511375094AC5</t>
  </si>
  <si>
    <t>20Z511423838AC5</t>
  </si>
  <si>
    <t>20Z511375108AC5</t>
  </si>
  <si>
    <t>20Z511383550AC5</t>
  </si>
  <si>
    <t>20Z511383542AC5</t>
  </si>
  <si>
    <t>20Z511383569AC5</t>
  </si>
  <si>
    <t>20Z511426845AC5</t>
  </si>
  <si>
    <t>20Z511383577AC5</t>
  </si>
  <si>
    <t>20Z511383585AC5</t>
  </si>
  <si>
    <t>20Z511383593AC5</t>
  </si>
  <si>
    <t>Download : X539_eNagare_20251219.txt</t>
  </si>
  <si>
    <t>G/I/25-26/01464</t>
  </si>
  <si>
    <t>G/I/25-26/01465</t>
  </si>
  <si>
    <t>G/I/25-26/01466</t>
  </si>
  <si>
    <t>G/I/25-26/01467</t>
  </si>
  <si>
    <t>G/I/25-26/01468</t>
  </si>
  <si>
    <t>G/I/25-26/01469</t>
  </si>
  <si>
    <t>G/I/25-26/01470</t>
  </si>
  <si>
    <t>G/I/25-26/01471</t>
  </si>
  <si>
    <t>G/I/25-26/01472</t>
  </si>
  <si>
    <t>G/I/25-26/01473</t>
  </si>
  <si>
    <t>GJ02BT2390</t>
  </si>
  <si>
    <t>HR47E7907</t>
  </si>
  <si>
    <t>AN0250010084-44 Qty. / AN0250010303-10 Qty.</t>
  </si>
  <si>
    <t>AN0250010084-45 Qty. / AN0250010303-09 Qty.</t>
  </si>
  <si>
    <t>12504Q100256-31 Qty. / 12505Q100051-25 Qty.</t>
  </si>
  <si>
    <t>12505Q100064 -17 Qty. / 12505Q100051-18 Qty.</t>
  </si>
  <si>
    <t>12505Q100256</t>
  </si>
  <si>
    <t>12504Q100256-26 Qty. / 12504Q100229-14 Qty.</t>
  </si>
  <si>
    <t>910103483-40 Qty / 910103227 - 40 Qty.</t>
  </si>
  <si>
    <t>AN0250010303</t>
  </si>
  <si>
    <t>910103841-40 / 910103483-40</t>
  </si>
  <si>
    <t>12505Q100125-12 Qty./ 12505Q100086-30 Qty.</t>
  </si>
  <si>
    <t>12505Q100086</t>
  </si>
  <si>
    <t>12504Q100256-22 Qty. / 12505Q100051-16 Qty</t>
  </si>
  <si>
    <t>12504Q100256-37 Qty. / 12505Q100051-01 Qty.</t>
  </si>
  <si>
    <t>12505Q100051-13 Qty. / 12505Q100064-06 Qty.</t>
  </si>
  <si>
    <t>910103841-30 / 910103483-10</t>
  </si>
  <si>
    <t>12505Q100051-24 Qty / 12505Q100064 -1 Qty.</t>
  </si>
  <si>
    <t>AN0250010303-11 Qty / AN0250010383-7 Qty.</t>
  </si>
  <si>
    <t>AN0250010303-12 Qty / AN0250010383-6 Qty.</t>
  </si>
  <si>
    <t>22Z512092584AC5</t>
  </si>
  <si>
    <t>22Z512133531AC5</t>
  </si>
  <si>
    <t>22Z512144843AC5</t>
  </si>
  <si>
    <t>22Z512092576AC5</t>
  </si>
  <si>
    <t>22Z512092568AC5</t>
  </si>
  <si>
    <t>22Z512092592AC5</t>
  </si>
  <si>
    <t>22Z512092622AC5</t>
  </si>
  <si>
    <t>22Z512119040AC5</t>
  </si>
  <si>
    <t>22Z512147320AC5</t>
  </si>
  <si>
    <t>22Z512092614AC5</t>
  </si>
  <si>
    <t>22Z512092606AC5</t>
  </si>
  <si>
    <t>22Z512092630AC5</t>
  </si>
  <si>
    <t>22Z512092657AC5</t>
  </si>
  <si>
    <t>22Z512115517AC5</t>
  </si>
  <si>
    <t>22Z512136980AC5</t>
  </si>
  <si>
    <t>22Z512092665AC5</t>
  </si>
  <si>
    <t>22Z512092673AC5</t>
  </si>
  <si>
    <t>22Z512092649AC5</t>
  </si>
  <si>
    <t>22Z512092690AC5</t>
  </si>
  <si>
    <t>22Z512131997AC5</t>
  </si>
  <si>
    <t>22Z512143294AC5</t>
  </si>
  <si>
    <t>22Z512092703AC5</t>
  </si>
  <si>
    <t>22Z512092711AC5</t>
  </si>
  <si>
    <t>22Z512092681AC5</t>
  </si>
  <si>
    <t>22Z512092738AC5</t>
  </si>
  <si>
    <t>22Z512135410AC5</t>
  </si>
  <si>
    <t>22Z512142654AC5</t>
  </si>
  <si>
    <t>22Z512092746AC5</t>
  </si>
  <si>
    <t>22Z512092754AC5</t>
  </si>
  <si>
    <t>22Z512092720AC5</t>
  </si>
  <si>
    <t>22Z512092770AC5</t>
  </si>
  <si>
    <t>22Z512112704AC5</t>
  </si>
  <si>
    <t>22Z512147001AC5</t>
  </si>
  <si>
    <t>22Z512092789AC5</t>
  </si>
  <si>
    <t>22Z512092797AC5</t>
  </si>
  <si>
    <t>22Z512092762AC5</t>
  </si>
  <si>
    <t>22Z512092827AC5</t>
  </si>
  <si>
    <t>22Z512121843AC5</t>
  </si>
  <si>
    <t>22Z512138312AC5</t>
  </si>
  <si>
    <t>22Z512092819AC5</t>
  </si>
  <si>
    <t>22Z512092835AC5</t>
  </si>
  <si>
    <t>22Z512092800AC5</t>
  </si>
  <si>
    <t>22Z512092851AC5</t>
  </si>
  <si>
    <t>22Z512131571AC5</t>
  </si>
  <si>
    <t>22Z512137600AC5</t>
  </si>
  <si>
    <t>22Z512092860AC5</t>
  </si>
  <si>
    <t>22Z512092843AC5</t>
  </si>
  <si>
    <t>22Z512092878AC5</t>
  </si>
  <si>
    <t>22Z512092908AC5</t>
  </si>
  <si>
    <t>22Z512129410AC5</t>
  </si>
  <si>
    <t>22Z512141232AC5</t>
  </si>
  <si>
    <t>22Z512092894AC5</t>
  </si>
  <si>
    <t>22Z512092916AC5</t>
  </si>
  <si>
    <t>22Z512092886AC5</t>
  </si>
  <si>
    <t>Download : X539_eNagare_20251220.txt</t>
  </si>
  <si>
    <t>G/I/25-26/01475</t>
  </si>
  <si>
    <t>G/I/25-26/01476</t>
  </si>
  <si>
    <t>G/I/25-26/01477</t>
  </si>
  <si>
    <t>G/I/25-26/01478</t>
  </si>
  <si>
    <t>G/I/25-26/01479</t>
  </si>
  <si>
    <t>G/I/25-26/01480</t>
  </si>
  <si>
    <t>G/I/25-26/01481</t>
  </si>
  <si>
    <t>G/I/25-26/01482</t>
  </si>
  <si>
    <t>G/I/25-26/01483</t>
  </si>
  <si>
    <t>G/I/25-26/01484</t>
  </si>
  <si>
    <t>G/I/25-26/01485</t>
  </si>
  <si>
    <t>IT ERROR</t>
  </si>
  <si>
    <t>23Z512772500AC5</t>
  </si>
  <si>
    <t>23Z512831093AC5</t>
  </si>
  <si>
    <t>23Z512849294AC5</t>
  </si>
  <si>
    <t>23Z512772518AC5</t>
  </si>
  <si>
    <t>23Z512772526AC5</t>
  </si>
  <si>
    <t>23Z512772496AC5</t>
  </si>
  <si>
    <t>23Z512772542AC5</t>
  </si>
  <si>
    <t>23Z512842826AC5</t>
  </si>
  <si>
    <t>23Z512862967AC5</t>
  </si>
  <si>
    <t>23Z512772550AC5</t>
  </si>
  <si>
    <t>23Z512772569AC5</t>
  </si>
  <si>
    <t>23Z512772534AC5</t>
  </si>
  <si>
    <t>23Z512772585AC5</t>
  </si>
  <si>
    <t>23Z512846678AC5</t>
  </si>
  <si>
    <t>23Z512772593AC5</t>
  </si>
  <si>
    <t>23Z512772607AC5</t>
  </si>
  <si>
    <t>23Z512772577AC5</t>
  </si>
  <si>
    <t>23Z512772623AC5</t>
  </si>
  <si>
    <t>23Z512846279AC5</t>
  </si>
  <si>
    <t>23Z512856240AC5</t>
  </si>
  <si>
    <t>23Z512772631AC5</t>
  </si>
  <si>
    <t>23Z512772640AC5</t>
  </si>
  <si>
    <t>23Z512772615AC5</t>
  </si>
  <si>
    <t>23Z512772666AC5</t>
  </si>
  <si>
    <t>23Z512842680AC5</t>
  </si>
  <si>
    <t>23Z512861839AC5</t>
  </si>
  <si>
    <t>23Z512772674AC5</t>
  </si>
  <si>
    <t>23Z512772682AC5</t>
  </si>
  <si>
    <t>23Z512772658AC5</t>
  </si>
  <si>
    <t>23Z512772704AC5</t>
  </si>
  <si>
    <t>23Z512839671AC5</t>
  </si>
  <si>
    <t>23Z512772712AC5</t>
  </si>
  <si>
    <t>23Z512772720AC5</t>
  </si>
  <si>
    <t>23Z512772690AC5</t>
  </si>
  <si>
    <t>23Z512772747AC5</t>
  </si>
  <si>
    <t>23Z512845000AC5</t>
  </si>
  <si>
    <t>23Z512861685AC5</t>
  </si>
  <si>
    <t>23Z512772755AC5</t>
  </si>
  <si>
    <t>23Z512772763AC5</t>
  </si>
  <si>
    <t>23Z512772739AC5</t>
  </si>
  <si>
    <t>23Z512772798AC5</t>
  </si>
  <si>
    <t>23Z512838152AC5</t>
  </si>
  <si>
    <t>23Z512863041AC5</t>
  </si>
  <si>
    <t>23Z512772780AC5</t>
  </si>
  <si>
    <t>23Z512772771AC5</t>
  </si>
  <si>
    <t>23Z512772801AC5</t>
  </si>
  <si>
    <t>23Z512772844AC5</t>
  </si>
  <si>
    <t>23Z512825131AC5</t>
  </si>
  <si>
    <t>23Z512853356AC5</t>
  </si>
  <si>
    <t>23Z512772828AC5</t>
  </si>
  <si>
    <t>23Z512772836AC5</t>
  </si>
  <si>
    <t>23Z512772810AC5</t>
  </si>
  <si>
    <t>Download : X539_eNagare_20251222.txt</t>
  </si>
  <si>
    <t>G/I/25-26/01486</t>
  </si>
  <si>
    <t>G/I/25-26/01487</t>
  </si>
  <si>
    <t>G/I/25-26/01488</t>
  </si>
  <si>
    <t>G/I/25-26/01489</t>
  </si>
  <si>
    <t>G/I/25-26/01490</t>
  </si>
  <si>
    <t>G/I/25-26/01491</t>
  </si>
  <si>
    <t>G/I/25-26/01492</t>
  </si>
  <si>
    <t>G/I/25-26/01493</t>
  </si>
  <si>
    <t>G/I/25-26/01494</t>
  </si>
  <si>
    <t>G/I/25-26/01495</t>
  </si>
  <si>
    <t>G/I/25-26/01496</t>
  </si>
  <si>
    <t>G/I/25-26/01497</t>
  </si>
  <si>
    <t>RE-GENERATE</t>
  </si>
  <si>
    <t>24Z513485997AC5</t>
  </si>
  <si>
    <t>24Z513522256AC5</t>
  </si>
  <si>
    <t>24Z513550241AC5</t>
  </si>
  <si>
    <t>24Z513486004AC5</t>
  </si>
  <si>
    <t>24Z513485989AC5</t>
  </si>
  <si>
    <t>24Z513486020AC5</t>
  </si>
  <si>
    <t>24Z513518232AC5</t>
  </si>
  <si>
    <t>24Z513548522AC5</t>
  </si>
  <si>
    <t>24Z513486039AC5</t>
  </si>
  <si>
    <t>24Z513486012AC5</t>
  </si>
  <si>
    <t>24Z513486055AC5</t>
  </si>
  <si>
    <t>24Z513537792AC5</t>
  </si>
  <si>
    <t>24Z513545434AC5</t>
  </si>
  <si>
    <t>24Z513486063AC5</t>
  </si>
  <si>
    <t>24Z513486047AC5</t>
  </si>
  <si>
    <t>24Z513486080AC5</t>
  </si>
  <si>
    <t>24Z513523465AC5</t>
  </si>
  <si>
    <t>24Z513548948AC5</t>
  </si>
  <si>
    <t>24Z513486098AC5</t>
  </si>
  <si>
    <t>24Z513486071AC5</t>
  </si>
  <si>
    <t>24Z513486110AC5</t>
  </si>
  <si>
    <t>24Z513527347AC5</t>
  </si>
  <si>
    <t>24Z513542419AC5</t>
  </si>
  <si>
    <t>24Z513486128AC5</t>
  </si>
  <si>
    <t>24Z513486101AC5</t>
  </si>
  <si>
    <t>24Z513486144AC5</t>
  </si>
  <si>
    <t>24Z513528874AC5</t>
  </si>
  <si>
    <t>24Z513546210AC5</t>
  </si>
  <si>
    <t>24Z513486152AC5</t>
  </si>
  <si>
    <t>24Z513486136AC5</t>
  </si>
  <si>
    <t>24Z513486179AC5</t>
  </si>
  <si>
    <t>24Z513523848AC5</t>
  </si>
  <si>
    <t>24Z513543296AC5</t>
  </si>
  <si>
    <t>24Z513486187AC5</t>
  </si>
  <si>
    <t>24Z513486160AC5</t>
  </si>
  <si>
    <t>24Z513489305AC5</t>
  </si>
  <si>
    <t>24Z513530372AC5</t>
  </si>
  <si>
    <t>24Z513548077AC5</t>
  </si>
  <si>
    <t>24Z513489313AC5</t>
  </si>
  <si>
    <t>24Z513486195AC5</t>
  </si>
  <si>
    <t>24Z513489330AC5</t>
  </si>
  <si>
    <t>24Z513536109AC5</t>
  </si>
  <si>
    <t>24Z513544837AC5</t>
  </si>
  <si>
    <t>24Z513489348AC5</t>
  </si>
  <si>
    <t>24Z513489321AC5</t>
  </si>
  <si>
    <t>24Z513489356AC5</t>
  </si>
  <si>
    <t>G/I/25-26/01498</t>
  </si>
  <si>
    <t>G/I/25-26/01499</t>
  </si>
  <si>
    <t>G/I/25-26/01500</t>
  </si>
  <si>
    <t>G/I/25-26/01501</t>
  </si>
  <si>
    <t>G/I/25-26/01502</t>
  </si>
  <si>
    <t>G/I/25-26/01503</t>
  </si>
  <si>
    <t>G/I/25-26/01504</t>
  </si>
  <si>
    <t>G/I/25-26/01505</t>
  </si>
  <si>
    <t>24Z513559907AC5</t>
  </si>
  <si>
    <t>24Z513560018AC5</t>
  </si>
  <si>
    <t>24Z513560794AC5</t>
  </si>
  <si>
    <t>24Z513560182AC5</t>
  </si>
  <si>
    <t>24Z513561286AC5</t>
  </si>
  <si>
    <t>24Z513561030AC5</t>
  </si>
  <si>
    <t>24Z513562150AC5</t>
  </si>
  <si>
    <t>G/I/25-26/01508</t>
  </si>
  <si>
    <t>G/I/25-26/01509</t>
  </si>
  <si>
    <t>25Z514193868AC5</t>
  </si>
  <si>
    <t>25Z514199920AC5</t>
  </si>
  <si>
    <t>25Z514183161AC5</t>
  </si>
  <si>
    <t>25Z514200490AC5</t>
  </si>
  <si>
    <t>25Z514180561AC5</t>
  </si>
  <si>
    <t>25Z514200627AC5</t>
  </si>
  <si>
    <t>25Z514187353AC5</t>
  </si>
  <si>
    <t>25Z514197006AC5</t>
  </si>
  <si>
    <t>25Z514177005AC5</t>
  </si>
  <si>
    <t>25Z514196140AC5</t>
  </si>
  <si>
    <t>25Z514194201AC5</t>
  </si>
  <si>
    <t>25Z514199440AC5</t>
  </si>
  <si>
    <t>25Z514186764AC5</t>
  </si>
  <si>
    <t>25Z514200929AC5</t>
  </si>
  <si>
    <t>25Z514175860AC5</t>
  </si>
  <si>
    <t>25Z514197707AC5</t>
  </si>
  <si>
    <t>25Z514195747AC5</t>
  </si>
  <si>
    <t>25Z514200058AC5</t>
  </si>
  <si>
    <t>Download : X539_eNagare_20251224.txt</t>
  </si>
  <si>
    <t>G/I/25-26/01511</t>
  </si>
  <si>
    <t>G/I/25-26/01512</t>
  </si>
  <si>
    <t>G/I/25-26/01513</t>
  </si>
  <si>
    <t>G/I/25-26/01514</t>
  </si>
  <si>
    <t>G/I/25-26/01515</t>
  </si>
  <si>
    <t>G/I/25-26/01516</t>
  </si>
  <si>
    <t>26Z514839989AC5</t>
  </si>
  <si>
    <t>26Z514845253AC5</t>
  </si>
  <si>
    <t>26Z514836785AC5</t>
  </si>
  <si>
    <t>26Z514845733AC5</t>
  </si>
  <si>
    <t>26Z514844885AC5</t>
  </si>
  <si>
    <t>26Z514845709AC5</t>
  </si>
  <si>
    <t>26Z514848180AC5</t>
  </si>
  <si>
    <t>26Z514782235AC5</t>
  </si>
  <si>
    <t>26Z514835118AC5</t>
  </si>
  <si>
    <t>26Z514833743AC5</t>
  </si>
  <si>
    <t>Download : X539_eNagare_20251225.txt</t>
  </si>
  <si>
    <t>G/I/25-26/01506</t>
  </si>
  <si>
    <t>G/I/25-26/01507</t>
  </si>
  <si>
    <t>G/I/25-26/01517</t>
  </si>
  <si>
    <t>G/I/25-26/01518</t>
  </si>
  <si>
    <t>55206M58U00</t>
  </si>
  <si>
    <t>M25450633809</t>
  </si>
  <si>
    <t>M25450633759</t>
  </si>
  <si>
    <t>M25450633769</t>
  </si>
  <si>
    <t>M25450633779</t>
  </si>
  <si>
    <t>M25447402513</t>
  </si>
  <si>
    <t>M25450633789</t>
  </si>
  <si>
    <t>55940M58U00</t>
  </si>
  <si>
    <t>M25450633799</t>
  </si>
  <si>
    <t>27Z515467309AC5</t>
  </si>
  <si>
    <t>27Z515429636AC5</t>
  </si>
  <si>
    <t>27Z515465934AC5</t>
  </si>
  <si>
    <t>27Z515429644AC5</t>
  </si>
  <si>
    <t>27Z515466922AC5</t>
  </si>
  <si>
    <t>27Z515429652AC5</t>
  </si>
  <si>
    <t>27Z515488977AC5</t>
  </si>
  <si>
    <t>27Z515429660AC5</t>
  </si>
  <si>
    <t>27Z515468658AC5</t>
  </si>
  <si>
    <t>27Z515429679AC5</t>
  </si>
  <si>
    <t>27Z515483282AC5</t>
  </si>
  <si>
    <t>27Z515429687AC5</t>
  </si>
  <si>
    <t>27Z515475077AC5</t>
  </si>
  <si>
    <t>27Z515429695AC5</t>
  </si>
  <si>
    <t>27Z515465489AC5</t>
  </si>
  <si>
    <t>27Z515429709AC5</t>
  </si>
  <si>
    <t>27Z515480968AC5</t>
  </si>
  <si>
    <t>27Z515429717AC5</t>
  </si>
  <si>
    <t>Download : X539_eNagare_20251226.txt</t>
  </si>
  <si>
    <t>G/I/25-26/01520</t>
  </si>
  <si>
    <t>G/I/25-26/01521</t>
  </si>
  <si>
    <t>G/I/25-26/01522</t>
  </si>
  <si>
    <t>G/I/25-26/01523</t>
  </si>
  <si>
    <t>12504Q100229-5 Qty. / 12504Q100256-5 Qty.</t>
  </si>
  <si>
    <t>910103841-34 Qty. / 910103918-06 Qty.</t>
  </si>
  <si>
    <t>AN0250010383</t>
  </si>
  <si>
    <t>910103841-40 pcs / 910103943-40 pcs</t>
  </si>
  <si>
    <t>12505Q100051-26 PCS / 12505Q100064-14 PCS</t>
  </si>
  <si>
    <t>910103841-40 PCS / 910103978-40 PCS</t>
  </si>
  <si>
    <t>AN0250010383 - 18+18</t>
  </si>
  <si>
    <t>12505Q100064</t>
  </si>
  <si>
    <t xml:space="preserve">AN0250010383 </t>
  </si>
  <si>
    <t>910103943 -40+40</t>
  </si>
  <si>
    <t>12505Q100256-05 PCS / 12505Q100064-15 PCS</t>
  </si>
  <si>
    <t>12505Q100086-24 PCS/ 12505Q100152-18 PCS</t>
  </si>
  <si>
    <t>910103943 - 40+40</t>
  </si>
  <si>
    <t>12505Q100152</t>
  </si>
  <si>
    <t>AN0250010383-15PCS/AN0250010408-3+18PCS</t>
  </si>
  <si>
    <t>AN0250010383-18PCS/AN0250010408-18PCS</t>
  </si>
  <si>
    <t>910103978 - 40+40</t>
  </si>
  <si>
    <t>12504Q100086</t>
  </si>
  <si>
    <t>AN0250010408 - 18+18</t>
  </si>
  <si>
    <t>910103978 - 40</t>
  </si>
  <si>
    <t>AN00250010625</t>
  </si>
  <si>
    <t>AN0250010408 - 18+17 / AN00250010625 - 1 PCS</t>
  </si>
  <si>
    <t>12505Q100064 - 43PCS</t>
  </si>
  <si>
    <t>12505Q100043 - 13PCS</t>
  </si>
  <si>
    <t>910103943 -80 PCS-910104284 -40 PCS</t>
  </si>
  <si>
    <t>12505Q100051-21 / 12505Q100256-10 PCS</t>
  </si>
  <si>
    <t>G/I/25-26/01390</t>
  </si>
  <si>
    <t>G/I/25-26/01422</t>
  </si>
  <si>
    <t>G/I/25-26/01451</t>
  </si>
  <si>
    <t>G/I/25-26/01474</t>
  </si>
  <si>
    <t>AN0250010625</t>
  </si>
  <si>
    <t>AN0250010625-18 PCS / AN0250010835</t>
  </si>
  <si>
    <t>AN0250010625-18 PCS / AN0250010835 -18 PCS</t>
  </si>
  <si>
    <t>AN0250010625-12 Qty. / AN0250010835-6 Qty.</t>
  </si>
  <si>
    <t>AN0250010625-14 Qty. / AN0250010835-4 Qty.</t>
  </si>
  <si>
    <t>sample part -6 / AN0250010835-12</t>
  </si>
  <si>
    <t>sample part -13 / AN0250010835-05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</si>
</sst>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Verdana"/>
      <family val="2"/>
    </font>
    <font>
      <sz val="12"/>
      <color rgb="FFFF0000"/>
      <name val="Arial"/>
      <family val="2"/>
    </font>
    <font>
      <b/>
      <sz val="11"/>
      <color rgb="FFFF0000"/>
      <name val="Verdana"/>
      <family val="2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003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rgb="FF990033"/>
      </left>
      <right/>
      <top/>
      <bottom/>
      <diagonal/>
    </border>
    <border>
      <left/>
      <right style="medium">
        <color rgb="FF990033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rgb="FF990033"/>
      </left>
      <right style="medium">
        <color rgb="FF990033"/>
      </right>
      <top style="medium">
        <color rgb="FF990033"/>
      </top>
      <bottom style="medium">
        <color rgb="FF990033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5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20" fontId="1" fillId="0" borderId="6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15" fontId="1" fillId="3" borderId="1" xfId="0" applyNumberFormat="1" applyFont="1" applyFill="1" applyBorder="1" applyAlignment="1">
      <alignment horizontal="center" vertical="center"/>
    </xf>
    <xf numFmtId="20" fontId="1" fillId="3" borderId="1" xfId="0" applyNumberFormat="1" applyFont="1" applyFill="1" applyBorder="1" applyAlignment="1">
      <alignment horizontal="center" vertical="center"/>
    </xf>
    <xf numFmtId="20" fontId="1" fillId="0" borderId="5" xfId="0" applyNumberFormat="1" applyFont="1" applyBorder="1" applyAlignment="1">
      <alignment horizontal="center" vertical="center"/>
    </xf>
    <xf numFmtId="20" fontId="1" fillId="0" borderId="10" xfId="0" applyNumberFormat="1" applyFont="1" applyBorder="1" applyAlignment="1">
      <alignment horizontal="center" vertical="center"/>
    </xf>
    <xf numFmtId="20" fontId="1" fillId="3" borderId="7" xfId="0" applyNumberFormat="1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justify" vertical="center" wrapText="1"/>
    </xf>
    <xf numFmtId="0" fontId="6" fillId="0" borderId="11" xfId="0" applyFont="1" applyBorder="1" applyAlignment="1">
      <alignment horizontal="justify" vertical="center"/>
    </xf>
    <xf numFmtId="14" fontId="6" fillId="0" borderId="11" xfId="0" applyNumberFormat="1" applyFont="1" applyBorder="1" applyAlignment="1">
      <alignment horizontal="justify" vertical="center"/>
    </xf>
    <xf numFmtId="0" fontId="6" fillId="0" borderId="11" xfId="0" applyFont="1" applyBorder="1" applyAlignment="1">
      <alignment horizontal="justify" vertical="center" wrapText="1"/>
    </xf>
    <xf numFmtId="20" fontId="1" fillId="3" borderId="6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justify" vertical="center"/>
    </xf>
    <xf numFmtId="14" fontId="6" fillId="3" borderId="11" xfId="0" applyNumberFormat="1" applyFont="1" applyFill="1" applyBorder="1" applyAlignment="1">
      <alignment horizontal="justify" vertical="center"/>
    </xf>
    <xf numFmtId="0" fontId="6" fillId="0" borderId="11" xfId="0" applyFont="1" applyBorder="1" applyAlignment="1">
      <alignment horizontal="center" vertical="center"/>
    </xf>
    <xf numFmtId="0" fontId="7" fillId="0" borderId="0" xfId="0" applyFont="1"/>
    <xf numFmtId="20" fontId="1" fillId="3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/>
    <xf numFmtId="0" fontId="6" fillId="0" borderId="0" xfId="0" applyFont="1"/>
    <xf numFmtId="0" fontId="1" fillId="0" borderId="1" xfId="0" applyFont="1" applyBorder="1" applyAlignment="1">
      <alignment horizontal="left" vertical="center" wrapText="1"/>
    </xf>
    <xf numFmtId="20" fontId="9" fillId="0" borderId="5" xfId="0" applyNumberFormat="1" applyFont="1" applyBorder="1" applyAlignment="1">
      <alignment horizontal="center" vertical="center"/>
    </xf>
    <xf numFmtId="0" fontId="10" fillId="0" borderId="0" xfId="0" applyFont="1"/>
    <xf numFmtId="0" fontId="1" fillId="0" borderId="6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4" fillId="0" borderId="8" xfId="1" applyBorder="1" applyAlignment="1">
      <alignment horizontal="left" vertical="center" wrapText="1"/>
    </xf>
    <xf numFmtId="0" fontId="4" fillId="0" borderId="0" xfId="1" applyBorder="1" applyAlignment="1">
      <alignment horizontal="left" vertical="center" wrapText="1"/>
    </xf>
    <xf numFmtId="0" fontId="4" fillId="0" borderId="9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1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92.168.1.248/downloads/temp/X539_eNagare_20251129.log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192.168.1.248/downloads/temp/X539_eNagare_2025121.log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192.168.1.248/downloads/temp/X539_eNagare_2025122.log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192.168.1.248/downloads/temp/X539_eNagare_2025123.log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192.168.1.248/downloads/temp/X539_eNagare_2025124.log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192.168.1.248/downloads/temp/X539_eNagare_2025125.lo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192.168.1.248/downloads/temp/X539_eNagare_2025128.lo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192.168.1.248/downloads/temp/X5392025128Spares.log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192.168.1.248/downloads/temp/X539_eNagare_2025129.log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192.168.1.248/downloads/temp/X539_eNagare_20251210.log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192.168.1.248/downloads/temp/X53920251211Spares.log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192.168.1.248/downloads/temp/X539_eNagare_20251211.log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192.168.1.248/downloads/temp/X539_eNagare_20251212.log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192.168.1.248/downloads/temp/X539_eNagare_20251213.log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://192.168.1.249/downloads/temp/X53920251214Spares.log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192.168.1.249/downloads/temp/X539_eNagare_20251215.log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192.168.1.249/downloads/temp/X539_eNagare_20251216.log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://192.168.1.248/downloads/temp/X539_eNagare_20251217.log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192.168.1.248/downloads/temp/X539_eNagare_20251218.log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://192.168.1.248/downloads/temp/X53920251219Spares.log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192.168.1.248/downloads/temp/X539_eNagare_20251219.log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://192.168.1.248/downloads/temp/X539_eNagare_20251220.log" TargetMode="Externa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://192.168.1.248/downloads/temp/X539_eNagare_20251222.log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://192.168.1.248/downloads/temp/X539_eNagare_20251224.log" TargetMode="Externa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http://192.168.1.248/downloads/temp/X539_eNagare_20251225.log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hyperlink" Target="http://192.168.1.248/downloads/temp/X539_eNagare_20251226.l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sqref="A1:E10"/>
    </sheetView>
  </sheetViews>
  <sheetFormatPr defaultRowHeight="15" x14ac:dyDescent="0.25"/>
  <cols>
    <col min="1" max="1" width="14.140625" bestFit="1" customWidth="1"/>
    <col min="2" max="2" width="12.7109375" bestFit="1" customWidth="1"/>
    <col min="3" max="3" width="11.5703125" bestFit="1" customWidth="1"/>
    <col min="4" max="4" width="16.140625" bestFit="1" customWidth="1"/>
    <col min="5" max="5" width="10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>
        <v>18</v>
      </c>
      <c r="E2" s="2" t="s">
        <v>8</v>
      </c>
    </row>
    <row r="3" spans="1:5" x14ac:dyDescent="0.25">
      <c r="A3" s="2" t="s">
        <v>9</v>
      </c>
      <c r="B3" s="2" t="s">
        <v>10</v>
      </c>
      <c r="C3" s="2" t="s">
        <v>11</v>
      </c>
      <c r="D3" s="2">
        <v>18</v>
      </c>
      <c r="E3" s="2" t="s">
        <v>8</v>
      </c>
    </row>
    <row r="4" spans="1:5" x14ac:dyDescent="0.25">
      <c r="A4" s="2" t="s">
        <v>12</v>
      </c>
      <c r="B4" s="2" t="s">
        <v>13</v>
      </c>
      <c r="C4" s="2" t="s">
        <v>14</v>
      </c>
      <c r="D4" s="2">
        <v>40</v>
      </c>
      <c r="E4" s="2" t="s">
        <v>15</v>
      </c>
    </row>
    <row r="5" spans="1:5" x14ac:dyDescent="0.25">
      <c r="A5" s="2" t="s">
        <v>16</v>
      </c>
      <c r="B5" s="2" t="s">
        <v>17</v>
      </c>
      <c r="C5" s="2" t="s">
        <v>18</v>
      </c>
      <c r="D5" s="2">
        <v>2</v>
      </c>
      <c r="E5" s="2" t="s">
        <v>19</v>
      </c>
    </row>
    <row r="6" spans="1:5" x14ac:dyDescent="0.25">
      <c r="A6" s="2" t="s">
        <v>20</v>
      </c>
      <c r="B6" s="2" t="s">
        <v>21</v>
      </c>
      <c r="C6" s="2" t="s">
        <v>22</v>
      </c>
      <c r="D6" s="2">
        <v>2</v>
      </c>
      <c r="E6" s="2" t="s">
        <v>19</v>
      </c>
    </row>
    <row r="7" spans="1:5" x14ac:dyDescent="0.25">
      <c r="A7" s="2" t="s">
        <v>23</v>
      </c>
      <c r="B7" s="2" t="s">
        <v>24</v>
      </c>
      <c r="C7" s="2" t="s">
        <v>25</v>
      </c>
      <c r="D7" s="2">
        <v>40</v>
      </c>
      <c r="E7" s="2" t="s">
        <v>15</v>
      </c>
    </row>
    <row r="8" spans="1:5" x14ac:dyDescent="0.25">
      <c r="A8" s="2" t="s">
        <v>26</v>
      </c>
      <c r="B8" s="2" t="s">
        <v>27</v>
      </c>
      <c r="C8" s="2" t="s">
        <v>28</v>
      </c>
      <c r="D8" s="2">
        <v>6</v>
      </c>
      <c r="E8" s="2" t="s">
        <v>19</v>
      </c>
    </row>
    <row r="9" spans="1:5" x14ac:dyDescent="0.25">
      <c r="A9" s="2" t="s">
        <v>29</v>
      </c>
      <c r="B9" s="2" t="s">
        <v>30</v>
      </c>
      <c r="C9" s="2" t="s">
        <v>31</v>
      </c>
      <c r="D9" s="2">
        <v>1</v>
      </c>
      <c r="E9" s="2" t="s">
        <v>19</v>
      </c>
    </row>
    <row r="10" spans="1:5" x14ac:dyDescent="0.25">
      <c r="A10" s="2" t="s">
        <v>32</v>
      </c>
      <c r="B10" s="2" t="s">
        <v>33</v>
      </c>
      <c r="C10" s="2" t="s">
        <v>34</v>
      </c>
      <c r="D10" s="2">
        <v>1</v>
      </c>
      <c r="E10" s="2" t="s">
        <v>19</v>
      </c>
    </row>
  </sheetData>
  <conditionalFormatting sqref="A1:B1">
    <cfRule type="duplicateValues" dxfId="134" priority="7"/>
    <cfRule type="duplicateValues" dxfId="133" priority="8"/>
  </conditionalFormatting>
  <conditionalFormatting sqref="A1:B10">
    <cfRule type="containsText" dxfId="132" priority="3" operator="containsText" text="17521M68PA0">
      <formula>NOT(ISERROR(SEARCH("17521M68PA0",A1)))</formula>
    </cfRule>
    <cfRule type="containsText" dxfId="131" priority="4" operator="containsText" text="17521M74T00">
      <formula>NOT(ISERROR(SEARCH("17521M74T00",A1)))</formula>
    </cfRule>
  </conditionalFormatting>
  <conditionalFormatting sqref="A2:B10">
    <cfRule type="duplicateValues" dxfId="130" priority="5"/>
    <cfRule type="duplicateValues" dxfId="129" priority="6"/>
  </conditionalFormatting>
  <conditionalFormatting sqref="C1:E10">
    <cfRule type="containsText" dxfId="128" priority="1" operator="containsText" text="BELT,WATER PUMP - 5PK 913">
      <formula>NOT(ISERROR(SEARCH("BELT,WATER PUMP - 5PK 913",C1)))</formula>
    </cfRule>
    <cfRule type="containsText" dxfId="127" priority="2" operator="containsText" text="BELT,WATER PUMP - 7PK 975">
      <formula>NOT(ISERROR(SEARCH("BELT,WATER PUMP - 7PK 975",C1)))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9"/>
  <sheetViews>
    <sheetView topLeftCell="A19" workbookViewId="0">
      <selection activeCell="K15" sqref="K15"/>
    </sheetView>
  </sheetViews>
  <sheetFormatPr defaultColWidth="22.42578125" defaultRowHeight="15" x14ac:dyDescent="0.25"/>
  <cols>
    <col min="1" max="1" width="15.42578125" bestFit="1" customWidth="1"/>
    <col min="2" max="2" width="18.140625" customWidth="1"/>
    <col min="3" max="4" width="14.140625" bestFit="1" customWidth="1"/>
    <col min="5" max="5" width="32.5703125" bestFit="1" customWidth="1"/>
    <col min="6" max="6" width="9.7109375" bestFit="1" customWidth="1"/>
    <col min="7" max="7" width="7.7109375" bestFit="1" customWidth="1"/>
    <col min="8" max="8" width="9.28515625" bestFit="1" customWidth="1"/>
    <col min="9" max="9" width="4.7109375" bestFit="1" customWidth="1"/>
    <col min="10" max="10" width="4.42578125" bestFit="1" customWidth="1"/>
    <col min="11" max="11" width="9" bestFit="1" customWidth="1"/>
    <col min="12" max="12" width="10.28515625" bestFit="1" customWidth="1"/>
    <col min="13" max="13" width="7.140625" bestFit="1" customWidth="1"/>
    <col min="14" max="14" width="7.85546875" bestFit="1" customWidth="1"/>
    <col min="15" max="15" width="11.140625" customWidth="1"/>
    <col min="16" max="16" width="31.42578125" customWidth="1"/>
  </cols>
  <sheetData>
    <row r="1" spans="1:16" ht="23.25" x14ac:dyDescent="0.25">
      <c r="A1" s="53" t="s">
        <v>93</v>
      </c>
      <c r="B1" s="53"/>
      <c r="C1" s="53"/>
      <c r="D1" s="53"/>
      <c r="E1" s="53"/>
      <c r="F1" s="53"/>
      <c r="G1" s="2"/>
      <c r="H1" s="2"/>
      <c r="I1" s="2"/>
      <c r="J1" s="54" t="s">
        <v>94</v>
      </c>
      <c r="K1" s="55"/>
      <c r="L1" s="55"/>
      <c r="M1" s="55"/>
      <c r="N1" s="55"/>
      <c r="O1" s="3"/>
      <c r="P1" s="4"/>
    </row>
    <row r="2" spans="1:16" ht="15.75" x14ac:dyDescent="0.25">
      <c r="A2" s="5" t="s">
        <v>95</v>
      </c>
      <c r="B2" s="6">
        <v>45992</v>
      </c>
      <c r="C2" s="7"/>
      <c r="D2" s="7"/>
      <c r="E2" s="2"/>
      <c r="F2" s="8"/>
      <c r="G2" s="2"/>
      <c r="H2" s="2"/>
      <c r="I2" s="2"/>
      <c r="J2" s="2"/>
      <c r="K2" s="2"/>
      <c r="L2" s="56" t="s">
        <v>96</v>
      </c>
      <c r="M2" s="57"/>
      <c r="N2" s="58"/>
      <c r="O2" s="2"/>
      <c r="P2" s="9"/>
    </row>
    <row r="3" spans="1:16" s="11" customFormat="1" ht="30" x14ac:dyDescent="0.25">
      <c r="A3" s="10" t="s">
        <v>97</v>
      </c>
      <c r="B3" s="10" t="s">
        <v>35</v>
      </c>
      <c r="C3" s="10" t="s">
        <v>0</v>
      </c>
      <c r="D3" s="10" t="s">
        <v>98</v>
      </c>
      <c r="E3" s="10" t="s">
        <v>2</v>
      </c>
      <c r="F3" s="10" t="s">
        <v>36</v>
      </c>
      <c r="G3" s="10" t="s">
        <v>37</v>
      </c>
      <c r="H3" s="10" t="s">
        <v>38</v>
      </c>
      <c r="I3" s="10" t="s">
        <v>99</v>
      </c>
      <c r="J3" s="10" t="s">
        <v>100</v>
      </c>
      <c r="K3" s="10" t="s">
        <v>101</v>
      </c>
      <c r="L3" s="10" t="s">
        <v>102</v>
      </c>
      <c r="M3" s="10" t="s">
        <v>103</v>
      </c>
      <c r="N3" s="10" t="s">
        <v>104</v>
      </c>
      <c r="O3" s="10" t="s">
        <v>96</v>
      </c>
      <c r="P3" s="10" t="s">
        <v>105</v>
      </c>
    </row>
    <row r="4" spans="1:16" x14ac:dyDescent="0.25">
      <c r="A4" s="15" t="s">
        <v>106</v>
      </c>
      <c r="B4" s="18" t="s">
        <v>39</v>
      </c>
      <c r="C4" s="2" t="s">
        <v>5</v>
      </c>
      <c r="D4" s="2" t="str">
        <f>VLOOKUP($C4,Sheet1!$A$2:$B$10,2,0)</f>
        <v>141110-14600</v>
      </c>
      <c r="E4" s="8" t="s">
        <v>40</v>
      </c>
      <c r="F4" s="12">
        <v>45992</v>
      </c>
      <c r="G4" s="13">
        <v>0.47916666666666669</v>
      </c>
      <c r="H4" s="2" t="s">
        <v>41</v>
      </c>
      <c r="I4" s="2" t="s">
        <v>42</v>
      </c>
      <c r="J4" s="2">
        <v>18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1">
        <v>1</v>
      </c>
      <c r="O4" s="2" t="s">
        <v>110</v>
      </c>
      <c r="P4" s="2" t="s">
        <v>167</v>
      </c>
    </row>
    <row r="5" spans="1:16" x14ac:dyDescent="0.25">
      <c r="A5" s="15" t="s">
        <v>106</v>
      </c>
      <c r="B5" s="18" t="s">
        <v>46</v>
      </c>
      <c r="C5" s="2" t="s">
        <v>9</v>
      </c>
      <c r="D5" s="2" t="str">
        <f>VLOOKUP($C5,Sheet1!$A$2:$B$10,2,0)</f>
        <v>141120-14600</v>
      </c>
      <c r="E5" s="8" t="s">
        <v>47</v>
      </c>
      <c r="F5" s="12">
        <v>45992</v>
      </c>
      <c r="G5" s="13">
        <v>0.47916666666666669</v>
      </c>
      <c r="H5" s="2" t="s">
        <v>41</v>
      </c>
      <c r="I5" s="2" t="s">
        <v>42</v>
      </c>
      <c r="J5" s="2">
        <v>18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2"/>
      <c r="O5" s="2" t="s">
        <v>110</v>
      </c>
      <c r="P5" s="2" t="s">
        <v>167</v>
      </c>
    </row>
    <row r="6" spans="1:16" x14ac:dyDescent="0.25">
      <c r="A6" s="15" t="s">
        <v>106</v>
      </c>
      <c r="B6" s="18" t="s">
        <v>43</v>
      </c>
      <c r="C6" s="2" t="s">
        <v>5</v>
      </c>
      <c r="D6" s="2" t="str">
        <f>VLOOKUP($C6,Sheet1!$A$2:$B$10,2,0)</f>
        <v>141110-14600</v>
      </c>
      <c r="E6" s="8" t="s">
        <v>40</v>
      </c>
      <c r="F6" s="12">
        <v>45992</v>
      </c>
      <c r="G6" s="13">
        <v>0.47916666666666669</v>
      </c>
      <c r="H6" s="2" t="s">
        <v>41</v>
      </c>
      <c r="I6" s="2" t="s">
        <v>42</v>
      </c>
      <c r="J6" s="2">
        <v>18</v>
      </c>
      <c r="K6" s="14">
        <f>VLOOKUP($C6,Sheet1!$A$2:$D$10,4,0)</f>
        <v>18</v>
      </c>
      <c r="L6" s="14" t="str">
        <f>VLOOKUP($C6,Sheet1!$A$2:$E$10,5,0)</f>
        <v>Trolley (H)</v>
      </c>
      <c r="M6" s="14"/>
      <c r="N6" s="51">
        <v>1</v>
      </c>
      <c r="O6" s="2" t="s">
        <v>110</v>
      </c>
      <c r="P6" s="2" t="s">
        <v>167</v>
      </c>
    </row>
    <row r="7" spans="1:16" x14ac:dyDescent="0.25">
      <c r="A7" s="15" t="s">
        <v>106</v>
      </c>
      <c r="B7" s="18" t="s">
        <v>48</v>
      </c>
      <c r="C7" s="2" t="s">
        <v>9</v>
      </c>
      <c r="D7" s="2" t="str">
        <f>VLOOKUP($C7,Sheet1!$A$2:$B$10,2,0)</f>
        <v>141120-14600</v>
      </c>
      <c r="E7" s="8" t="s">
        <v>47</v>
      </c>
      <c r="F7" s="12">
        <v>45992</v>
      </c>
      <c r="G7" s="13">
        <v>0.47916666666666669</v>
      </c>
      <c r="H7" s="2" t="s">
        <v>41</v>
      </c>
      <c r="I7" s="2" t="s">
        <v>42</v>
      </c>
      <c r="J7" s="2">
        <v>18</v>
      </c>
      <c r="K7" s="14">
        <f>VLOOKUP($C7,Sheet1!$A$2:$D$10,4,0)</f>
        <v>18</v>
      </c>
      <c r="L7" s="14" t="str">
        <f>VLOOKUP($C7,Sheet1!$A$2:$E$10,5,0)</f>
        <v>Trolley (H)</v>
      </c>
      <c r="M7" s="14"/>
      <c r="N7" s="52"/>
      <c r="O7" s="2" t="s">
        <v>110</v>
      </c>
      <c r="P7" s="2" t="s">
        <v>167</v>
      </c>
    </row>
    <row r="8" spans="1:16" x14ac:dyDescent="0.25">
      <c r="A8" s="15" t="s">
        <v>106</v>
      </c>
      <c r="B8" s="18" t="s">
        <v>51</v>
      </c>
      <c r="C8" s="2" t="s">
        <v>12</v>
      </c>
      <c r="D8" s="2" t="str">
        <f>VLOOKUP($C8,Sheet1!$A$2:$B$10,2,0)</f>
        <v>141185-74670</v>
      </c>
      <c r="E8" s="8" t="s">
        <v>52</v>
      </c>
      <c r="F8" s="12">
        <v>45992</v>
      </c>
      <c r="G8" s="13">
        <v>0.47916666666666669</v>
      </c>
      <c r="H8" s="2" t="s">
        <v>41</v>
      </c>
      <c r="I8" s="2" t="s">
        <v>42</v>
      </c>
      <c r="J8" s="2">
        <v>40</v>
      </c>
      <c r="K8" s="14">
        <f>VLOOKUP($C8,Sheet1!$A$2:$D$10,4,0)</f>
        <v>40</v>
      </c>
      <c r="L8" s="14" t="str">
        <f>VLOOKUP($C8,Sheet1!$A$2:$E$10,5,0)</f>
        <v>Trolley</v>
      </c>
      <c r="M8" s="14"/>
      <c r="N8" s="2">
        <f>J8/K8</f>
        <v>1</v>
      </c>
      <c r="O8" s="2" t="s">
        <v>110</v>
      </c>
      <c r="P8" s="2">
        <v>910102507</v>
      </c>
    </row>
    <row r="9" spans="1:16" x14ac:dyDescent="0.25">
      <c r="A9" s="15" t="s">
        <v>106</v>
      </c>
      <c r="B9" s="18" t="s">
        <v>53</v>
      </c>
      <c r="C9" s="2" t="s">
        <v>12</v>
      </c>
      <c r="D9" s="2" t="str">
        <f>VLOOKUP($C9,Sheet1!$A$2:$B$10,2,0)</f>
        <v>141185-74670</v>
      </c>
      <c r="E9" s="8" t="s">
        <v>52</v>
      </c>
      <c r="F9" s="12">
        <v>45992</v>
      </c>
      <c r="G9" s="13">
        <v>0.47916666666666669</v>
      </c>
      <c r="H9" s="2" t="s">
        <v>41</v>
      </c>
      <c r="I9" s="2" t="s">
        <v>42</v>
      </c>
      <c r="J9" s="2">
        <v>40</v>
      </c>
      <c r="K9" s="14">
        <f>VLOOKUP($C9,Sheet1!$A$2:$D$10,4,0)</f>
        <v>40</v>
      </c>
      <c r="L9" s="14" t="str">
        <f>VLOOKUP($C9,Sheet1!$A$2:$E$10,5,0)</f>
        <v>Trolley</v>
      </c>
      <c r="M9" s="14"/>
      <c r="N9" s="2">
        <f>J9/K9</f>
        <v>1</v>
      </c>
      <c r="O9" s="2" t="s">
        <v>110</v>
      </c>
      <c r="P9" s="2">
        <v>910102507</v>
      </c>
    </row>
    <row r="10" spans="1:16" x14ac:dyDescent="0.25">
      <c r="A10" s="15" t="s">
        <v>106</v>
      </c>
      <c r="B10" s="18" t="s">
        <v>56</v>
      </c>
      <c r="C10" s="2" t="s">
        <v>16</v>
      </c>
      <c r="D10" s="2" t="str">
        <f>VLOOKUP($C10,Sheet1!$A$2:$B$10,2,0)</f>
        <v>141140-91211</v>
      </c>
      <c r="E10" s="8" t="s">
        <v>57</v>
      </c>
      <c r="F10" s="12">
        <v>45992</v>
      </c>
      <c r="G10" s="13">
        <v>0.47916666666666669</v>
      </c>
      <c r="H10" s="2" t="s">
        <v>58</v>
      </c>
      <c r="I10" s="2" t="s">
        <v>42</v>
      </c>
      <c r="J10" s="2">
        <v>20</v>
      </c>
      <c r="K10" s="14">
        <f>VLOOKUP($C10,Sheet1!$A$2:$D$10,4,0)</f>
        <v>2</v>
      </c>
      <c r="L10" s="14" t="str">
        <f>VLOOKUP($C10,Sheet1!$A$2:$E$10,5,0)</f>
        <v>Bin</v>
      </c>
      <c r="M10" s="14">
        <f>J10/K10</f>
        <v>10</v>
      </c>
      <c r="N10" s="2"/>
      <c r="O10" s="2" t="s">
        <v>110</v>
      </c>
      <c r="P10" s="2" t="s">
        <v>168</v>
      </c>
    </row>
    <row r="11" spans="1:16" x14ac:dyDescent="0.25">
      <c r="A11" s="15" t="s">
        <v>106</v>
      </c>
      <c r="B11" s="18" t="s">
        <v>59</v>
      </c>
      <c r="C11" s="2" t="s">
        <v>16</v>
      </c>
      <c r="D11" s="2" t="str">
        <f>VLOOKUP($C11,Sheet1!$A$2:$B$10,2,0)</f>
        <v>141140-91211</v>
      </c>
      <c r="E11" s="8" t="s">
        <v>57</v>
      </c>
      <c r="F11" s="12">
        <v>45992</v>
      </c>
      <c r="G11" s="13">
        <v>0.47916666666666669</v>
      </c>
      <c r="H11" s="2" t="s">
        <v>58</v>
      </c>
      <c r="I11" s="2" t="s">
        <v>42</v>
      </c>
      <c r="J11" s="2">
        <v>26</v>
      </c>
      <c r="K11" s="14">
        <f>VLOOKUP($C11,Sheet1!$A$2:$D$10,4,0)</f>
        <v>2</v>
      </c>
      <c r="L11" s="14" t="str">
        <f>VLOOKUP($C11,Sheet1!$A$2:$E$10,5,0)</f>
        <v>Bin</v>
      </c>
      <c r="M11" s="14">
        <f t="shared" ref="M11:M13" si="0">J11/K11</f>
        <v>13</v>
      </c>
      <c r="N11" s="2"/>
      <c r="O11" s="2" t="s">
        <v>110</v>
      </c>
      <c r="P11" s="2" t="s">
        <v>168</v>
      </c>
    </row>
    <row r="12" spans="1:16" x14ac:dyDescent="0.25">
      <c r="A12" s="15" t="s">
        <v>106</v>
      </c>
      <c r="B12" s="18" t="s">
        <v>63</v>
      </c>
      <c r="C12" s="2" t="s">
        <v>20</v>
      </c>
      <c r="D12" s="2" t="str">
        <f>VLOOKUP($C12,Sheet1!$A$2:$B$10,2,0)</f>
        <v>141150-91211</v>
      </c>
      <c r="E12" s="8" t="s">
        <v>64</v>
      </c>
      <c r="F12" s="12">
        <v>45992</v>
      </c>
      <c r="G12" s="13">
        <v>0.47916666666666669</v>
      </c>
      <c r="H12" s="2" t="s">
        <v>58</v>
      </c>
      <c r="I12" s="2" t="s">
        <v>42</v>
      </c>
      <c r="J12" s="2">
        <v>20</v>
      </c>
      <c r="K12" s="14">
        <f>VLOOKUP($C12,Sheet1!$A$2:$D$10,4,0)</f>
        <v>2</v>
      </c>
      <c r="L12" s="14" t="str">
        <f>VLOOKUP($C12,Sheet1!$A$2:$E$10,5,0)</f>
        <v>Bin</v>
      </c>
      <c r="M12" s="14">
        <f t="shared" si="0"/>
        <v>10</v>
      </c>
      <c r="N12" s="2"/>
      <c r="O12" s="2" t="s">
        <v>110</v>
      </c>
      <c r="P12" s="2" t="s">
        <v>168</v>
      </c>
    </row>
    <row r="13" spans="1:16" x14ac:dyDescent="0.25">
      <c r="A13" s="15" t="s">
        <v>106</v>
      </c>
      <c r="B13" s="18" t="s">
        <v>65</v>
      </c>
      <c r="C13" s="2" t="s">
        <v>20</v>
      </c>
      <c r="D13" s="2" t="str">
        <f>VLOOKUP($C13,Sheet1!$A$2:$B$10,2,0)</f>
        <v>141150-91211</v>
      </c>
      <c r="E13" s="8" t="s">
        <v>64</v>
      </c>
      <c r="F13" s="12">
        <v>45992</v>
      </c>
      <c r="G13" s="13">
        <v>0.47916666666666669</v>
      </c>
      <c r="H13" s="2" t="s">
        <v>58</v>
      </c>
      <c r="I13" s="2" t="s">
        <v>42</v>
      </c>
      <c r="J13" s="2">
        <v>26</v>
      </c>
      <c r="K13" s="14">
        <f>VLOOKUP($C13,Sheet1!$A$2:$D$10,4,0)</f>
        <v>2</v>
      </c>
      <c r="L13" s="14" t="str">
        <f>VLOOKUP($C13,Sheet1!$A$2:$E$10,5,0)</f>
        <v>Bin</v>
      </c>
      <c r="M13" s="14">
        <f t="shared" si="0"/>
        <v>13</v>
      </c>
      <c r="N13" s="2"/>
      <c r="O13" s="2" t="s">
        <v>110</v>
      </c>
      <c r="P13" s="2" t="s">
        <v>168</v>
      </c>
    </row>
    <row r="14" spans="1:16" x14ac:dyDescent="0.25">
      <c r="A14" s="15" t="s">
        <v>106</v>
      </c>
      <c r="B14" s="18" t="s">
        <v>69</v>
      </c>
      <c r="C14" s="2" t="s">
        <v>23</v>
      </c>
      <c r="D14" s="2" t="str">
        <f>VLOOKUP($C14,Sheet1!$A$2:$B$10,2,0)</f>
        <v>141186-74360</v>
      </c>
      <c r="E14" s="8" t="s">
        <v>70</v>
      </c>
      <c r="F14" s="12">
        <v>45992</v>
      </c>
      <c r="G14" s="13">
        <v>0.47916666666666669</v>
      </c>
      <c r="H14" s="2" t="s">
        <v>58</v>
      </c>
      <c r="I14" s="2" t="s">
        <v>42</v>
      </c>
      <c r="J14" s="2">
        <v>40</v>
      </c>
      <c r="K14" s="14">
        <f>VLOOKUP($C14,Sheet1!$A$2:$D$10,4,0)</f>
        <v>40</v>
      </c>
      <c r="L14" s="14" t="str">
        <f>VLOOKUP($C14,Sheet1!$A$2:$E$10,5,0)</f>
        <v>Trolley</v>
      </c>
      <c r="M14" s="14"/>
      <c r="N14" s="2">
        <f t="shared" ref="N14:N15" si="1">J14/K14</f>
        <v>1</v>
      </c>
      <c r="O14" s="2" t="s">
        <v>110</v>
      </c>
      <c r="P14" s="2">
        <v>910101143</v>
      </c>
    </row>
    <row r="15" spans="1:16" x14ac:dyDescent="0.25">
      <c r="A15" s="15" t="s">
        <v>106</v>
      </c>
      <c r="B15" s="18" t="s">
        <v>71</v>
      </c>
      <c r="C15" s="2" t="s">
        <v>23</v>
      </c>
      <c r="D15" s="2" t="str">
        <f>VLOOKUP($C15,Sheet1!$A$2:$B$10,2,0)</f>
        <v>141186-74360</v>
      </c>
      <c r="E15" s="8" t="s">
        <v>70</v>
      </c>
      <c r="F15" s="12">
        <v>45992</v>
      </c>
      <c r="G15" s="13">
        <v>0.47916666666666669</v>
      </c>
      <c r="H15" s="2" t="s">
        <v>58</v>
      </c>
      <c r="I15" s="2" t="s">
        <v>42</v>
      </c>
      <c r="J15" s="2">
        <v>40</v>
      </c>
      <c r="K15" s="14">
        <f>VLOOKUP($C15,Sheet1!$A$2:$D$10,4,0)</f>
        <v>40</v>
      </c>
      <c r="L15" s="14" t="str">
        <f>VLOOKUP($C15,Sheet1!$A$2:$E$10,5,0)</f>
        <v>Trolley</v>
      </c>
      <c r="M15" s="14"/>
      <c r="N15" s="2">
        <f t="shared" si="1"/>
        <v>1</v>
      </c>
      <c r="O15" s="2" t="s">
        <v>110</v>
      </c>
      <c r="P15" s="2">
        <v>910101143</v>
      </c>
    </row>
    <row r="16" spans="1:16" x14ac:dyDescent="0.25">
      <c r="A16" s="15" t="s">
        <v>107</v>
      </c>
      <c r="B16" s="18" t="s">
        <v>74</v>
      </c>
      <c r="C16" s="2" t="s">
        <v>26</v>
      </c>
      <c r="D16" s="2" t="str">
        <f>VLOOKUP($C16,Sheet1!$A$2:$B$10,2,0)</f>
        <v>116040-92240</v>
      </c>
      <c r="E16" s="8" t="s">
        <v>75</v>
      </c>
      <c r="F16" s="12">
        <v>45992</v>
      </c>
      <c r="G16" s="13">
        <v>0.47916666666666669</v>
      </c>
      <c r="H16" s="2" t="s">
        <v>76</v>
      </c>
      <c r="I16" s="2" t="s">
        <v>42</v>
      </c>
      <c r="J16" s="2">
        <v>24</v>
      </c>
      <c r="K16" s="14">
        <f>VLOOKUP($C16,Sheet1!$A$2:$D$10,4,0)</f>
        <v>6</v>
      </c>
      <c r="L16" s="14" t="str">
        <f>VLOOKUP($C16,Sheet1!$A$2:$E$10,5,0)</f>
        <v>Bin</v>
      </c>
      <c r="M16" s="14">
        <f t="shared" ref="M16:M21" si="2">J16/K16</f>
        <v>4</v>
      </c>
      <c r="N16" s="2"/>
      <c r="O16" s="2" t="s">
        <v>110</v>
      </c>
      <c r="P16" s="2" t="s">
        <v>169</v>
      </c>
    </row>
    <row r="17" spans="1:16" x14ac:dyDescent="0.25">
      <c r="A17" s="15" t="s">
        <v>107</v>
      </c>
      <c r="B17" s="18" t="s">
        <v>77</v>
      </c>
      <c r="C17" s="2" t="s">
        <v>26</v>
      </c>
      <c r="D17" s="2" t="str">
        <f>VLOOKUP($C17,Sheet1!$A$2:$B$10,2,0)</f>
        <v>116040-92240</v>
      </c>
      <c r="E17" s="8" t="s">
        <v>75</v>
      </c>
      <c r="F17" s="12">
        <v>45992</v>
      </c>
      <c r="G17" s="13">
        <v>0.47916666666666669</v>
      </c>
      <c r="H17" s="2" t="s">
        <v>76</v>
      </c>
      <c r="I17" s="2" t="s">
        <v>42</v>
      </c>
      <c r="J17" s="2">
        <v>30</v>
      </c>
      <c r="K17" s="14">
        <f>VLOOKUP($C17,Sheet1!$A$2:$D$10,4,0)</f>
        <v>6</v>
      </c>
      <c r="L17" s="14" t="str">
        <f>VLOOKUP($C17,Sheet1!$A$2:$E$10,5,0)</f>
        <v>Bin</v>
      </c>
      <c r="M17" s="14">
        <f t="shared" si="2"/>
        <v>5</v>
      </c>
      <c r="N17" s="2"/>
      <c r="O17" s="2" t="s">
        <v>110</v>
      </c>
      <c r="P17" s="2" t="s">
        <v>169</v>
      </c>
    </row>
    <row r="18" spans="1:16" x14ac:dyDescent="0.25">
      <c r="A18" s="15" t="s">
        <v>107</v>
      </c>
      <c r="B18" s="18" t="s">
        <v>81</v>
      </c>
      <c r="C18" s="2" t="s">
        <v>32</v>
      </c>
      <c r="D18" s="2" t="str">
        <f>VLOOKUP($C18,Sheet1!$A$2:$B$10,2,0)</f>
        <v>114010-50820</v>
      </c>
      <c r="E18" s="8" t="s">
        <v>82</v>
      </c>
      <c r="F18" s="12">
        <v>45992</v>
      </c>
      <c r="G18" s="13">
        <v>0.47916666666666669</v>
      </c>
      <c r="H18" s="2" t="s">
        <v>76</v>
      </c>
      <c r="I18" s="2" t="s">
        <v>42</v>
      </c>
      <c r="J18" s="2">
        <v>5</v>
      </c>
      <c r="K18" s="14">
        <f>VLOOKUP($C18,Sheet1!$A$2:$D$10,4,0)</f>
        <v>1</v>
      </c>
      <c r="L18" s="14" t="str">
        <f>VLOOKUP($C18,Sheet1!$A$2:$E$10,5,0)</f>
        <v>Bin</v>
      </c>
      <c r="M18" s="14">
        <f t="shared" si="2"/>
        <v>5</v>
      </c>
      <c r="N18" s="2"/>
      <c r="O18" s="2" t="s">
        <v>110</v>
      </c>
      <c r="P18" s="2" t="s">
        <v>170</v>
      </c>
    </row>
    <row r="19" spans="1:16" x14ac:dyDescent="0.25">
      <c r="A19" s="15" t="s">
        <v>107</v>
      </c>
      <c r="B19" s="18" t="s">
        <v>83</v>
      </c>
      <c r="C19" s="2" t="s">
        <v>32</v>
      </c>
      <c r="D19" s="2" t="str">
        <f>VLOOKUP($C19,Sheet1!$A$2:$B$10,2,0)</f>
        <v>114010-50820</v>
      </c>
      <c r="E19" s="8" t="s">
        <v>82</v>
      </c>
      <c r="F19" s="12">
        <v>45992</v>
      </c>
      <c r="G19" s="13">
        <v>0.47916666666666669</v>
      </c>
      <c r="H19" s="2" t="s">
        <v>76</v>
      </c>
      <c r="I19" s="2" t="s">
        <v>42</v>
      </c>
      <c r="J19" s="2">
        <v>1</v>
      </c>
      <c r="K19" s="14">
        <f>VLOOKUP($C19,Sheet1!$A$2:$D$10,4,0)</f>
        <v>1</v>
      </c>
      <c r="L19" s="14" t="str">
        <f>VLOOKUP($C19,Sheet1!$A$2:$E$10,5,0)</f>
        <v>Bin</v>
      </c>
      <c r="M19" s="14">
        <f t="shared" si="2"/>
        <v>1</v>
      </c>
      <c r="N19" s="2"/>
      <c r="O19" s="2" t="s">
        <v>110</v>
      </c>
      <c r="P19" s="2" t="s">
        <v>171</v>
      </c>
    </row>
    <row r="20" spans="1:16" x14ac:dyDescent="0.25">
      <c r="A20" s="15" t="s">
        <v>107</v>
      </c>
      <c r="B20" s="18" t="s">
        <v>87</v>
      </c>
      <c r="C20" s="2" t="s">
        <v>29</v>
      </c>
      <c r="D20" s="2" t="str">
        <f>VLOOKUP($C20,Sheet1!$A$2:$B$10,2,0)</f>
        <v>114010-50830</v>
      </c>
      <c r="E20" s="8" t="s">
        <v>82</v>
      </c>
      <c r="F20" s="12">
        <v>45992</v>
      </c>
      <c r="G20" s="13">
        <v>0.47916666666666669</v>
      </c>
      <c r="H20" s="2" t="s">
        <v>76</v>
      </c>
      <c r="I20" s="2" t="s">
        <v>42</v>
      </c>
      <c r="J20" s="2">
        <v>15</v>
      </c>
      <c r="K20" s="14">
        <f>VLOOKUP($C20,Sheet1!$A$2:$D$10,4,0)</f>
        <v>1</v>
      </c>
      <c r="L20" s="14" t="str">
        <f>VLOOKUP($C20,Sheet1!$A$2:$E$10,5,0)</f>
        <v>Bin</v>
      </c>
      <c r="M20" s="14">
        <f t="shared" si="2"/>
        <v>15</v>
      </c>
      <c r="N20" s="2"/>
      <c r="O20" s="2" t="s">
        <v>110</v>
      </c>
      <c r="P20" s="2" t="s">
        <v>171</v>
      </c>
    </row>
    <row r="21" spans="1:16" x14ac:dyDescent="0.25">
      <c r="A21" s="15" t="s">
        <v>107</v>
      </c>
      <c r="B21" s="18" t="s">
        <v>88</v>
      </c>
      <c r="C21" s="2" t="s">
        <v>29</v>
      </c>
      <c r="D21" s="2" t="str">
        <f>VLOOKUP($C21,Sheet1!$A$2:$B$10,2,0)</f>
        <v>114010-50830</v>
      </c>
      <c r="E21" s="8" t="s">
        <v>82</v>
      </c>
      <c r="F21" s="12">
        <v>45992</v>
      </c>
      <c r="G21" s="13">
        <v>0.47916666666666669</v>
      </c>
      <c r="H21" s="2" t="s">
        <v>76</v>
      </c>
      <c r="I21" s="2" t="s">
        <v>42</v>
      </c>
      <c r="J21" s="2">
        <v>25</v>
      </c>
      <c r="K21" s="14">
        <f>VLOOKUP($C21,Sheet1!$A$2:$D$10,4,0)</f>
        <v>1</v>
      </c>
      <c r="L21" s="14" t="str">
        <f>VLOOKUP($C21,Sheet1!$A$2:$E$10,5,0)</f>
        <v>Bin</v>
      </c>
      <c r="M21" s="14">
        <f t="shared" si="2"/>
        <v>25</v>
      </c>
      <c r="N21" s="2"/>
      <c r="O21" s="2" t="s">
        <v>110</v>
      </c>
      <c r="P21" s="2" t="s">
        <v>171</v>
      </c>
    </row>
    <row r="22" spans="1:16" s="11" customForma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>
        <v>101</v>
      </c>
      <c r="N22" s="10">
        <v>6</v>
      </c>
      <c r="O22" s="10"/>
      <c r="P22" s="10"/>
    </row>
    <row r="23" spans="1:16" x14ac:dyDescent="0.25">
      <c r="A23" s="15" t="s">
        <v>108</v>
      </c>
      <c r="B23" s="18" t="s">
        <v>44</v>
      </c>
      <c r="C23" s="2" t="s">
        <v>5</v>
      </c>
      <c r="D23" s="2" t="str">
        <f>VLOOKUP($C23,Sheet1!$A$2:$B$10,2,0)</f>
        <v>141110-14600</v>
      </c>
      <c r="E23" s="8" t="s">
        <v>40</v>
      </c>
      <c r="F23" s="12">
        <v>45992</v>
      </c>
      <c r="G23" s="13">
        <v>0.52083333333333337</v>
      </c>
      <c r="H23" s="2" t="s">
        <v>41</v>
      </c>
      <c r="I23" s="2" t="s">
        <v>42</v>
      </c>
      <c r="J23" s="2">
        <v>18</v>
      </c>
      <c r="K23" s="14">
        <f>VLOOKUP($C23,Sheet1!$A$2:$D$10,4,0)</f>
        <v>18</v>
      </c>
      <c r="L23" s="14" t="str">
        <f>VLOOKUP($C23,Sheet1!$A$2:$E$10,5,0)</f>
        <v>Trolley (H)</v>
      </c>
      <c r="M23" s="14"/>
      <c r="N23" s="51">
        <v>1</v>
      </c>
      <c r="O23" s="2" t="s">
        <v>111</v>
      </c>
      <c r="P23" s="2" t="s">
        <v>167</v>
      </c>
    </row>
    <row r="24" spans="1:16" x14ac:dyDescent="0.25">
      <c r="A24" s="15" t="s">
        <v>108</v>
      </c>
      <c r="B24" s="18" t="s">
        <v>49</v>
      </c>
      <c r="C24" s="2" t="s">
        <v>9</v>
      </c>
      <c r="D24" s="2" t="str">
        <f>VLOOKUP($C24,Sheet1!$A$2:$B$10,2,0)</f>
        <v>141120-14600</v>
      </c>
      <c r="E24" s="8" t="s">
        <v>47</v>
      </c>
      <c r="F24" s="12">
        <v>45992</v>
      </c>
      <c r="G24" s="13">
        <v>0.52083333333333337</v>
      </c>
      <c r="H24" s="2" t="s">
        <v>41</v>
      </c>
      <c r="I24" s="2" t="s">
        <v>42</v>
      </c>
      <c r="J24" s="2">
        <v>18</v>
      </c>
      <c r="K24" s="14">
        <f>VLOOKUP($C24,Sheet1!$A$2:$D$10,4,0)</f>
        <v>18</v>
      </c>
      <c r="L24" s="14" t="str">
        <f>VLOOKUP($C24,Sheet1!$A$2:$E$10,5,0)</f>
        <v>Trolley (H)</v>
      </c>
      <c r="M24" s="14"/>
      <c r="N24" s="52"/>
      <c r="O24" s="2" t="s">
        <v>111</v>
      </c>
      <c r="P24" s="2" t="s">
        <v>167</v>
      </c>
    </row>
    <row r="25" spans="1:16" x14ac:dyDescent="0.25">
      <c r="A25" s="15" t="s">
        <v>108</v>
      </c>
      <c r="B25" s="18" t="s">
        <v>54</v>
      </c>
      <c r="C25" s="2" t="s">
        <v>12</v>
      </c>
      <c r="D25" s="2" t="str">
        <f>VLOOKUP($C25,Sheet1!$A$2:$B$10,2,0)</f>
        <v>141185-74670</v>
      </c>
      <c r="E25" s="8" t="s">
        <v>52</v>
      </c>
      <c r="F25" s="12">
        <v>45992</v>
      </c>
      <c r="G25" s="13">
        <v>0.52083333333333337</v>
      </c>
      <c r="H25" s="2" t="s">
        <v>41</v>
      </c>
      <c r="I25" s="2" t="s">
        <v>42</v>
      </c>
      <c r="J25" s="2">
        <v>40</v>
      </c>
      <c r="K25" s="14">
        <f>VLOOKUP($C25,Sheet1!$A$2:$D$10,4,0)</f>
        <v>40</v>
      </c>
      <c r="L25" s="14" t="str">
        <f>VLOOKUP($C25,Sheet1!$A$2:$E$10,5,0)</f>
        <v>Trolley</v>
      </c>
      <c r="M25" s="14"/>
      <c r="N25" s="2">
        <f>J25/K25</f>
        <v>1</v>
      </c>
      <c r="O25" s="2" t="s">
        <v>111</v>
      </c>
      <c r="P25" s="2">
        <v>910102507</v>
      </c>
    </row>
    <row r="26" spans="1:16" x14ac:dyDescent="0.25">
      <c r="A26" s="15" t="s">
        <v>108</v>
      </c>
      <c r="B26" s="18" t="s">
        <v>60</v>
      </c>
      <c r="C26" s="2" t="s">
        <v>16</v>
      </c>
      <c r="D26" s="2" t="str">
        <f>VLOOKUP($C26,Sheet1!$A$2:$B$10,2,0)</f>
        <v>141140-91211</v>
      </c>
      <c r="E26" s="8" t="s">
        <v>57</v>
      </c>
      <c r="F26" s="12">
        <v>45992</v>
      </c>
      <c r="G26" s="13">
        <v>0.52083333333333337</v>
      </c>
      <c r="H26" s="2" t="s">
        <v>58</v>
      </c>
      <c r="I26" s="2" t="s">
        <v>42</v>
      </c>
      <c r="J26" s="2">
        <v>20</v>
      </c>
      <c r="K26" s="14">
        <f>VLOOKUP($C26,Sheet1!$A$2:$D$10,4,0)</f>
        <v>2</v>
      </c>
      <c r="L26" s="14" t="str">
        <f>VLOOKUP($C26,Sheet1!$A$2:$E$10,5,0)</f>
        <v>Bin</v>
      </c>
      <c r="M26" s="14">
        <f t="shared" ref="M26:M27" si="3">J26/K26</f>
        <v>10</v>
      </c>
      <c r="N26" s="2"/>
      <c r="O26" s="2" t="s">
        <v>111</v>
      </c>
      <c r="P26" s="2" t="s">
        <v>168</v>
      </c>
    </row>
    <row r="27" spans="1:16" x14ac:dyDescent="0.25">
      <c r="A27" s="15" t="s">
        <v>108</v>
      </c>
      <c r="B27" s="18" t="s">
        <v>66</v>
      </c>
      <c r="C27" s="2" t="s">
        <v>20</v>
      </c>
      <c r="D27" s="2" t="str">
        <f>VLOOKUP($C27,Sheet1!$A$2:$B$10,2,0)</f>
        <v>141150-91211</v>
      </c>
      <c r="E27" s="8" t="s">
        <v>64</v>
      </c>
      <c r="F27" s="12">
        <v>45992</v>
      </c>
      <c r="G27" s="13">
        <v>0.52083333333333337</v>
      </c>
      <c r="H27" s="2" t="s">
        <v>58</v>
      </c>
      <c r="I27" s="2" t="s">
        <v>42</v>
      </c>
      <c r="J27" s="2">
        <v>20</v>
      </c>
      <c r="K27" s="14">
        <f>VLOOKUP($C27,Sheet1!$A$2:$D$10,4,0)</f>
        <v>2</v>
      </c>
      <c r="L27" s="14" t="str">
        <f>VLOOKUP($C27,Sheet1!$A$2:$E$10,5,0)</f>
        <v>Bin</v>
      </c>
      <c r="M27" s="14">
        <f t="shared" si="3"/>
        <v>10</v>
      </c>
      <c r="N27" s="2"/>
      <c r="O27" s="2" t="s">
        <v>111</v>
      </c>
      <c r="P27" s="2" t="s">
        <v>168</v>
      </c>
    </row>
    <row r="28" spans="1:16" x14ac:dyDescent="0.25">
      <c r="A28" s="15" t="s">
        <v>108</v>
      </c>
      <c r="B28" s="18" t="s">
        <v>72</v>
      </c>
      <c r="C28" s="2" t="s">
        <v>23</v>
      </c>
      <c r="D28" s="2" t="str">
        <f>VLOOKUP($C28,Sheet1!$A$2:$B$10,2,0)</f>
        <v>141186-74360</v>
      </c>
      <c r="E28" s="8" t="s">
        <v>70</v>
      </c>
      <c r="F28" s="12">
        <v>45992</v>
      </c>
      <c r="G28" s="13">
        <v>0.52083333333333337</v>
      </c>
      <c r="H28" s="2" t="s">
        <v>58</v>
      </c>
      <c r="I28" s="2" t="s">
        <v>42</v>
      </c>
      <c r="J28" s="2">
        <v>40</v>
      </c>
      <c r="K28" s="14">
        <f>VLOOKUP($C28,Sheet1!$A$2:$D$10,4,0)</f>
        <v>40</v>
      </c>
      <c r="L28" s="14" t="str">
        <f>VLOOKUP($C28,Sheet1!$A$2:$E$10,5,0)</f>
        <v>Trolley</v>
      </c>
      <c r="M28" s="14"/>
      <c r="N28" s="2">
        <f>J28/K28</f>
        <v>1</v>
      </c>
      <c r="O28" s="2" t="s">
        <v>111</v>
      </c>
      <c r="P28" s="2">
        <v>910101143</v>
      </c>
    </row>
    <row r="29" spans="1:16" x14ac:dyDescent="0.25">
      <c r="A29" s="15" t="s">
        <v>109</v>
      </c>
      <c r="B29" s="18" t="s">
        <v>78</v>
      </c>
      <c r="C29" s="2" t="s">
        <v>26</v>
      </c>
      <c r="D29" s="2" t="str">
        <f>VLOOKUP($C29,Sheet1!$A$2:$B$10,2,0)</f>
        <v>116040-92240</v>
      </c>
      <c r="E29" s="8" t="s">
        <v>75</v>
      </c>
      <c r="F29" s="12">
        <v>45992</v>
      </c>
      <c r="G29" s="13">
        <v>0.52083333333333337</v>
      </c>
      <c r="H29" s="2" t="s">
        <v>76</v>
      </c>
      <c r="I29" s="2" t="s">
        <v>42</v>
      </c>
      <c r="J29" s="2">
        <v>18</v>
      </c>
      <c r="K29" s="14">
        <f>VLOOKUP($C29,Sheet1!$A$2:$D$10,4,0)</f>
        <v>6</v>
      </c>
      <c r="L29" s="14" t="str">
        <f>VLOOKUP($C29,Sheet1!$A$2:$E$10,5,0)</f>
        <v>Bin</v>
      </c>
      <c r="M29" s="14">
        <f t="shared" ref="M29:M31" si="4">J29/K29</f>
        <v>3</v>
      </c>
      <c r="N29" s="2"/>
      <c r="O29" s="2" t="s">
        <v>111</v>
      </c>
      <c r="P29" s="2" t="s">
        <v>169</v>
      </c>
    </row>
    <row r="30" spans="1:16" x14ac:dyDescent="0.25">
      <c r="A30" s="15" t="s">
        <v>109</v>
      </c>
      <c r="B30" s="18" t="s">
        <v>84</v>
      </c>
      <c r="C30" s="2" t="s">
        <v>32</v>
      </c>
      <c r="D30" s="2" t="str">
        <f>VLOOKUP($C30,Sheet1!$A$2:$B$10,2,0)</f>
        <v>114010-50820</v>
      </c>
      <c r="E30" s="8" t="s">
        <v>82</v>
      </c>
      <c r="F30" s="12">
        <v>45992</v>
      </c>
      <c r="G30" s="13">
        <v>0.52083333333333337</v>
      </c>
      <c r="H30" s="2" t="s">
        <v>76</v>
      </c>
      <c r="I30" s="2" t="s">
        <v>42</v>
      </c>
      <c r="J30" s="2">
        <v>12</v>
      </c>
      <c r="K30" s="14">
        <f>VLOOKUP($C30,Sheet1!$A$2:$D$10,4,0)</f>
        <v>1</v>
      </c>
      <c r="L30" s="14" t="str">
        <f>VLOOKUP($C30,Sheet1!$A$2:$E$10,5,0)</f>
        <v>Bin</v>
      </c>
      <c r="M30" s="14">
        <f t="shared" si="4"/>
        <v>12</v>
      </c>
      <c r="N30" s="2"/>
      <c r="O30" s="2" t="s">
        <v>111</v>
      </c>
      <c r="P30" s="2" t="s">
        <v>170</v>
      </c>
    </row>
    <row r="31" spans="1:16" x14ac:dyDescent="0.25">
      <c r="A31" s="15" t="s">
        <v>109</v>
      </c>
      <c r="B31" s="18" t="s">
        <v>89</v>
      </c>
      <c r="C31" s="2" t="s">
        <v>29</v>
      </c>
      <c r="D31" s="2" t="str">
        <f>VLOOKUP($C31,Sheet1!$A$2:$B$10,2,0)</f>
        <v>114010-50830</v>
      </c>
      <c r="E31" s="8" t="s">
        <v>82</v>
      </c>
      <c r="F31" s="12">
        <v>45992</v>
      </c>
      <c r="G31" s="13">
        <v>0.52083333333333337</v>
      </c>
      <c r="H31" s="2" t="s">
        <v>76</v>
      </c>
      <c r="I31" s="2" t="s">
        <v>42</v>
      </c>
      <c r="J31" s="2">
        <v>8</v>
      </c>
      <c r="K31" s="14">
        <f>VLOOKUP($C31,Sheet1!$A$2:$D$10,4,0)</f>
        <v>1</v>
      </c>
      <c r="L31" s="14" t="str">
        <f>VLOOKUP($C31,Sheet1!$A$2:$E$10,5,0)</f>
        <v>Bin</v>
      </c>
      <c r="M31" s="14">
        <f t="shared" si="4"/>
        <v>8</v>
      </c>
      <c r="N31" s="2"/>
      <c r="O31" s="2" t="s">
        <v>111</v>
      </c>
      <c r="P31" s="2" t="s">
        <v>171</v>
      </c>
    </row>
    <row r="32" spans="1:16" s="11" customForma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>
        <v>43</v>
      </c>
      <c r="N32" s="10">
        <v>3</v>
      </c>
      <c r="O32" s="10"/>
      <c r="P32" s="10"/>
    </row>
    <row r="33" spans="1:16" x14ac:dyDescent="0.25">
      <c r="A33" s="15" t="s">
        <v>114</v>
      </c>
      <c r="B33" s="18" t="s">
        <v>45</v>
      </c>
      <c r="C33" s="2" t="s">
        <v>5</v>
      </c>
      <c r="D33" s="2" t="str">
        <f>VLOOKUP($C33,Sheet1!$A$2:$B$10,2,0)</f>
        <v>141110-14600</v>
      </c>
      <c r="E33" s="8" t="s">
        <v>40</v>
      </c>
      <c r="F33" s="12">
        <v>45992</v>
      </c>
      <c r="G33" s="13">
        <v>0.60416666666666663</v>
      </c>
      <c r="H33" s="2" t="s">
        <v>41</v>
      </c>
      <c r="I33" s="2" t="s">
        <v>42</v>
      </c>
      <c r="J33" s="2">
        <v>18</v>
      </c>
      <c r="K33" s="14">
        <f>VLOOKUP($C33,Sheet1!$A$2:$D$10,4,0)</f>
        <v>18</v>
      </c>
      <c r="L33" s="14" t="str">
        <f>VLOOKUP($C33,Sheet1!$A$2:$E$10,5,0)</f>
        <v>Trolley (H)</v>
      </c>
      <c r="M33" s="14"/>
      <c r="N33" s="51">
        <v>1</v>
      </c>
      <c r="O33" s="2" t="s">
        <v>112</v>
      </c>
      <c r="P33" s="2" t="s">
        <v>167</v>
      </c>
    </row>
    <row r="34" spans="1:16" x14ac:dyDescent="0.25">
      <c r="A34" s="15" t="s">
        <v>114</v>
      </c>
      <c r="B34" s="18" t="s">
        <v>50</v>
      </c>
      <c r="C34" s="2" t="s">
        <v>9</v>
      </c>
      <c r="D34" s="2" t="str">
        <f>VLOOKUP($C34,Sheet1!$A$2:$B$10,2,0)</f>
        <v>141120-14600</v>
      </c>
      <c r="E34" s="8" t="s">
        <v>47</v>
      </c>
      <c r="F34" s="12">
        <v>45992</v>
      </c>
      <c r="G34" s="13">
        <v>0.60416666666666663</v>
      </c>
      <c r="H34" s="2" t="s">
        <v>41</v>
      </c>
      <c r="I34" s="2" t="s">
        <v>42</v>
      </c>
      <c r="J34" s="2">
        <v>18</v>
      </c>
      <c r="K34" s="14">
        <f>VLOOKUP($C34,Sheet1!$A$2:$D$10,4,0)</f>
        <v>18</v>
      </c>
      <c r="L34" s="14" t="str">
        <f>VLOOKUP($C34,Sheet1!$A$2:$E$10,5,0)</f>
        <v>Trolley (H)</v>
      </c>
      <c r="M34" s="14"/>
      <c r="N34" s="52"/>
      <c r="O34" s="2" t="s">
        <v>112</v>
      </c>
      <c r="P34" s="2" t="s">
        <v>167</v>
      </c>
    </row>
    <row r="35" spans="1:16" x14ac:dyDescent="0.25">
      <c r="A35" s="15" t="s">
        <v>114</v>
      </c>
      <c r="B35" s="18" t="s">
        <v>55</v>
      </c>
      <c r="C35" s="2" t="s">
        <v>12</v>
      </c>
      <c r="D35" s="2" t="str">
        <f>VLOOKUP($C35,Sheet1!$A$2:$B$10,2,0)</f>
        <v>141185-74670</v>
      </c>
      <c r="E35" s="8" t="s">
        <v>52</v>
      </c>
      <c r="F35" s="12">
        <v>45992</v>
      </c>
      <c r="G35" s="13">
        <v>0.60416666666666663</v>
      </c>
      <c r="H35" s="2" t="s">
        <v>41</v>
      </c>
      <c r="I35" s="2" t="s">
        <v>42</v>
      </c>
      <c r="J35" s="2">
        <v>40</v>
      </c>
      <c r="K35" s="14">
        <f>VLOOKUP($C35,Sheet1!$A$2:$D$10,4,0)</f>
        <v>40</v>
      </c>
      <c r="L35" s="14" t="str">
        <f>VLOOKUP($C35,Sheet1!$A$2:$E$10,5,0)</f>
        <v>Trolley</v>
      </c>
      <c r="M35" s="14"/>
      <c r="N35" s="2">
        <f>J35/K35</f>
        <v>1</v>
      </c>
      <c r="O35" s="2" t="s">
        <v>112</v>
      </c>
      <c r="P35" s="2">
        <v>910102649</v>
      </c>
    </row>
    <row r="36" spans="1:16" x14ac:dyDescent="0.25">
      <c r="A36" s="15" t="s">
        <v>114</v>
      </c>
      <c r="B36" s="18" t="s">
        <v>61</v>
      </c>
      <c r="C36" s="2" t="s">
        <v>16</v>
      </c>
      <c r="D36" s="2" t="str">
        <f>VLOOKUP($C36,Sheet1!$A$2:$B$10,2,0)</f>
        <v>141140-91211</v>
      </c>
      <c r="E36" s="8" t="s">
        <v>57</v>
      </c>
      <c r="F36" s="12">
        <v>45992</v>
      </c>
      <c r="G36" s="13">
        <v>0.60416666666666663</v>
      </c>
      <c r="H36" s="2" t="s">
        <v>58</v>
      </c>
      <c r="I36" s="2" t="s">
        <v>42</v>
      </c>
      <c r="J36" s="2">
        <v>12</v>
      </c>
      <c r="K36" s="14">
        <f>VLOOKUP($C36,Sheet1!$A$2:$D$10,4,0)</f>
        <v>2</v>
      </c>
      <c r="L36" s="14" t="str">
        <f>VLOOKUP($C36,Sheet1!$A$2:$E$10,5,0)</f>
        <v>Bin</v>
      </c>
      <c r="M36" s="14">
        <f t="shared" ref="M36:M37" si="5">J36/K36</f>
        <v>6</v>
      </c>
      <c r="N36" s="2"/>
      <c r="O36" s="2" t="s">
        <v>112</v>
      </c>
      <c r="P36" s="2" t="s">
        <v>168</v>
      </c>
    </row>
    <row r="37" spans="1:16" x14ac:dyDescent="0.25">
      <c r="A37" s="15" t="s">
        <v>114</v>
      </c>
      <c r="B37" s="18" t="s">
        <v>67</v>
      </c>
      <c r="C37" s="2" t="s">
        <v>20</v>
      </c>
      <c r="D37" s="2" t="str">
        <f>VLOOKUP($C37,Sheet1!$A$2:$B$10,2,0)</f>
        <v>141150-91211</v>
      </c>
      <c r="E37" s="8" t="s">
        <v>64</v>
      </c>
      <c r="F37" s="12">
        <v>45992</v>
      </c>
      <c r="G37" s="13">
        <v>0.60416666666666663</v>
      </c>
      <c r="H37" s="2" t="s">
        <v>58</v>
      </c>
      <c r="I37" s="2" t="s">
        <v>42</v>
      </c>
      <c r="J37" s="2">
        <v>12</v>
      </c>
      <c r="K37" s="14">
        <f>VLOOKUP($C37,Sheet1!$A$2:$D$10,4,0)</f>
        <v>2</v>
      </c>
      <c r="L37" s="14" t="str">
        <f>VLOOKUP($C37,Sheet1!$A$2:$E$10,5,0)</f>
        <v>Bin</v>
      </c>
      <c r="M37" s="14">
        <f t="shared" si="5"/>
        <v>6</v>
      </c>
      <c r="N37" s="2"/>
      <c r="O37" s="2" t="s">
        <v>112</v>
      </c>
      <c r="P37" s="2" t="s">
        <v>168</v>
      </c>
    </row>
    <row r="38" spans="1:16" x14ac:dyDescent="0.25">
      <c r="A38" s="15" t="s">
        <v>114</v>
      </c>
      <c r="B38" s="18" t="s">
        <v>73</v>
      </c>
      <c r="C38" s="2" t="s">
        <v>23</v>
      </c>
      <c r="D38" s="2" t="str">
        <f>VLOOKUP($C38,Sheet1!$A$2:$B$10,2,0)</f>
        <v>141186-74360</v>
      </c>
      <c r="E38" s="8" t="s">
        <v>70</v>
      </c>
      <c r="F38" s="12">
        <v>45992</v>
      </c>
      <c r="G38" s="13">
        <v>0.60416666666666663</v>
      </c>
      <c r="H38" s="2" t="s">
        <v>58</v>
      </c>
      <c r="I38" s="2" t="s">
        <v>42</v>
      </c>
      <c r="J38" s="2">
        <v>40</v>
      </c>
      <c r="K38" s="14">
        <f>VLOOKUP($C38,Sheet1!$A$2:$D$10,4,0)</f>
        <v>40</v>
      </c>
      <c r="L38" s="14" t="str">
        <f>VLOOKUP($C38,Sheet1!$A$2:$E$10,5,0)</f>
        <v>Trolley</v>
      </c>
      <c r="M38" s="14"/>
      <c r="N38" s="2">
        <f>J38/K38</f>
        <v>1</v>
      </c>
      <c r="O38" s="2" t="s">
        <v>112</v>
      </c>
      <c r="P38" s="2">
        <v>910101143</v>
      </c>
    </row>
    <row r="39" spans="1:16" x14ac:dyDescent="0.25">
      <c r="A39" s="15" t="s">
        <v>115</v>
      </c>
      <c r="B39" s="18" t="s">
        <v>79</v>
      </c>
      <c r="C39" s="2" t="s">
        <v>26</v>
      </c>
      <c r="D39" s="2" t="str">
        <f>VLOOKUP($C39,Sheet1!$A$2:$B$10,2,0)</f>
        <v>116040-92240</v>
      </c>
      <c r="E39" s="8" t="s">
        <v>75</v>
      </c>
      <c r="F39" s="12">
        <v>45992</v>
      </c>
      <c r="G39" s="13">
        <v>0.60416666666666663</v>
      </c>
      <c r="H39" s="2" t="s">
        <v>76</v>
      </c>
      <c r="I39" s="2" t="s">
        <v>42</v>
      </c>
      <c r="J39" s="2">
        <v>12</v>
      </c>
      <c r="K39" s="14">
        <f>VLOOKUP($C39,Sheet1!$A$2:$D$10,4,0)</f>
        <v>6</v>
      </c>
      <c r="L39" s="14" t="str">
        <f>VLOOKUP($C39,Sheet1!$A$2:$E$10,5,0)</f>
        <v>Bin</v>
      </c>
      <c r="M39" s="14">
        <f t="shared" ref="M39:M47" si="6">J39/K39</f>
        <v>2</v>
      </c>
      <c r="N39" s="2"/>
      <c r="O39" s="2" t="s">
        <v>112</v>
      </c>
      <c r="P39" s="2" t="s">
        <v>169</v>
      </c>
    </row>
    <row r="40" spans="1:16" x14ac:dyDescent="0.25">
      <c r="A40" s="15" t="s">
        <v>115</v>
      </c>
      <c r="B40" s="18" t="s">
        <v>85</v>
      </c>
      <c r="C40" s="2" t="s">
        <v>32</v>
      </c>
      <c r="D40" s="2" t="str">
        <f>VLOOKUP($C40,Sheet1!$A$2:$B$10,2,0)</f>
        <v>114010-50820</v>
      </c>
      <c r="E40" s="8" t="s">
        <v>82</v>
      </c>
      <c r="F40" s="12">
        <v>45992</v>
      </c>
      <c r="G40" s="13">
        <v>0.60416666666666663</v>
      </c>
      <c r="H40" s="2" t="s">
        <v>76</v>
      </c>
      <c r="I40" s="2" t="s">
        <v>42</v>
      </c>
      <c r="J40" s="2">
        <v>7</v>
      </c>
      <c r="K40" s="14">
        <f>VLOOKUP($C40,Sheet1!$A$2:$D$10,4,0)</f>
        <v>1</v>
      </c>
      <c r="L40" s="14" t="str">
        <f>VLOOKUP($C40,Sheet1!$A$2:$E$10,5,0)</f>
        <v>Bin</v>
      </c>
      <c r="M40" s="14">
        <f t="shared" si="6"/>
        <v>7</v>
      </c>
      <c r="N40" s="2"/>
      <c r="O40" s="2" t="s">
        <v>112</v>
      </c>
      <c r="P40" s="2" t="s">
        <v>170</v>
      </c>
    </row>
    <row r="41" spans="1:16" x14ac:dyDescent="0.25">
      <c r="A41" s="15" t="s">
        <v>115</v>
      </c>
      <c r="B41" s="18" t="s">
        <v>90</v>
      </c>
      <c r="C41" s="2" t="s">
        <v>29</v>
      </c>
      <c r="D41" s="2" t="str">
        <f>VLOOKUP($C41,Sheet1!$A$2:$B$10,2,0)</f>
        <v>114010-50830</v>
      </c>
      <c r="E41" s="8" t="s">
        <v>82</v>
      </c>
      <c r="F41" s="12">
        <v>45992</v>
      </c>
      <c r="G41" s="13">
        <v>0.60416666666666663</v>
      </c>
      <c r="H41" s="2" t="s">
        <v>76</v>
      </c>
      <c r="I41" s="2" t="s">
        <v>42</v>
      </c>
      <c r="J41" s="2">
        <v>4</v>
      </c>
      <c r="K41" s="14">
        <f>VLOOKUP($C41,Sheet1!$A$2:$D$10,4,0)</f>
        <v>1</v>
      </c>
      <c r="L41" s="14" t="str">
        <f>VLOOKUP($C41,Sheet1!$A$2:$E$10,5,0)</f>
        <v>Bin</v>
      </c>
      <c r="M41" s="14">
        <f t="shared" si="6"/>
        <v>4</v>
      </c>
      <c r="N41" s="2"/>
      <c r="O41" s="2" t="s">
        <v>112</v>
      </c>
      <c r="P41" s="2" t="s">
        <v>171</v>
      </c>
    </row>
    <row r="42" spans="1:16" s="11" customForma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>
        <v>25</v>
      </c>
      <c r="N42" s="10">
        <v>3</v>
      </c>
      <c r="O42" s="10"/>
      <c r="P42" s="10"/>
    </row>
    <row r="43" spans="1:16" x14ac:dyDescent="0.25">
      <c r="A43" s="15" t="s">
        <v>116</v>
      </c>
      <c r="B43" s="18" t="s">
        <v>62</v>
      </c>
      <c r="C43" s="2" t="s">
        <v>16</v>
      </c>
      <c r="D43" s="2" t="str">
        <f>VLOOKUP($C43,Sheet1!$A$2:$B$10,2,0)</f>
        <v>141140-91211</v>
      </c>
      <c r="E43" s="8" t="s">
        <v>57</v>
      </c>
      <c r="F43" s="12">
        <v>45992</v>
      </c>
      <c r="G43" s="13">
        <v>0.6875</v>
      </c>
      <c r="H43" s="2" t="s">
        <v>58</v>
      </c>
      <c r="I43" s="2" t="s">
        <v>42</v>
      </c>
      <c r="J43" s="2">
        <v>8</v>
      </c>
      <c r="K43" s="14">
        <f>VLOOKUP($C43,Sheet1!$A$2:$D$10,4,0)</f>
        <v>2</v>
      </c>
      <c r="L43" s="14" t="str">
        <f>VLOOKUP($C43,Sheet1!$A$2:$E$10,5,0)</f>
        <v>Bin</v>
      </c>
      <c r="M43" s="14">
        <f t="shared" si="6"/>
        <v>4</v>
      </c>
      <c r="N43" s="2"/>
      <c r="O43" s="2" t="s">
        <v>113</v>
      </c>
      <c r="P43" s="2" t="s">
        <v>168</v>
      </c>
    </row>
    <row r="44" spans="1:16" x14ac:dyDescent="0.25">
      <c r="A44" s="15" t="s">
        <v>116</v>
      </c>
      <c r="B44" s="18" t="s">
        <v>68</v>
      </c>
      <c r="C44" s="2" t="s">
        <v>20</v>
      </c>
      <c r="D44" s="2" t="str">
        <f>VLOOKUP($C44,Sheet1!$A$2:$B$10,2,0)</f>
        <v>141150-91211</v>
      </c>
      <c r="E44" s="8" t="s">
        <v>64</v>
      </c>
      <c r="F44" s="12">
        <v>45992</v>
      </c>
      <c r="G44" s="13">
        <v>0.6875</v>
      </c>
      <c r="H44" s="2" t="s">
        <v>58</v>
      </c>
      <c r="I44" s="2" t="s">
        <v>42</v>
      </c>
      <c r="J44" s="2">
        <v>8</v>
      </c>
      <c r="K44" s="14">
        <f>VLOOKUP($C44,Sheet1!$A$2:$D$10,4,0)</f>
        <v>2</v>
      </c>
      <c r="L44" s="14" t="str">
        <f>VLOOKUP($C44,Sheet1!$A$2:$E$10,5,0)</f>
        <v>Bin</v>
      </c>
      <c r="M44" s="14">
        <f t="shared" si="6"/>
        <v>4</v>
      </c>
      <c r="N44" s="2"/>
      <c r="O44" s="2" t="s">
        <v>113</v>
      </c>
      <c r="P44" s="2" t="s">
        <v>168</v>
      </c>
    </row>
    <row r="45" spans="1:16" x14ac:dyDescent="0.25">
      <c r="A45" s="15" t="s">
        <v>117</v>
      </c>
      <c r="B45" s="18" t="s">
        <v>80</v>
      </c>
      <c r="C45" s="2" t="s">
        <v>26</v>
      </c>
      <c r="D45" s="2" t="str">
        <f>VLOOKUP($C45,Sheet1!$A$2:$B$10,2,0)</f>
        <v>116040-92240</v>
      </c>
      <c r="E45" s="8" t="s">
        <v>75</v>
      </c>
      <c r="F45" s="12">
        <v>45992</v>
      </c>
      <c r="G45" s="13">
        <v>0.6875</v>
      </c>
      <c r="H45" s="2" t="s">
        <v>76</v>
      </c>
      <c r="I45" s="2" t="s">
        <v>42</v>
      </c>
      <c r="J45" s="2">
        <v>6</v>
      </c>
      <c r="K45" s="14">
        <f>VLOOKUP($C45,Sheet1!$A$2:$D$10,4,0)</f>
        <v>6</v>
      </c>
      <c r="L45" s="14" t="str">
        <f>VLOOKUP($C45,Sheet1!$A$2:$E$10,5,0)</f>
        <v>Bin</v>
      </c>
      <c r="M45" s="14">
        <f t="shared" si="6"/>
        <v>1</v>
      </c>
      <c r="N45" s="2"/>
      <c r="O45" s="2" t="s">
        <v>113</v>
      </c>
      <c r="P45" s="2" t="s">
        <v>169</v>
      </c>
    </row>
    <row r="46" spans="1:16" x14ac:dyDescent="0.25">
      <c r="A46" s="15" t="s">
        <v>117</v>
      </c>
      <c r="B46" s="18" t="s">
        <v>86</v>
      </c>
      <c r="C46" s="2" t="s">
        <v>32</v>
      </c>
      <c r="D46" s="2" t="str">
        <f>VLOOKUP($C46,Sheet1!$A$2:$B$10,2,0)</f>
        <v>114010-50820</v>
      </c>
      <c r="E46" s="8" t="s">
        <v>82</v>
      </c>
      <c r="F46" s="12">
        <v>45992</v>
      </c>
      <c r="G46" s="13">
        <v>0.6875</v>
      </c>
      <c r="H46" s="2" t="s">
        <v>76</v>
      </c>
      <c r="I46" s="2" t="s">
        <v>42</v>
      </c>
      <c r="J46" s="2">
        <v>4</v>
      </c>
      <c r="K46" s="14">
        <f>VLOOKUP($C46,Sheet1!$A$2:$D$10,4,0)</f>
        <v>1</v>
      </c>
      <c r="L46" s="14" t="str">
        <f>VLOOKUP($C46,Sheet1!$A$2:$E$10,5,0)</f>
        <v>Bin</v>
      </c>
      <c r="M46" s="14">
        <f t="shared" si="6"/>
        <v>4</v>
      </c>
      <c r="N46" s="2"/>
      <c r="O46" s="2" t="s">
        <v>113</v>
      </c>
      <c r="P46" s="2" t="s">
        <v>170</v>
      </c>
    </row>
    <row r="47" spans="1:16" x14ac:dyDescent="0.25">
      <c r="A47" s="15" t="s">
        <v>117</v>
      </c>
      <c r="B47" s="18" t="s">
        <v>91</v>
      </c>
      <c r="C47" s="2" t="s">
        <v>29</v>
      </c>
      <c r="D47" s="2" t="str">
        <f>VLOOKUP($C47,Sheet1!$A$2:$B$10,2,0)</f>
        <v>114010-50830</v>
      </c>
      <c r="E47" s="8" t="s">
        <v>82</v>
      </c>
      <c r="F47" s="12">
        <v>45992</v>
      </c>
      <c r="G47" s="13">
        <v>0.6875</v>
      </c>
      <c r="H47" s="2" t="s">
        <v>76</v>
      </c>
      <c r="I47" s="2" t="s">
        <v>42</v>
      </c>
      <c r="J47" s="2">
        <v>6</v>
      </c>
      <c r="K47" s="14">
        <f>VLOOKUP($C47,Sheet1!$A$2:$D$10,4,0)</f>
        <v>1</v>
      </c>
      <c r="L47" s="14" t="str">
        <f>VLOOKUP($C47,Sheet1!$A$2:$E$10,5,0)</f>
        <v>Bin</v>
      </c>
      <c r="M47" s="14">
        <f t="shared" si="6"/>
        <v>6</v>
      </c>
      <c r="N47" s="2"/>
      <c r="O47" s="2" t="s">
        <v>113</v>
      </c>
      <c r="P47" s="2" t="s">
        <v>171</v>
      </c>
    </row>
    <row r="48" spans="1:16" s="11" customForma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>
        <v>19</v>
      </c>
      <c r="N48" s="10"/>
      <c r="O48" s="10"/>
      <c r="P48" s="10"/>
    </row>
    <row r="49" spans="1:16" x14ac:dyDescent="0.25">
      <c r="A49" s="2"/>
      <c r="B49" s="2" t="s">
        <v>92</v>
      </c>
      <c r="C49" s="2"/>
      <c r="D49" s="2"/>
      <c r="E49" s="8"/>
      <c r="F49" s="12"/>
      <c r="G49" s="13"/>
      <c r="H49" s="2"/>
      <c r="I49" s="2"/>
      <c r="J49" s="2"/>
      <c r="K49" s="14"/>
      <c r="L49" s="14"/>
      <c r="M49" s="14"/>
      <c r="N49" s="2"/>
      <c r="O49" s="2"/>
      <c r="P49" s="2"/>
    </row>
  </sheetData>
  <mergeCells count="7">
    <mergeCell ref="N23:N24"/>
    <mergeCell ref="N33:N34"/>
    <mergeCell ref="A1:F1"/>
    <mergeCell ref="J1:N1"/>
    <mergeCell ref="L2:N2"/>
    <mergeCell ref="N4:N5"/>
    <mergeCell ref="N6:N7"/>
  </mergeCells>
  <conditionalFormatting sqref="B2">
    <cfRule type="duplicateValues" dxfId="126" priority="2"/>
    <cfRule type="duplicateValues" dxfId="125" priority="3"/>
  </conditionalFormatting>
  <conditionalFormatting sqref="B23:B31 B33:B41 B43:B47 B49 B4:B21">
    <cfRule type="duplicateValues" dxfId="124" priority="9"/>
  </conditionalFormatting>
  <conditionalFormatting sqref="C2:D2">
    <cfRule type="duplicateValues" dxfId="123" priority="4"/>
    <cfRule type="duplicateValues" dxfId="122" priority="5"/>
  </conditionalFormatting>
  <hyperlinks>
    <hyperlink ref="B49" r:id="rId1" display="http://192.168.1.248/downloads/temp/X539_eNagare_20251129.log" xr:uid="{00000000-0004-0000-0100-000000000000}"/>
  </hyperlinks>
  <pageMargins left="0.17" right="0.17" top="0.17" bottom="0.75" header="0.17" footer="0.3"/>
  <pageSetup paperSize="9" scale="71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45"/>
  <sheetViews>
    <sheetView topLeftCell="A20" workbookViewId="0">
      <selection activeCell="A4" sqref="A4:XFD44"/>
    </sheetView>
  </sheetViews>
  <sheetFormatPr defaultColWidth="18.42578125" defaultRowHeight="15" x14ac:dyDescent="0.25"/>
  <cols>
    <col min="1" max="1" width="15.42578125" bestFit="1" customWidth="1"/>
    <col min="2" max="2" width="21.7109375" customWidth="1"/>
    <col min="3" max="4" width="14.140625" bestFit="1" customWidth="1"/>
    <col min="5" max="5" width="32.5703125" bestFit="1" customWidth="1"/>
    <col min="6" max="6" width="9.7109375" bestFit="1" customWidth="1"/>
    <col min="7" max="7" width="7.7109375" bestFit="1" customWidth="1"/>
    <col min="8" max="8" width="12.140625" bestFit="1" customWidth="1"/>
    <col min="9" max="9" width="4.7109375" bestFit="1" customWidth="1"/>
    <col min="10" max="10" width="8" bestFit="1" customWidth="1"/>
    <col min="11" max="11" width="9" bestFit="1" customWidth="1"/>
    <col min="12" max="12" width="10.28515625" bestFit="1" customWidth="1"/>
    <col min="13" max="13" width="7.140625" bestFit="1" customWidth="1"/>
    <col min="14" max="14" width="7.85546875" bestFit="1" customWidth="1"/>
    <col min="15" max="15" width="11.28515625" bestFit="1" customWidth="1"/>
    <col min="16" max="16" width="34" bestFit="1" customWidth="1"/>
  </cols>
  <sheetData>
    <row r="1" spans="1:16" ht="23.25" x14ac:dyDescent="0.25">
      <c r="A1" s="53" t="s">
        <v>93</v>
      </c>
      <c r="B1" s="53"/>
      <c r="C1" s="53"/>
      <c r="D1" s="53"/>
      <c r="E1" s="53"/>
      <c r="F1" s="53"/>
      <c r="G1" s="2"/>
      <c r="H1" s="2"/>
      <c r="I1" s="2"/>
      <c r="J1" s="54" t="s">
        <v>94</v>
      </c>
      <c r="K1" s="55"/>
      <c r="L1" s="55"/>
      <c r="M1" s="55"/>
      <c r="N1" s="55"/>
      <c r="O1" s="3"/>
      <c r="P1" s="4"/>
    </row>
    <row r="2" spans="1:16" ht="15.75" x14ac:dyDescent="0.25">
      <c r="A2" s="5" t="s">
        <v>95</v>
      </c>
      <c r="B2" s="6">
        <v>45993</v>
      </c>
      <c r="C2" s="7"/>
      <c r="D2" s="7"/>
      <c r="E2" s="2"/>
      <c r="F2" s="8"/>
      <c r="G2" s="2"/>
      <c r="H2" s="2"/>
      <c r="I2" s="2"/>
      <c r="J2" s="2"/>
      <c r="K2" s="2"/>
      <c r="L2" s="56" t="s">
        <v>96</v>
      </c>
      <c r="M2" s="57"/>
      <c r="N2" s="58"/>
      <c r="O2" s="2"/>
      <c r="P2" s="2"/>
    </row>
    <row r="3" spans="1:16" s="11" customFormat="1" ht="30" x14ac:dyDescent="0.25">
      <c r="A3" s="10" t="s">
        <v>97</v>
      </c>
      <c r="B3" s="10" t="s">
        <v>35</v>
      </c>
      <c r="C3" s="10" t="s">
        <v>0</v>
      </c>
      <c r="D3" s="10" t="s">
        <v>98</v>
      </c>
      <c r="E3" s="10" t="s">
        <v>2</v>
      </c>
      <c r="F3" s="10" t="s">
        <v>36</v>
      </c>
      <c r="G3" s="10" t="s">
        <v>37</v>
      </c>
      <c r="H3" s="10" t="s">
        <v>38</v>
      </c>
      <c r="I3" s="10" t="s">
        <v>99</v>
      </c>
      <c r="J3" s="10" t="s">
        <v>100</v>
      </c>
      <c r="K3" s="10" t="s">
        <v>101</v>
      </c>
      <c r="L3" s="10" t="s">
        <v>102</v>
      </c>
      <c r="M3" s="10" t="s">
        <v>103</v>
      </c>
      <c r="N3" s="10" t="s">
        <v>104</v>
      </c>
      <c r="O3" s="10" t="s">
        <v>96</v>
      </c>
      <c r="P3" s="10" t="s">
        <v>105</v>
      </c>
    </row>
    <row r="4" spans="1:16" x14ac:dyDescent="0.25">
      <c r="A4" s="15" t="s">
        <v>159</v>
      </c>
      <c r="B4" s="18" t="s">
        <v>119</v>
      </c>
      <c r="C4" s="2" t="s">
        <v>5</v>
      </c>
      <c r="D4" s="2" t="str">
        <f>VLOOKUP($C4,Sheet1!$A$2:$B$10,2,0)</f>
        <v>141110-14600</v>
      </c>
      <c r="E4" s="8" t="s">
        <v>40</v>
      </c>
      <c r="F4" s="12">
        <v>45993</v>
      </c>
      <c r="G4" s="13">
        <v>0.35416666666666669</v>
      </c>
      <c r="H4" s="2" t="s">
        <v>41</v>
      </c>
      <c r="I4" s="2" t="s">
        <v>42</v>
      </c>
      <c r="J4" s="2">
        <v>36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1">
        <v>2</v>
      </c>
      <c r="O4" s="2" t="s">
        <v>157</v>
      </c>
      <c r="P4" s="2" t="s">
        <v>167</v>
      </c>
    </row>
    <row r="5" spans="1:16" x14ac:dyDescent="0.25">
      <c r="A5" s="15" t="s">
        <v>159</v>
      </c>
      <c r="B5" s="18" t="s">
        <v>123</v>
      </c>
      <c r="C5" s="2" t="s">
        <v>9</v>
      </c>
      <c r="D5" s="2" t="str">
        <f>VLOOKUP($C5,Sheet1!$A$2:$B$10,2,0)</f>
        <v>141120-14600</v>
      </c>
      <c r="E5" s="8" t="s">
        <v>47</v>
      </c>
      <c r="F5" s="12">
        <v>45993</v>
      </c>
      <c r="G5" s="13">
        <v>0.35416666666666669</v>
      </c>
      <c r="H5" s="2" t="s">
        <v>41</v>
      </c>
      <c r="I5" s="2" t="s">
        <v>42</v>
      </c>
      <c r="J5" s="2">
        <v>36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2"/>
      <c r="O5" s="2" t="s">
        <v>157</v>
      </c>
      <c r="P5" s="2" t="s">
        <v>167</v>
      </c>
    </row>
    <row r="6" spans="1:16" x14ac:dyDescent="0.25">
      <c r="A6" s="15" t="s">
        <v>159</v>
      </c>
      <c r="B6" s="18" t="s">
        <v>126</v>
      </c>
      <c r="C6" s="2" t="s">
        <v>12</v>
      </c>
      <c r="D6" s="2" t="str">
        <f>VLOOKUP($C6,Sheet1!$A$2:$B$10,2,0)</f>
        <v>141185-74670</v>
      </c>
      <c r="E6" s="8" t="s">
        <v>52</v>
      </c>
      <c r="F6" s="12">
        <v>45993</v>
      </c>
      <c r="G6" s="13">
        <v>0.35416666666666669</v>
      </c>
      <c r="H6" s="2" t="s">
        <v>41</v>
      </c>
      <c r="I6" s="2" t="s">
        <v>42</v>
      </c>
      <c r="J6" s="2">
        <v>40</v>
      </c>
      <c r="K6" s="14">
        <f>VLOOKUP($C6,Sheet1!$A$2:$D$10,4,0)</f>
        <v>40</v>
      </c>
      <c r="L6" s="14" t="str">
        <f>VLOOKUP($C6,Sheet1!$A$2:$E$10,5,0)</f>
        <v>Trolley</v>
      </c>
      <c r="M6" s="14"/>
      <c r="N6" s="2">
        <f>J6/K6</f>
        <v>1</v>
      </c>
      <c r="O6" s="2" t="s">
        <v>157</v>
      </c>
      <c r="P6" s="2">
        <v>910102649</v>
      </c>
    </row>
    <row r="7" spans="1:16" x14ac:dyDescent="0.25">
      <c r="A7" s="15" t="s">
        <v>159</v>
      </c>
      <c r="B7" s="18" t="s">
        <v>127</v>
      </c>
      <c r="C7" s="2" t="s">
        <v>12</v>
      </c>
      <c r="D7" s="2" t="str">
        <f>VLOOKUP($C7,Sheet1!$A$2:$B$10,2,0)</f>
        <v>141185-74670</v>
      </c>
      <c r="E7" s="8" t="s">
        <v>52</v>
      </c>
      <c r="F7" s="12">
        <v>45993</v>
      </c>
      <c r="G7" s="13">
        <v>0.35416666666666669</v>
      </c>
      <c r="H7" s="2" t="s">
        <v>41</v>
      </c>
      <c r="I7" s="2" t="s">
        <v>42</v>
      </c>
      <c r="J7" s="2">
        <v>40</v>
      </c>
      <c r="K7" s="14">
        <f>VLOOKUP($C7,Sheet1!$A$2:$D$10,4,0)</f>
        <v>40</v>
      </c>
      <c r="L7" s="14" t="str">
        <f>VLOOKUP($C7,Sheet1!$A$2:$E$10,5,0)</f>
        <v>Trolley</v>
      </c>
      <c r="M7" s="14"/>
      <c r="N7" s="2">
        <f>J7/K7</f>
        <v>1</v>
      </c>
      <c r="O7" s="2" t="s">
        <v>157</v>
      </c>
      <c r="P7" s="2">
        <v>910102394</v>
      </c>
    </row>
    <row r="8" spans="1:16" x14ac:dyDescent="0.25">
      <c r="A8" s="15" t="s">
        <v>159</v>
      </c>
      <c r="B8" s="18" t="s">
        <v>130</v>
      </c>
      <c r="C8" s="2" t="s">
        <v>16</v>
      </c>
      <c r="D8" s="2" t="str">
        <f>VLOOKUP($C8,Sheet1!$A$2:$B$10,2,0)</f>
        <v>141140-91211</v>
      </c>
      <c r="E8" s="8" t="s">
        <v>57</v>
      </c>
      <c r="F8" s="12">
        <v>45993</v>
      </c>
      <c r="G8" s="13">
        <v>0.35416666666666669</v>
      </c>
      <c r="H8" s="2" t="s">
        <v>58</v>
      </c>
      <c r="I8" s="2" t="s">
        <v>42</v>
      </c>
      <c r="J8" s="2">
        <v>20</v>
      </c>
      <c r="K8" s="14">
        <f>VLOOKUP($C8,Sheet1!$A$2:$D$10,4,0)</f>
        <v>2</v>
      </c>
      <c r="L8" s="14" t="str">
        <f>VLOOKUP($C8,Sheet1!$A$2:$E$10,5,0)</f>
        <v>Bin</v>
      </c>
      <c r="M8" s="14">
        <f>J8/K8</f>
        <v>10</v>
      </c>
      <c r="N8" s="2"/>
      <c r="O8" s="2" t="s">
        <v>157</v>
      </c>
      <c r="P8" s="2" t="s">
        <v>209</v>
      </c>
    </row>
    <row r="9" spans="1:16" x14ac:dyDescent="0.25">
      <c r="A9" s="15" t="s">
        <v>159</v>
      </c>
      <c r="B9" s="18" t="s">
        <v>131</v>
      </c>
      <c r="C9" s="2" t="s">
        <v>16</v>
      </c>
      <c r="D9" s="2" t="str">
        <f>VLOOKUP($C9,Sheet1!$A$2:$B$10,2,0)</f>
        <v>141140-91211</v>
      </c>
      <c r="E9" s="8" t="s">
        <v>57</v>
      </c>
      <c r="F9" s="12">
        <v>45993</v>
      </c>
      <c r="G9" s="13">
        <v>0.35416666666666669</v>
      </c>
      <c r="H9" s="2" t="s">
        <v>58</v>
      </c>
      <c r="I9" s="2" t="s">
        <v>42</v>
      </c>
      <c r="J9" s="2">
        <v>22</v>
      </c>
      <c r="K9" s="14">
        <f>VLOOKUP($C9,Sheet1!$A$2:$D$10,4,0)</f>
        <v>2</v>
      </c>
      <c r="L9" s="14" t="str">
        <f>VLOOKUP($C9,Sheet1!$A$2:$E$10,5,0)</f>
        <v>Bin</v>
      </c>
      <c r="M9" s="14">
        <f t="shared" ref="M9:M11" si="0">J9/K9</f>
        <v>11</v>
      </c>
      <c r="N9" s="2"/>
      <c r="O9" s="2" t="s">
        <v>157</v>
      </c>
      <c r="P9" s="2" t="s">
        <v>209</v>
      </c>
    </row>
    <row r="10" spans="1:16" x14ac:dyDescent="0.25">
      <c r="A10" s="15" t="s">
        <v>159</v>
      </c>
      <c r="B10" s="18" t="s">
        <v>135</v>
      </c>
      <c r="C10" s="2" t="s">
        <v>20</v>
      </c>
      <c r="D10" s="2" t="str">
        <f>VLOOKUP($C10,Sheet1!$A$2:$B$10,2,0)</f>
        <v>141150-91211</v>
      </c>
      <c r="E10" s="8" t="s">
        <v>64</v>
      </c>
      <c r="F10" s="12">
        <v>45993</v>
      </c>
      <c r="G10" s="13">
        <v>0.35416666666666669</v>
      </c>
      <c r="H10" s="2" t="s">
        <v>58</v>
      </c>
      <c r="I10" s="2" t="s">
        <v>42</v>
      </c>
      <c r="J10" s="2">
        <v>20</v>
      </c>
      <c r="K10" s="14">
        <f>VLOOKUP($C10,Sheet1!$A$2:$D$10,4,0)</f>
        <v>2</v>
      </c>
      <c r="L10" s="14" t="str">
        <f>VLOOKUP($C10,Sheet1!$A$2:$E$10,5,0)</f>
        <v>Bin</v>
      </c>
      <c r="M10" s="14">
        <f t="shared" si="0"/>
        <v>10</v>
      </c>
      <c r="N10" s="2"/>
      <c r="O10" s="2" t="s">
        <v>157</v>
      </c>
      <c r="P10" s="2" t="s">
        <v>209</v>
      </c>
    </row>
    <row r="11" spans="1:16" x14ac:dyDescent="0.25">
      <c r="A11" s="15" t="s">
        <v>159</v>
      </c>
      <c r="B11" s="18" t="s">
        <v>136</v>
      </c>
      <c r="C11" s="2" t="s">
        <v>20</v>
      </c>
      <c r="D11" s="2" t="str">
        <f>VLOOKUP($C11,Sheet1!$A$2:$B$10,2,0)</f>
        <v>141150-91211</v>
      </c>
      <c r="E11" s="8" t="s">
        <v>64</v>
      </c>
      <c r="F11" s="12">
        <v>45993</v>
      </c>
      <c r="G11" s="13">
        <v>0.35416666666666669</v>
      </c>
      <c r="H11" s="2" t="s">
        <v>58</v>
      </c>
      <c r="I11" s="2" t="s">
        <v>42</v>
      </c>
      <c r="J11" s="2">
        <v>22</v>
      </c>
      <c r="K11" s="14">
        <f>VLOOKUP($C11,Sheet1!$A$2:$D$10,4,0)</f>
        <v>2</v>
      </c>
      <c r="L11" s="14" t="str">
        <f>VLOOKUP($C11,Sheet1!$A$2:$E$10,5,0)</f>
        <v>Bin</v>
      </c>
      <c r="M11" s="14">
        <f t="shared" si="0"/>
        <v>11</v>
      </c>
      <c r="N11" s="2"/>
      <c r="O11" s="2" t="s">
        <v>157</v>
      </c>
      <c r="P11" s="2" t="s">
        <v>209</v>
      </c>
    </row>
    <row r="12" spans="1:16" x14ac:dyDescent="0.25">
      <c r="A12" s="15" t="s">
        <v>158</v>
      </c>
      <c r="B12" s="18" t="s">
        <v>118</v>
      </c>
      <c r="C12" s="2" t="s">
        <v>5</v>
      </c>
      <c r="D12" s="2" t="str">
        <f>VLOOKUP($C12,Sheet1!$A$2:$B$10,2,0)</f>
        <v>141110-14600</v>
      </c>
      <c r="E12" s="8" t="s">
        <v>40</v>
      </c>
      <c r="F12" s="12">
        <v>45993</v>
      </c>
      <c r="G12" s="13">
        <v>0.35416666666666669</v>
      </c>
      <c r="H12" s="2" t="s">
        <v>41</v>
      </c>
      <c r="I12" s="2" t="s">
        <v>42</v>
      </c>
      <c r="J12" s="2">
        <v>18</v>
      </c>
      <c r="K12" s="14">
        <f>VLOOKUP($C12,Sheet1!$A$2:$D$10,4,0)</f>
        <v>18</v>
      </c>
      <c r="L12" s="14" t="str">
        <f>VLOOKUP($C12,Sheet1!$A$2:$E$10,5,0)</f>
        <v>Trolley (H)</v>
      </c>
      <c r="M12" s="14"/>
      <c r="N12" s="51">
        <v>1</v>
      </c>
      <c r="O12" s="2" t="s">
        <v>157</v>
      </c>
      <c r="P12" s="2" t="s">
        <v>167</v>
      </c>
    </row>
    <row r="13" spans="1:16" x14ac:dyDescent="0.25">
      <c r="A13" s="15" t="s">
        <v>158</v>
      </c>
      <c r="B13" s="18" t="s">
        <v>122</v>
      </c>
      <c r="C13" s="2" t="s">
        <v>9</v>
      </c>
      <c r="D13" s="2" t="str">
        <f>VLOOKUP($C13,Sheet1!$A$2:$B$10,2,0)</f>
        <v>141120-14600</v>
      </c>
      <c r="E13" s="8" t="s">
        <v>47</v>
      </c>
      <c r="F13" s="12">
        <v>45993</v>
      </c>
      <c r="G13" s="13">
        <v>0.35416666666666669</v>
      </c>
      <c r="H13" s="2" t="s">
        <v>41</v>
      </c>
      <c r="I13" s="2" t="s">
        <v>42</v>
      </c>
      <c r="J13" s="2">
        <v>18</v>
      </c>
      <c r="K13" s="14">
        <f>VLOOKUP($C13,Sheet1!$A$2:$D$10,4,0)</f>
        <v>18</v>
      </c>
      <c r="L13" s="14" t="str">
        <f>VLOOKUP($C13,Sheet1!$A$2:$E$10,5,0)</f>
        <v>Trolley (H)</v>
      </c>
      <c r="M13" s="14"/>
      <c r="N13" s="52"/>
      <c r="O13" s="2" t="s">
        <v>157</v>
      </c>
      <c r="P13" s="2" t="s">
        <v>167</v>
      </c>
    </row>
    <row r="14" spans="1:16" x14ac:dyDescent="0.25">
      <c r="A14" s="15" t="s">
        <v>158</v>
      </c>
      <c r="B14" s="18" t="s">
        <v>140</v>
      </c>
      <c r="C14" s="2" t="s">
        <v>23</v>
      </c>
      <c r="D14" s="2" t="str">
        <f>VLOOKUP($C14,Sheet1!$A$2:$B$10,2,0)</f>
        <v>141186-74360</v>
      </c>
      <c r="E14" s="8" t="s">
        <v>70</v>
      </c>
      <c r="F14" s="12">
        <v>45993</v>
      </c>
      <c r="G14" s="13">
        <v>0.35416666666666669</v>
      </c>
      <c r="H14" s="2" t="s">
        <v>58</v>
      </c>
      <c r="I14" s="2" t="s">
        <v>42</v>
      </c>
      <c r="J14" s="2">
        <v>40</v>
      </c>
      <c r="K14" s="14">
        <f>VLOOKUP($C14,Sheet1!$A$2:$D$10,4,0)</f>
        <v>40</v>
      </c>
      <c r="L14" s="14" t="str">
        <f>VLOOKUP($C14,Sheet1!$A$2:$E$10,5,0)</f>
        <v>Trolley</v>
      </c>
      <c r="M14" s="14"/>
      <c r="N14" s="2">
        <f t="shared" ref="N14:N15" si="1">J14/K14</f>
        <v>1</v>
      </c>
      <c r="O14" s="2" t="s">
        <v>157</v>
      </c>
      <c r="P14" s="2" t="s">
        <v>210</v>
      </c>
    </row>
    <row r="15" spans="1:16" x14ac:dyDescent="0.25">
      <c r="A15" s="15" t="s">
        <v>158</v>
      </c>
      <c r="B15" s="18" t="s">
        <v>141</v>
      </c>
      <c r="C15" s="2" t="s">
        <v>23</v>
      </c>
      <c r="D15" s="2" t="str">
        <f>VLOOKUP($C15,Sheet1!$A$2:$B$10,2,0)</f>
        <v>141186-74360</v>
      </c>
      <c r="E15" s="8" t="s">
        <v>70</v>
      </c>
      <c r="F15" s="12">
        <v>45993</v>
      </c>
      <c r="G15" s="13">
        <v>0.35416666666666669</v>
      </c>
      <c r="H15" s="2" t="s">
        <v>58</v>
      </c>
      <c r="I15" s="2" t="s">
        <v>42</v>
      </c>
      <c r="J15" s="2">
        <v>80</v>
      </c>
      <c r="K15" s="14">
        <f>VLOOKUP($C15,Sheet1!$A$2:$D$10,4,0)</f>
        <v>40</v>
      </c>
      <c r="L15" s="14" t="str">
        <f>VLOOKUP($C15,Sheet1!$A$2:$E$10,5,0)</f>
        <v>Trolley</v>
      </c>
      <c r="M15" s="14"/>
      <c r="N15" s="2">
        <f t="shared" si="1"/>
        <v>2</v>
      </c>
      <c r="O15" s="2" t="s">
        <v>157</v>
      </c>
      <c r="P15" s="2" t="s">
        <v>211</v>
      </c>
    </row>
    <row r="16" spans="1:16" x14ac:dyDescent="0.25">
      <c r="A16" s="15" t="s">
        <v>160</v>
      </c>
      <c r="B16" s="18" t="s">
        <v>143</v>
      </c>
      <c r="C16" s="2" t="s">
        <v>26</v>
      </c>
      <c r="D16" s="2" t="str">
        <f>VLOOKUP($C16,Sheet1!$A$2:$B$10,2,0)</f>
        <v>116040-92240</v>
      </c>
      <c r="E16" s="8" t="s">
        <v>75</v>
      </c>
      <c r="F16" s="12">
        <v>45993</v>
      </c>
      <c r="G16" s="13">
        <v>0.35416666666666669</v>
      </c>
      <c r="H16" s="2" t="s">
        <v>76</v>
      </c>
      <c r="I16" s="2" t="s">
        <v>42</v>
      </c>
      <c r="J16" s="2">
        <v>18</v>
      </c>
      <c r="K16" s="14">
        <f>VLOOKUP($C16,Sheet1!$A$2:$D$10,4,0)</f>
        <v>6</v>
      </c>
      <c r="L16" s="14" t="str">
        <f>VLOOKUP($C16,Sheet1!$A$2:$E$10,5,0)</f>
        <v>Bin</v>
      </c>
      <c r="M16" s="14">
        <f t="shared" ref="M16:M21" si="2">J16/K16</f>
        <v>3</v>
      </c>
      <c r="N16" s="2"/>
      <c r="O16" s="2" t="s">
        <v>157</v>
      </c>
      <c r="P16" s="2" t="s">
        <v>169</v>
      </c>
    </row>
    <row r="17" spans="1:16" x14ac:dyDescent="0.25">
      <c r="A17" s="15" t="s">
        <v>160</v>
      </c>
      <c r="B17" s="18" t="s">
        <v>144</v>
      </c>
      <c r="C17" s="2" t="s">
        <v>26</v>
      </c>
      <c r="D17" s="2" t="str">
        <f>VLOOKUP($C17,Sheet1!$A$2:$B$10,2,0)</f>
        <v>116040-92240</v>
      </c>
      <c r="E17" s="8" t="s">
        <v>75</v>
      </c>
      <c r="F17" s="12">
        <v>45993</v>
      </c>
      <c r="G17" s="13">
        <v>0.35416666666666669</v>
      </c>
      <c r="H17" s="2" t="s">
        <v>76</v>
      </c>
      <c r="I17" s="2" t="s">
        <v>42</v>
      </c>
      <c r="J17" s="2">
        <v>24</v>
      </c>
      <c r="K17" s="14">
        <f>VLOOKUP($C17,Sheet1!$A$2:$D$10,4,0)</f>
        <v>6</v>
      </c>
      <c r="L17" s="14" t="str">
        <f>VLOOKUP($C17,Sheet1!$A$2:$E$10,5,0)</f>
        <v>Bin</v>
      </c>
      <c r="M17" s="14">
        <f t="shared" si="2"/>
        <v>4</v>
      </c>
      <c r="N17" s="2"/>
      <c r="O17" s="2" t="s">
        <v>157</v>
      </c>
      <c r="P17" s="2" t="s">
        <v>169</v>
      </c>
    </row>
    <row r="18" spans="1:16" x14ac:dyDescent="0.25">
      <c r="A18" s="15" t="s">
        <v>160</v>
      </c>
      <c r="B18" s="18" t="s">
        <v>147</v>
      </c>
      <c r="C18" s="2" t="s">
        <v>32</v>
      </c>
      <c r="D18" s="2" t="str">
        <f>VLOOKUP($C18,Sheet1!$A$2:$B$10,2,0)</f>
        <v>114010-50820</v>
      </c>
      <c r="E18" s="8" t="s">
        <v>82</v>
      </c>
      <c r="F18" s="12">
        <v>45993</v>
      </c>
      <c r="G18" s="13">
        <v>0.35416666666666669</v>
      </c>
      <c r="H18" s="2" t="s">
        <v>76</v>
      </c>
      <c r="I18" s="2" t="s">
        <v>42</v>
      </c>
      <c r="J18" s="2">
        <v>5</v>
      </c>
      <c r="K18" s="14">
        <f>VLOOKUP($C18,Sheet1!$A$2:$D$10,4,0)</f>
        <v>1</v>
      </c>
      <c r="L18" s="14" t="str">
        <f>VLOOKUP($C18,Sheet1!$A$2:$E$10,5,0)</f>
        <v>Bin</v>
      </c>
      <c r="M18" s="14">
        <f t="shared" si="2"/>
        <v>5</v>
      </c>
      <c r="N18" s="2"/>
      <c r="O18" s="2" t="s">
        <v>157</v>
      </c>
      <c r="P18" s="2" t="s">
        <v>170</v>
      </c>
    </row>
    <row r="19" spans="1:16" x14ac:dyDescent="0.25">
      <c r="A19" s="15" t="s">
        <v>160</v>
      </c>
      <c r="B19" s="18" t="s">
        <v>148</v>
      </c>
      <c r="C19" s="2" t="s">
        <v>32</v>
      </c>
      <c r="D19" s="2" t="str">
        <f>VLOOKUP($C19,Sheet1!$A$2:$B$10,2,0)</f>
        <v>114010-50820</v>
      </c>
      <c r="E19" s="8" t="s">
        <v>82</v>
      </c>
      <c r="F19" s="12">
        <v>45993</v>
      </c>
      <c r="G19" s="13">
        <v>0.35416666666666669</v>
      </c>
      <c r="H19" s="2" t="s">
        <v>76</v>
      </c>
      <c r="I19" s="2" t="s">
        <v>42</v>
      </c>
      <c r="J19" s="2">
        <v>7</v>
      </c>
      <c r="K19" s="14">
        <f>VLOOKUP($C19,Sheet1!$A$2:$D$10,4,0)</f>
        <v>1</v>
      </c>
      <c r="L19" s="14" t="str">
        <f>VLOOKUP($C19,Sheet1!$A$2:$E$10,5,0)</f>
        <v>Bin</v>
      </c>
      <c r="M19" s="14">
        <f t="shared" si="2"/>
        <v>7</v>
      </c>
      <c r="N19" s="2"/>
      <c r="O19" s="2" t="s">
        <v>157</v>
      </c>
      <c r="P19" s="2" t="s">
        <v>170</v>
      </c>
    </row>
    <row r="20" spans="1:16" x14ac:dyDescent="0.25">
      <c r="A20" s="15" t="s">
        <v>160</v>
      </c>
      <c r="B20" s="18" t="s">
        <v>152</v>
      </c>
      <c r="C20" s="2" t="s">
        <v>29</v>
      </c>
      <c r="D20" s="2" t="str">
        <f>VLOOKUP($C20,Sheet1!$A$2:$B$10,2,0)</f>
        <v>114010-50830</v>
      </c>
      <c r="E20" s="8" t="s">
        <v>82</v>
      </c>
      <c r="F20" s="12">
        <v>45993</v>
      </c>
      <c r="G20" s="13">
        <v>0.35416666666666669</v>
      </c>
      <c r="H20" s="2" t="s">
        <v>76</v>
      </c>
      <c r="I20" s="2" t="s">
        <v>42</v>
      </c>
      <c r="J20" s="2">
        <v>15</v>
      </c>
      <c r="K20" s="14">
        <f>VLOOKUP($C20,Sheet1!$A$2:$D$10,4,0)</f>
        <v>1</v>
      </c>
      <c r="L20" s="14" t="str">
        <f>VLOOKUP($C20,Sheet1!$A$2:$E$10,5,0)</f>
        <v>Bin</v>
      </c>
      <c r="M20" s="14">
        <f t="shared" si="2"/>
        <v>15</v>
      </c>
      <c r="N20" s="2"/>
      <c r="O20" s="2" t="s">
        <v>157</v>
      </c>
      <c r="P20" s="2" t="s">
        <v>171</v>
      </c>
    </row>
    <row r="21" spans="1:16" x14ac:dyDescent="0.25">
      <c r="A21" s="15" t="s">
        <v>160</v>
      </c>
      <c r="B21" s="18" t="s">
        <v>153</v>
      </c>
      <c r="C21" s="2" t="s">
        <v>29</v>
      </c>
      <c r="D21" s="2" t="str">
        <f>VLOOKUP($C21,Sheet1!$A$2:$B$10,2,0)</f>
        <v>114010-50830</v>
      </c>
      <c r="E21" s="8" t="s">
        <v>82</v>
      </c>
      <c r="F21" s="12">
        <v>45993</v>
      </c>
      <c r="G21" s="13">
        <v>0.35416666666666669</v>
      </c>
      <c r="H21" s="2" t="s">
        <v>76</v>
      </c>
      <c r="I21" s="2" t="s">
        <v>42</v>
      </c>
      <c r="J21" s="2">
        <v>16</v>
      </c>
      <c r="K21" s="14">
        <f>VLOOKUP($C21,Sheet1!$A$2:$D$10,4,0)</f>
        <v>1</v>
      </c>
      <c r="L21" s="14" t="str">
        <f>VLOOKUP($C21,Sheet1!$A$2:$E$10,5,0)</f>
        <v>Bin</v>
      </c>
      <c r="M21" s="14">
        <f t="shared" si="2"/>
        <v>16</v>
      </c>
      <c r="N21" s="2"/>
      <c r="O21" s="2" t="s">
        <v>157</v>
      </c>
      <c r="P21" s="2" t="s">
        <v>171</v>
      </c>
    </row>
    <row r="22" spans="1:16" s="11" customForma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>
        <v>92</v>
      </c>
      <c r="N22" s="10">
        <v>8</v>
      </c>
      <c r="O22" s="10"/>
      <c r="P22" s="10"/>
    </row>
    <row r="23" spans="1:16" x14ac:dyDescent="0.25">
      <c r="A23" s="15" t="s">
        <v>161</v>
      </c>
      <c r="B23" s="18" t="s">
        <v>120</v>
      </c>
      <c r="C23" s="2" t="s">
        <v>5</v>
      </c>
      <c r="D23" s="2" t="str">
        <f>VLOOKUP($C23,Sheet1!$A$2:$B$10,2,0)</f>
        <v>141110-14600</v>
      </c>
      <c r="E23" s="8" t="s">
        <v>40</v>
      </c>
      <c r="F23" s="12">
        <v>45993</v>
      </c>
      <c r="G23" s="13">
        <v>0.5625</v>
      </c>
      <c r="H23" s="2" t="s">
        <v>41</v>
      </c>
      <c r="I23" s="2" t="s">
        <v>42</v>
      </c>
      <c r="J23" s="2">
        <v>18</v>
      </c>
      <c r="K23" s="14">
        <f>VLOOKUP($C23,Sheet1!$A$2:$D$10,4,0)</f>
        <v>18</v>
      </c>
      <c r="L23" s="14" t="str">
        <f>VLOOKUP($C23,Sheet1!$A$2:$E$10,5,0)</f>
        <v>Trolley (H)</v>
      </c>
      <c r="M23" s="14"/>
      <c r="N23" s="51">
        <v>1</v>
      </c>
      <c r="O23" s="2" t="s">
        <v>110</v>
      </c>
      <c r="P23" s="2" t="s">
        <v>167</v>
      </c>
    </row>
    <row r="24" spans="1:16" x14ac:dyDescent="0.25">
      <c r="A24" s="15" t="s">
        <v>161</v>
      </c>
      <c r="B24" s="18" t="s">
        <v>124</v>
      </c>
      <c r="C24" s="2" t="s">
        <v>9</v>
      </c>
      <c r="D24" s="2" t="str">
        <f>VLOOKUP($C24,Sheet1!$A$2:$B$10,2,0)</f>
        <v>141120-14600</v>
      </c>
      <c r="E24" s="8" t="s">
        <v>47</v>
      </c>
      <c r="F24" s="12">
        <v>45993</v>
      </c>
      <c r="G24" s="13">
        <v>0.5625</v>
      </c>
      <c r="H24" s="2" t="s">
        <v>41</v>
      </c>
      <c r="I24" s="2" t="s">
        <v>42</v>
      </c>
      <c r="J24" s="2">
        <v>18</v>
      </c>
      <c r="K24" s="14">
        <f>VLOOKUP($C24,Sheet1!$A$2:$D$10,4,0)</f>
        <v>18</v>
      </c>
      <c r="L24" s="14" t="str">
        <f>VLOOKUP($C24,Sheet1!$A$2:$E$10,5,0)</f>
        <v>Trolley (H)</v>
      </c>
      <c r="M24" s="14"/>
      <c r="N24" s="52"/>
      <c r="O24" s="2" t="s">
        <v>110</v>
      </c>
      <c r="P24" s="2" t="s">
        <v>167</v>
      </c>
    </row>
    <row r="25" spans="1:16" x14ac:dyDescent="0.25">
      <c r="A25" s="15" t="s">
        <v>161</v>
      </c>
      <c r="B25" s="18" t="s">
        <v>128</v>
      </c>
      <c r="C25" s="2" t="s">
        <v>12</v>
      </c>
      <c r="D25" s="2" t="str">
        <f>VLOOKUP($C25,Sheet1!$A$2:$B$10,2,0)</f>
        <v>141185-74670</v>
      </c>
      <c r="E25" s="8" t="s">
        <v>52</v>
      </c>
      <c r="F25" s="12">
        <v>45993</v>
      </c>
      <c r="G25" s="13">
        <v>0.5625</v>
      </c>
      <c r="H25" s="2" t="s">
        <v>41</v>
      </c>
      <c r="I25" s="2" t="s">
        <v>42</v>
      </c>
      <c r="J25" s="2">
        <v>40</v>
      </c>
      <c r="K25" s="14">
        <f>VLOOKUP($C25,Sheet1!$A$2:$D$10,4,0)</f>
        <v>40</v>
      </c>
      <c r="L25" s="14" t="str">
        <f>VLOOKUP($C25,Sheet1!$A$2:$E$10,5,0)</f>
        <v>Trolley</v>
      </c>
      <c r="M25" s="14"/>
      <c r="N25" s="2">
        <f>J25/K25</f>
        <v>1</v>
      </c>
      <c r="O25" s="2" t="s">
        <v>110</v>
      </c>
      <c r="P25" s="2">
        <v>910102507</v>
      </c>
    </row>
    <row r="26" spans="1:16" x14ac:dyDescent="0.25">
      <c r="A26" s="15" t="s">
        <v>161</v>
      </c>
      <c r="B26" s="18" t="s">
        <v>132</v>
      </c>
      <c r="C26" s="2" t="s">
        <v>16</v>
      </c>
      <c r="D26" s="2" t="str">
        <f>VLOOKUP($C26,Sheet1!$A$2:$B$10,2,0)</f>
        <v>141140-91211</v>
      </c>
      <c r="E26" s="8" t="s">
        <v>57</v>
      </c>
      <c r="F26" s="12">
        <v>45993</v>
      </c>
      <c r="G26" s="13">
        <v>0.5625</v>
      </c>
      <c r="H26" s="2" t="s">
        <v>58</v>
      </c>
      <c r="I26" s="2" t="s">
        <v>42</v>
      </c>
      <c r="J26" s="2">
        <v>20</v>
      </c>
      <c r="K26" s="14">
        <f>VLOOKUP($C26,Sheet1!$A$2:$D$10,4,0)</f>
        <v>2</v>
      </c>
      <c r="L26" s="14" t="str">
        <f>VLOOKUP($C26,Sheet1!$A$2:$E$10,5,0)</f>
        <v>Bin</v>
      </c>
      <c r="M26" s="14">
        <f t="shared" ref="M26:M27" si="3">J26/K26</f>
        <v>10</v>
      </c>
      <c r="N26" s="2"/>
      <c r="O26" s="2" t="s">
        <v>110</v>
      </c>
      <c r="P26" s="2" t="s">
        <v>209</v>
      </c>
    </row>
    <row r="27" spans="1:16" x14ac:dyDescent="0.25">
      <c r="A27" s="15" t="s">
        <v>161</v>
      </c>
      <c r="B27" s="18" t="s">
        <v>137</v>
      </c>
      <c r="C27" s="2" t="s">
        <v>20</v>
      </c>
      <c r="D27" s="2" t="str">
        <f>VLOOKUP($C27,Sheet1!$A$2:$B$10,2,0)</f>
        <v>141150-91211</v>
      </c>
      <c r="E27" s="8" t="s">
        <v>64</v>
      </c>
      <c r="F27" s="12">
        <v>45993</v>
      </c>
      <c r="G27" s="13">
        <v>0.5625</v>
      </c>
      <c r="H27" s="2" t="s">
        <v>58</v>
      </c>
      <c r="I27" s="2" t="s">
        <v>42</v>
      </c>
      <c r="J27" s="2">
        <v>20</v>
      </c>
      <c r="K27" s="14">
        <f>VLOOKUP($C27,Sheet1!$A$2:$D$10,4,0)</f>
        <v>2</v>
      </c>
      <c r="L27" s="14" t="str">
        <f>VLOOKUP($C27,Sheet1!$A$2:$E$10,5,0)</f>
        <v>Bin</v>
      </c>
      <c r="M27" s="14">
        <f t="shared" si="3"/>
        <v>10</v>
      </c>
      <c r="N27" s="2"/>
      <c r="O27" s="2" t="s">
        <v>110</v>
      </c>
      <c r="P27" s="2" t="s">
        <v>209</v>
      </c>
    </row>
    <row r="28" spans="1:16" x14ac:dyDescent="0.25">
      <c r="A28" s="15" t="s">
        <v>161</v>
      </c>
      <c r="B28" s="18" t="s">
        <v>142</v>
      </c>
      <c r="C28" s="2" t="s">
        <v>23</v>
      </c>
      <c r="D28" s="2" t="str">
        <f>VLOOKUP($C28,Sheet1!$A$2:$B$10,2,0)</f>
        <v>141186-74360</v>
      </c>
      <c r="E28" s="8" t="s">
        <v>70</v>
      </c>
      <c r="F28" s="12">
        <v>45993</v>
      </c>
      <c r="G28" s="13">
        <v>0.5625</v>
      </c>
      <c r="H28" s="2" t="s">
        <v>58</v>
      </c>
      <c r="I28" s="2" t="s">
        <v>42</v>
      </c>
      <c r="J28" s="2">
        <v>40</v>
      </c>
      <c r="K28" s="14">
        <f>VLOOKUP($C28,Sheet1!$A$2:$D$10,4,0)</f>
        <v>40</v>
      </c>
      <c r="L28" s="14" t="str">
        <f>VLOOKUP($C28,Sheet1!$A$2:$E$10,5,0)</f>
        <v>Trolley</v>
      </c>
      <c r="M28" s="14"/>
      <c r="N28" s="2">
        <f>J28/K28</f>
        <v>1</v>
      </c>
      <c r="O28" s="2" t="s">
        <v>110</v>
      </c>
      <c r="P28" s="2">
        <v>910101985</v>
      </c>
    </row>
    <row r="29" spans="1:16" x14ac:dyDescent="0.25">
      <c r="A29" s="15" t="s">
        <v>162</v>
      </c>
      <c r="B29" s="18" t="s">
        <v>145</v>
      </c>
      <c r="C29" s="2" t="s">
        <v>26</v>
      </c>
      <c r="D29" s="2" t="str">
        <f>VLOOKUP($C29,Sheet1!$A$2:$B$10,2,0)</f>
        <v>116040-92240</v>
      </c>
      <c r="E29" s="8" t="s">
        <v>75</v>
      </c>
      <c r="F29" s="12">
        <v>45993</v>
      </c>
      <c r="G29" s="13">
        <v>0.5625</v>
      </c>
      <c r="H29" s="2" t="s">
        <v>76</v>
      </c>
      <c r="I29" s="2" t="s">
        <v>42</v>
      </c>
      <c r="J29" s="2">
        <v>24</v>
      </c>
      <c r="K29" s="14">
        <f>VLOOKUP($C29,Sheet1!$A$2:$D$10,4,0)</f>
        <v>6</v>
      </c>
      <c r="L29" s="14" t="str">
        <f>VLOOKUP($C29,Sheet1!$A$2:$E$10,5,0)</f>
        <v>Bin</v>
      </c>
      <c r="M29" s="14">
        <f t="shared" ref="M29:M34" si="4">J29/K29</f>
        <v>4</v>
      </c>
      <c r="N29" s="2"/>
      <c r="O29" s="2" t="s">
        <v>110</v>
      </c>
      <c r="P29" s="2" t="s">
        <v>169</v>
      </c>
    </row>
    <row r="30" spans="1:16" x14ac:dyDescent="0.25">
      <c r="A30" s="15" t="s">
        <v>162</v>
      </c>
      <c r="B30" s="18" t="s">
        <v>149</v>
      </c>
      <c r="C30" s="15" t="s">
        <v>32</v>
      </c>
      <c r="D30" s="15" t="str">
        <f>VLOOKUP($C30,Sheet1!$A$2:$B$10,2,0)</f>
        <v>114010-50820</v>
      </c>
      <c r="E30" s="19" t="s">
        <v>82</v>
      </c>
      <c r="F30" s="20">
        <v>45993</v>
      </c>
      <c r="G30" s="21">
        <v>0.5625</v>
      </c>
      <c r="H30" s="15" t="s">
        <v>76</v>
      </c>
      <c r="I30" s="2" t="s">
        <v>42</v>
      </c>
      <c r="J30" s="2">
        <v>12</v>
      </c>
      <c r="K30" s="14">
        <f>VLOOKUP($C30,Sheet1!$A$2:$D$10,4,0)</f>
        <v>1</v>
      </c>
      <c r="L30" s="14" t="str">
        <f>VLOOKUP($C30,Sheet1!$A$2:$E$10,5,0)</f>
        <v>Bin</v>
      </c>
      <c r="M30" s="14">
        <f t="shared" si="4"/>
        <v>12</v>
      </c>
      <c r="N30" s="2"/>
      <c r="O30" s="2" t="s">
        <v>110</v>
      </c>
      <c r="P30" s="2" t="s">
        <v>170</v>
      </c>
    </row>
    <row r="31" spans="1:16" ht="15.75" thickBot="1" x14ac:dyDescent="0.3">
      <c r="A31" s="15" t="s">
        <v>162</v>
      </c>
      <c r="B31" s="18" t="s">
        <v>154</v>
      </c>
      <c r="C31" s="2" t="s">
        <v>29</v>
      </c>
      <c r="D31" s="2" t="str">
        <f>VLOOKUP($C31,Sheet1!$A$2:$B$10,2,0)</f>
        <v>114010-50830</v>
      </c>
      <c r="E31" s="8" t="s">
        <v>82</v>
      </c>
      <c r="F31" s="12">
        <v>45993</v>
      </c>
      <c r="G31" s="17">
        <v>0.5625</v>
      </c>
      <c r="H31" s="2" t="s">
        <v>76</v>
      </c>
      <c r="I31" s="2" t="s">
        <v>42</v>
      </c>
      <c r="J31" s="2">
        <v>3</v>
      </c>
      <c r="K31" s="14">
        <f>VLOOKUP($C31,Sheet1!$A$2:$D$10,4,0)</f>
        <v>1</v>
      </c>
      <c r="L31" s="14" t="str">
        <f>VLOOKUP($C31,Sheet1!$A$2:$E$10,5,0)</f>
        <v>Bin</v>
      </c>
      <c r="M31" s="14">
        <f t="shared" si="4"/>
        <v>3</v>
      </c>
      <c r="N31" s="2"/>
      <c r="O31" s="2" t="s">
        <v>110</v>
      </c>
      <c r="P31" s="2" t="s">
        <v>171</v>
      </c>
    </row>
    <row r="32" spans="1:16" ht="15.75" thickTop="1" x14ac:dyDescent="0.25">
      <c r="A32" s="15" t="s">
        <v>163</v>
      </c>
      <c r="B32" s="18" t="s">
        <v>133</v>
      </c>
      <c r="C32" s="2" t="s">
        <v>16</v>
      </c>
      <c r="D32" s="2" t="str">
        <f>VLOOKUP($C32,Sheet1!$A$2:$B$10,2,0)</f>
        <v>141140-91211</v>
      </c>
      <c r="E32" s="8" t="s">
        <v>57</v>
      </c>
      <c r="F32" s="12">
        <v>45993</v>
      </c>
      <c r="G32" s="16">
        <v>0.60416666666666663</v>
      </c>
      <c r="H32" s="2" t="s">
        <v>58</v>
      </c>
      <c r="I32" s="2" t="s">
        <v>42</v>
      </c>
      <c r="J32" s="2">
        <v>4</v>
      </c>
      <c r="K32" s="14">
        <f>VLOOKUP($C32,Sheet1!$A$2:$D$10,4,0)</f>
        <v>2</v>
      </c>
      <c r="L32" s="14" t="str">
        <f>VLOOKUP($C32,Sheet1!$A$2:$E$10,5,0)</f>
        <v>Bin</v>
      </c>
      <c r="M32" s="14">
        <f t="shared" si="4"/>
        <v>2</v>
      </c>
      <c r="N32" s="2"/>
      <c r="O32" s="2" t="s">
        <v>110</v>
      </c>
      <c r="P32" s="2" t="s">
        <v>209</v>
      </c>
    </row>
    <row r="33" spans="1:16" x14ac:dyDescent="0.25">
      <c r="A33" s="15" t="s">
        <v>163</v>
      </c>
      <c r="B33" s="18" t="s">
        <v>138</v>
      </c>
      <c r="C33" s="2" t="s">
        <v>20</v>
      </c>
      <c r="D33" s="2" t="str">
        <f>VLOOKUP($C33,Sheet1!$A$2:$B$10,2,0)</f>
        <v>141150-91211</v>
      </c>
      <c r="E33" s="8" t="s">
        <v>64</v>
      </c>
      <c r="F33" s="12">
        <v>45993</v>
      </c>
      <c r="G33" s="13">
        <v>0.60416666666666663</v>
      </c>
      <c r="H33" s="2" t="s">
        <v>58</v>
      </c>
      <c r="I33" s="2" t="s">
        <v>42</v>
      </c>
      <c r="J33" s="2">
        <v>4</v>
      </c>
      <c r="K33" s="14">
        <f>VLOOKUP($C33,Sheet1!$A$2:$D$10,4,0)</f>
        <v>2</v>
      </c>
      <c r="L33" s="14" t="str">
        <f>VLOOKUP($C33,Sheet1!$A$2:$E$10,5,0)</f>
        <v>Bin</v>
      </c>
      <c r="M33" s="14">
        <f t="shared" si="4"/>
        <v>2</v>
      </c>
      <c r="N33" s="2"/>
      <c r="O33" s="2" t="s">
        <v>110</v>
      </c>
      <c r="P33" s="2" t="s">
        <v>209</v>
      </c>
    </row>
    <row r="34" spans="1:16" x14ac:dyDescent="0.25">
      <c r="A34" s="15" t="s">
        <v>164</v>
      </c>
      <c r="B34" s="18" t="s">
        <v>150</v>
      </c>
      <c r="C34" s="2" t="s">
        <v>32</v>
      </c>
      <c r="D34" s="2" t="str">
        <f>VLOOKUP($C34,Sheet1!$A$2:$B$10,2,0)</f>
        <v>114010-50820</v>
      </c>
      <c r="E34" s="8" t="s">
        <v>82</v>
      </c>
      <c r="F34" s="12">
        <v>45993</v>
      </c>
      <c r="G34" s="13">
        <v>0.60416666666666663</v>
      </c>
      <c r="H34" s="2" t="s">
        <v>76</v>
      </c>
      <c r="I34" s="2" t="s">
        <v>42</v>
      </c>
      <c r="J34" s="2">
        <v>2</v>
      </c>
      <c r="K34" s="14">
        <f>VLOOKUP($C34,Sheet1!$A$2:$D$10,4,0)</f>
        <v>1</v>
      </c>
      <c r="L34" s="14" t="str">
        <f>VLOOKUP($C34,Sheet1!$A$2:$E$10,5,0)</f>
        <v>Bin</v>
      </c>
      <c r="M34" s="14">
        <f t="shared" si="4"/>
        <v>2</v>
      </c>
      <c r="N34" s="2"/>
      <c r="O34" s="2" t="s">
        <v>110</v>
      </c>
      <c r="P34" s="2" t="s">
        <v>170</v>
      </c>
    </row>
    <row r="35" spans="1:16" s="11" customForma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>
        <v>45</v>
      </c>
      <c r="N35" s="10">
        <v>3</v>
      </c>
      <c r="O35" s="10"/>
      <c r="P35" s="10"/>
    </row>
    <row r="36" spans="1:16" x14ac:dyDescent="0.25">
      <c r="A36" s="15" t="s">
        <v>165</v>
      </c>
      <c r="B36" s="18" t="s">
        <v>121</v>
      </c>
      <c r="C36" s="2" t="s">
        <v>5</v>
      </c>
      <c r="D36" s="2" t="str">
        <f>VLOOKUP($C36,Sheet1!$A$2:$B$10,2,0)</f>
        <v>141110-14600</v>
      </c>
      <c r="E36" s="8" t="s">
        <v>40</v>
      </c>
      <c r="F36" s="12">
        <v>45993</v>
      </c>
      <c r="G36" s="13">
        <v>0.64583333333333337</v>
      </c>
      <c r="H36" s="2" t="s">
        <v>41</v>
      </c>
      <c r="I36" s="2" t="s">
        <v>42</v>
      </c>
      <c r="J36" s="2">
        <v>18</v>
      </c>
      <c r="K36" s="14">
        <f>VLOOKUP($C36,Sheet1!$A$2:$D$10,4,0)</f>
        <v>18</v>
      </c>
      <c r="L36" s="14" t="str">
        <f>VLOOKUP($C36,Sheet1!$A$2:$E$10,5,0)</f>
        <v>Trolley (H)</v>
      </c>
      <c r="M36" s="14"/>
      <c r="N36" s="51">
        <v>1</v>
      </c>
      <c r="O36" s="2" t="s">
        <v>113</v>
      </c>
      <c r="P36" s="2" t="s">
        <v>167</v>
      </c>
    </row>
    <row r="37" spans="1:16" x14ac:dyDescent="0.25">
      <c r="A37" s="15" t="s">
        <v>165</v>
      </c>
      <c r="B37" s="18" t="s">
        <v>125</v>
      </c>
      <c r="C37" s="2" t="s">
        <v>9</v>
      </c>
      <c r="D37" s="2" t="str">
        <f>VLOOKUP($C37,Sheet1!$A$2:$B$10,2,0)</f>
        <v>141120-14600</v>
      </c>
      <c r="E37" s="8" t="s">
        <v>47</v>
      </c>
      <c r="F37" s="12">
        <v>45993</v>
      </c>
      <c r="G37" s="13">
        <v>0.64583333333333337</v>
      </c>
      <c r="H37" s="2" t="s">
        <v>41</v>
      </c>
      <c r="I37" s="2" t="s">
        <v>42</v>
      </c>
      <c r="J37" s="2">
        <v>18</v>
      </c>
      <c r="K37" s="14">
        <f>VLOOKUP($C37,Sheet1!$A$2:$D$10,4,0)</f>
        <v>18</v>
      </c>
      <c r="L37" s="14" t="str">
        <f>VLOOKUP($C37,Sheet1!$A$2:$E$10,5,0)</f>
        <v>Trolley (H)</v>
      </c>
      <c r="M37" s="14"/>
      <c r="N37" s="52"/>
      <c r="O37" s="2" t="s">
        <v>113</v>
      </c>
      <c r="P37" s="2" t="s">
        <v>167</v>
      </c>
    </row>
    <row r="38" spans="1:16" x14ac:dyDescent="0.25">
      <c r="A38" s="15" t="s">
        <v>165</v>
      </c>
      <c r="B38" s="18" t="s">
        <v>129</v>
      </c>
      <c r="C38" s="2" t="s">
        <v>12</v>
      </c>
      <c r="D38" s="2" t="str">
        <f>VLOOKUP($C38,Sheet1!$A$2:$B$10,2,0)</f>
        <v>141185-74670</v>
      </c>
      <c r="E38" s="8" t="s">
        <v>52</v>
      </c>
      <c r="F38" s="12">
        <v>45993</v>
      </c>
      <c r="G38" s="13">
        <v>0.64583333333333337</v>
      </c>
      <c r="H38" s="2" t="s">
        <v>41</v>
      </c>
      <c r="I38" s="2" t="s">
        <v>42</v>
      </c>
      <c r="J38" s="2">
        <v>40</v>
      </c>
      <c r="K38" s="14">
        <f>VLOOKUP($C38,Sheet1!$A$2:$D$10,4,0)</f>
        <v>40</v>
      </c>
      <c r="L38" s="14" t="str">
        <f>VLOOKUP($C38,Sheet1!$A$2:$E$10,5,0)</f>
        <v>Trolley</v>
      </c>
      <c r="M38" s="14"/>
      <c r="N38" s="2">
        <f>J38/K38</f>
        <v>1</v>
      </c>
      <c r="O38" s="2" t="s">
        <v>113</v>
      </c>
      <c r="P38" s="2">
        <v>910102649</v>
      </c>
    </row>
    <row r="39" spans="1:16" x14ac:dyDescent="0.25">
      <c r="A39" s="15" t="s">
        <v>165</v>
      </c>
      <c r="B39" s="18" t="s">
        <v>134</v>
      </c>
      <c r="C39" s="2" t="s">
        <v>16</v>
      </c>
      <c r="D39" s="2" t="str">
        <f>VLOOKUP($C39,Sheet1!$A$2:$B$10,2,0)</f>
        <v>141140-91211</v>
      </c>
      <c r="E39" s="8" t="s">
        <v>57</v>
      </c>
      <c r="F39" s="12">
        <v>45993</v>
      </c>
      <c r="G39" s="13">
        <v>0.64583333333333337</v>
      </c>
      <c r="H39" s="2" t="s">
        <v>58</v>
      </c>
      <c r="I39" s="2" t="s">
        <v>42</v>
      </c>
      <c r="J39" s="2">
        <v>8</v>
      </c>
      <c r="K39" s="14">
        <f>VLOOKUP($C39,Sheet1!$A$2:$D$10,4,0)</f>
        <v>2</v>
      </c>
      <c r="L39" s="14" t="str">
        <f>VLOOKUP($C39,Sheet1!$A$2:$E$10,5,0)</f>
        <v>Bin</v>
      </c>
      <c r="M39" s="14">
        <f t="shared" ref="M39:M43" si="5">J39/K39</f>
        <v>4</v>
      </c>
      <c r="N39" s="2"/>
      <c r="O39" s="2" t="s">
        <v>113</v>
      </c>
      <c r="P39" s="2" t="s">
        <v>209</v>
      </c>
    </row>
    <row r="40" spans="1:16" x14ac:dyDescent="0.25">
      <c r="A40" s="15" t="s">
        <v>165</v>
      </c>
      <c r="B40" s="18" t="s">
        <v>139</v>
      </c>
      <c r="C40" s="2" t="s">
        <v>20</v>
      </c>
      <c r="D40" s="2" t="str">
        <f>VLOOKUP($C40,Sheet1!$A$2:$B$10,2,0)</f>
        <v>141150-91211</v>
      </c>
      <c r="E40" s="8" t="s">
        <v>64</v>
      </c>
      <c r="F40" s="12">
        <v>45993</v>
      </c>
      <c r="G40" s="13">
        <v>0.64583333333333337</v>
      </c>
      <c r="H40" s="2" t="s">
        <v>58</v>
      </c>
      <c r="I40" s="2" t="s">
        <v>42</v>
      </c>
      <c r="J40" s="2">
        <v>8</v>
      </c>
      <c r="K40" s="14">
        <f>VLOOKUP($C40,Sheet1!$A$2:$D$10,4,0)</f>
        <v>2</v>
      </c>
      <c r="L40" s="14" t="str">
        <f>VLOOKUP($C40,Sheet1!$A$2:$E$10,5,0)</f>
        <v>Bin</v>
      </c>
      <c r="M40" s="14">
        <f t="shared" si="5"/>
        <v>4</v>
      </c>
      <c r="N40" s="2"/>
      <c r="O40" s="2" t="s">
        <v>113</v>
      </c>
      <c r="P40" s="2" t="s">
        <v>209</v>
      </c>
    </row>
    <row r="41" spans="1:16" x14ac:dyDescent="0.25">
      <c r="A41" s="15" t="s">
        <v>166</v>
      </c>
      <c r="B41" s="18" t="s">
        <v>146</v>
      </c>
      <c r="C41" s="2" t="s">
        <v>26</v>
      </c>
      <c r="D41" s="2" t="str">
        <f>VLOOKUP($C41,Sheet1!$A$2:$B$10,2,0)</f>
        <v>116040-92240</v>
      </c>
      <c r="E41" s="8" t="s">
        <v>75</v>
      </c>
      <c r="F41" s="12">
        <v>45993</v>
      </c>
      <c r="G41" s="13">
        <v>0.64583333333333337</v>
      </c>
      <c r="H41" s="2" t="s">
        <v>76</v>
      </c>
      <c r="I41" s="2" t="s">
        <v>42</v>
      </c>
      <c r="J41" s="2">
        <v>6</v>
      </c>
      <c r="K41" s="14">
        <f>VLOOKUP($C41,Sheet1!$A$2:$D$10,4,0)</f>
        <v>6</v>
      </c>
      <c r="L41" s="14" t="str">
        <f>VLOOKUP($C41,Sheet1!$A$2:$E$10,5,0)</f>
        <v>Bin</v>
      </c>
      <c r="M41" s="14">
        <f t="shared" si="5"/>
        <v>1</v>
      </c>
      <c r="N41" s="2"/>
      <c r="O41" s="2" t="s">
        <v>113</v>
      </c>
      <c r="P41" s="2" t="s">
        <v>169</v>
      </c>
    </row>
    <row r="42" spans="1:16" x14ac:dyDescent="0.25">
      <c r="A42" s="15" t="s">
        <v>166</v>
      </c>
      <c r="B42" s="18" t="s">
        <v>151</v>
      </c>
      <c r="C42" s="2" t="s">
        <v>32</v>
      </c>
      <c r="D42" s="2" t="str">
        <f>VLOOKUP($C42,Sheet1!$A$2:$B$10,2,0)</f>
        <v>114010-50820</v>
      </c>
      <c r="E42" s="8" t="s">
        <v>82</v>
      </c>
      <c r="F42" s="12">
        <v>45993</v>
      </c>
      <c r="G42" s="13">
        <v>0.64583333333333337</v>
      </c>
      <c r="H42" s="2" t="s">
        <v>76</v>
      </c>
      <c r="I42" s="2" t="s">
        <v>42</v>
      </c>
      <c r="J42" s="2">
        <v>9</v>
      </c>
      <c r="K42" s="14">
        <f>VLOOKUP($C42,Sheet1!$A$2:$D$10,4,0)</f>
        <v>1</v>
      </c>
      <c r="L42" s="14" t="str">
        <f>VLOOKUP($C42,Sheet1!$A$2:$E$10,5,0)</f>
        <v>Bin</v>
      </c>
      <c r="M42" s="14">
        <f t="shared" si="5"/>
        <v>9</v>
      </c>
      <c r="N42" s="2"/>
      <c r="O42" s="2" t="s">
        <v>113</v>
      </c>
      <c r="P42" s="2" t="s">
        <v>170</v>
      </c>
    </row>
    <row r="43" spans="1:16" x14ac:dyDescent="0.25">
      <c r="A43" s="15" t="s">
        <v>166</v>
      </c>
      <c r="B43" s="18" t="s">
        <v>155</v>
      </c>
      <c r="C43" s="2" t="s">
        <v>29</v>
      </c>
      <c r="D43" s="2" t="str">
        <f>VLOOKUP($C43,Sheet1!$A$2:$B$10,2,0)</f>
        <v>114010-50830</v>
      </c>
      <c r="E43" s="8" t="s">
        <v>82</v>
      </c>
      <c r="F43" s="12">
        <v>45993</v>
      </c>
      <c r="G43" s="13">
        <v>0.64583333333333337</v>
      </c>
      <c r="H43" s="2" t="s">
        <v>76</v>
      </c>
      <c r="I43" s="2" t="s">
        <v>42</v>
      </c>
      <c r="J43" s="2">
        <v>5</v>
      </c>
      <c r="K43" s="14">
        <f>VLOOKUP($C43,Sheet1!$A$2:$D$10,4,0)</f>
        <v>1</v>
      </c>
      <c r="L43" s="14" t="str">
        <f>VLOOKUP($C43,Sheet1!$A$2:$E$10,5,0)</f>
        <v>Bin</v>
      </c>
      <c r="M43" s="14">
        <f t="shared" si="5"/>
        <v>5</v>
      </c>
      <c r="N43" s="2"/>
      <c r="O43" s="2" t="s">
        <v>113</v>
      </c>
      <c r="P43" s="2" t="s">
        <v>171</v>
      </c>
    </row>
    <row r="44" spans="1:16" s="11" customForma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>
        <v>23</v>
      </c>
      <c r="N44" s="10">
        <v>2</v>
      </c>
      <c r="O44" s="10"/>
      <c r="P44" s="10"/>
    </row>
    <row r="45" spans="1:16" x14ac:dyDescent="0.25">
      <c r="A45" s="2"/>
      <c r="B45" s="2" t="s">
        <v>156</v>
      </c>
      <c r="C45" s="2"/>
      <c r="D45" s="2"/>
      <c r="E45" s="8"/>
      <c r="F45" s="12"/>
      <c r="G45" s="13"/>
      <c r="H45" s="2"/>
      <c r="I45" s="2"/>
      <c r="J45" s="2"/>
      <c r="K45" s="14"/>
      <c r="L45" s="14"/>
      <c r="M45" s="14"/>
      <c r="N45" s="2"/>
      <c r="O45" s="2"/>
      <c r="P45" s="2"/>
    </row>
  </sheetData>
  <mergeCells count="7">
    <mergeCell ref="A1:F1"/>
    <mergeCell ref="J1:N1"/>
    <mergeCell ref="L2:N2"/>
    <mergeCell ref="N36:N37"/>
    <mergeCell ref="N23:N24"/>
    <mergeCell ref="N12:N13"/>
    <mergeCell ref="N4:N5"/>
  </mergeCells>
  <conditionalFormatting sqref="B2">
    <cfRule type="duplicateValues" dxfId="121" priority="2"/>
    <cfRule type="duplicateValues" dxfId="120" priority="3"/>
  </conditionalFormatting>
  <conditionalFormatting sqref="B4:B21 B23:B34 B36:B43 B45">
    <cfRule type="duplicateValues" dxfId="119" priority="10"/>
  </conditionalFormatting>
  <conditionalFormatting sqref="C2:D2">
    <cfRule type="duplicateValues" dxfId="118" priority="4"/>
    <cfRule type="duplicateValues" dxfId="117" priority="5"/>
  </conditionalFormatting>
  <hyperlinks>
    <hyperlink ref="B45" r:id="rId1" display="http://192.168.1.248/downloads/temp/X539_eNagare_2025121.log" xr:uid="{00000000-0004-0000-0200-000000000000}"/>
  </hyperlinks>
  <pageMargins left="0.17" right="0.17" top="0.17" bottom="0.17" header="0.17" footer="0.17"/>
  <pageSetup scale="69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36"/>
  <sheetViews>
    <sheetView topLeftCell="A3" workbookViewId="0">
      <selection activeCell="A4" sqref="A4:XFD35"/>
    </sheetView>
  </sheetViews>
  <sheetFormatPr defaultColWidth="53.28515625" defaultRowHeight="15" x14ac:dyDescent="0.25"/>
  <cols>
    <col min="1" max="1" width="15.42578125" bestFit="1" customWidth="1"/>
    <col min="2" max="2" width="16.5703125" bestFit="1" customWidth="1"/>
    <col min="3" max="4" width="14.140625" bestFit="1" customWidth="1"/>
    <col min="5" max="5" width="32.5703125" bestFit="1" customWidth="1"/>
    <col min="6" max="6" width="12.7109375" bestFit="1" customWidth="1"/>
    <col min="7" max="7" width="7.7109375" bestFit="1" customWidth="1"/>
    <col min="8" max="8" width="12.28515625" customWidth="1"/>
    <col min="9" max="9" width="4.7109375" bestFit="1" customWidth="1"/>
    <col min="10" max="10" width="8" bestFit="1" customWidth="1"/>
    <col min="11" max="11" width="9" bestFit="1" customWidth="1"/>
    <col min="12" max="12" width="10.28515625" bestFit="1" customWidth="1"/>
    <col min="13" max="13" width="7.140625" bestFit="1" customWidth="1"/>
    <col min="14" max="14" width="7.85546875" bestFit="1" customWidth="1"/>
    <col min="15" max="15" width="11.28515625" bestFit="1" customWidth="1"/>
    <col min="16" max="16" width="53.85546875" bestFit="1" customWidth="1"/>
    <col min="17" max="17" width="27.5703125" customWidth="1"/>
  </cols>
  <sheetData>
    <row r="1" spans="1:16" ht="23.25" x14ac:dyDescent="0.25">
      <c r="A1" s="53" t="s">
        <v>93</v>
      </c>
      <c r="B1" s="53"/>
      <c r="C1" s="53"/>
      <c r="D1" s="53"/>
      <c r="E1" s="53"/>
      <c r="F1" s="53"/>
      <c r="G1" s="2"/>
      <c r="H1" s="2"/>
      <c r="I1" s="2"/>
      <c r="J1" s="54" t="s">
        <v>94</v>
      </c>
      <c r="K1" s="55"/>
      <c r="L1" s="55"/>
      <c r="M1" s="55"/>
      <c r="N1" s="55"/>
      <c r="O1" s="3"/>
      <c r="P1" s="4"/>
    </row>
    <row r="2" spans="1:16" ht="15.75" x14ac:dyDescent="0.25">
      <c r="A2" s="5" t="s">
        <v>95</v>
      </c>
      <c r="B2" s="6">
        <v>45994</v>
      </c>
      <c r="C2" s="7"/>
      <c r="D2" s="7"/>
      <c r="E2" s="2"/>
      <c r="F2" s="8"/>
      <c r="G2" s="2"/>
      <c r="H2" s="2"/>
      <c r="I2" s="2"/>
      <c r="J2" s="2"/>
      <c r="K2" s="2"/>
      <c r="L2" s="56" t="s">
        <v>96</v>
      </c>
      <c r="M2" s="57"/>
      <c r="N2" s="58"/>
      <c r="O2" s="2"/>
      <c r="P2" s="2"/>
    </row>
    <row r="3" spans="1:16" s="11" customFormat="1" ht="30" x14ac:dyDescent="0.25">
      <c r="A3" s="10" t="s">
        <v>97</v>
      </c>
      <c r="B3" s="10" t="s">
        <v>35</v>
      </c>
      <c r="C3" s="10" t="s">
        <v>0</v>
      </c>
      <c r="D3" s="10" t="s">
        <v>98</v>
      </c>
      <c r="E3" s="10" t="s">
        <v>2</v>
      </c>
      <c r="F3" s="10" t="s">
        <v>36</v>
      </c>
      <c r="G3" s="10" t="s">
        <v>37</v>
      </c>
      <c r="H3" s="10" t="s">
        <v>38</v>
      </c>
      <c r="I3" s="10" t="s">
        <v>99</v>
      </c>
      <c r="J3" s="10" t="s">
        <v>100</v>
      </c>
      <c r="K3" s="10" t="s">
        <v>101</v>
      </c>
      <c r="L3" s="10" t="s">
        <v>102</v>
      </c>
      <c r="M3" s="10" t="s">
        <v>103</v>
      </c>
      <c r="N3" s="10" t="s">
        <v>104</v>
      </c>
      <c r="O3" s="10" t="s">
        <v>96</v>
      </c>
      <c r="P3" s="10" t="s">
        <v>105</v>
      </c>
    </row>
    <row r="4" spans="1:16" x14ac:dyDescent="0.25">
      <c r="A4" s="15" t="s">
        <v>201</v>
      </c>
      <c r="B4" s="18" t="s">
        <v>173</v>
      </c>
      <c r="C4" s="2" t="s">
        <v>5</v>
      </c>
      <c r="D4" s="2" t="str">
        <f>VLOOKUP($C4,Sheet1!$A$2:$B$10,2,0)</f>
        <v>141110-14600</v>
      </c>
      <c r="E4" s="8" t="s">
        <v>40</v>
      </c>
      <c r="F4" s="12">
        <v>45994</v>
      </c>
      <c r="G4" s="13">
        <v>0.39583333333333331</v>
      </c>
      <c r="H4" s="2" t="s">
        <v>41</v>
      </c>
      <c r="I4" s="2" t="s">
        <v>42</v>
      </c>
      <c r="J4" s="2">
        <v>54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1">
        <v>3</v>
      </c>
      <c r="O4" s="2" t="s">
        <v>157</v>
      </c>
      <c r="P4" s="2" t="s">
        <v>167</v>
      </c>
    </row>
    <row r="5" spans="1:16" x14ac:dyDescent="0.25">
      <c r="A5" s="15" t="s">
        <v>201</v>
      </c>
      <c r="B5" s="18" t="s">
        <v>176</v>
      </c>
      <c r="C5" s="2" t="s">
        <v>9</v>
      </c>
      <c r="D5" s="2" t="str">
        <f>VLOOKUP($C5,Sheet1!$A$2:$B$10,2,0)</f>
        <v>141120-14600</v>
      </c>
      <c r="E5" s="8" t="s">
        <v>47</v>
      </c>
      <c r="F5" s="12">
        <v>45994</v>
      </c>
      <c r="G5" s="13">
        <v>0.39583333333333331</v>
      </c>
      <c r="H5" s="2" t="s">
        <v>41</v>
      </c>
      <c r="I5" s="2" t="s">
        <v>42</v>
      </c>
      <c r="J5" s="2">
        <v>54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2"/>
      <c r="O5" s="2" t="s">
        <v>157</v>
      </c>
      <c r="P5" s="2" t="s">
        <v>167</v>
      </c>
    </row>
    <row r="6" spans="1:16" x14ac:dyDescent="0.25">
      <c r="A6" s="15" t="s">
        <v>201</v>
      </c>
      <c r="B6" s="18" t="s">
        <v>178</v>
      </c>
      <c r="C6" s="2" t="s">
        <v>12</v>
      </c>
      <c r="D6" s="2" t="str">
        <f>VLOOKUP($C6,Sheet1!$A$2:$B$10,2,0)</f>
        <v>141185-74670</v>
      </c>
      <c r="E6" s="8" t="s">
        <v>52</v>
      </c>
      <c r="F6" s="12">
        <v>45994</v>
      </c>
      <c r="G6" s="13">
        <v>0.39583333333333331</v>
      </c>
      <c r="H6" s="2" t="s">
        <v>41</v>
      </c>
      <c r="I6" s="2" t="s">
        <v>42</v>
      </c>
      <c r="J6" s="2">
        <v>40</v>
      </c>
      <c r="K6" s="14">
        <f>VLOOKUP($C6,Sheet1!$A$2:$D$10,4,0)</f>
        <v>40</v>
      </c>
      <c r="L6" s="14" t="str">
        <f>VLOOKUP($C6,Sheet1!$A$2:$E$10,5,0)</f>
        <v>Trolley</v>
      </c>
      <c r="M6" s="14"/>
      <c r="N6" s="2">
        <f>J6/K6</f>
        <v>1</v>
      </c>
      <c r="O6" s="2" t="s">
        <v>157</v>
      </c>
      <c r="P6" s="2">
        <v>910102394</v>
      </c>
    </row>
    <row r="7" spans="1:16" x14ac:dyDescent="0.25">
      <c r="A7" s="15" t="s">
        <v>201</v>
      </c>
      <c r="B7" s="18" t="s">
        <v>179</v>
      </c>
      <c r="C7" s="2" t="s">
        <v>12</v>
      </c>
      <c r="D7" s="2" t="str">
        <f>VLOOKUP($C7,Sheet1!$A$2:$B$10,2,0)</f>
        <v>141185-74670</v>
      </c>
      <c r="E7" s="8" t="s">
        <v>52</v>
      </c>
      <c r="F7" s="12">
        <v>45994</v>
      </c>
      <c r="G7" s="13">
        <v>0.39583333333333331</v>
      </c>
      <c r="H7" s="2" t="s">
        <v>41</v>
      </c>
      <c r="I7" s="2" t="s">
        <v>42</v>
      </c>
      <c r="J7" s="2">
        <v>120</v>
      </c>
      <c r="K7" s="14">
        <f>VLOOKUP($C7,Sheet1!$A$2:$D$10,4,0)</f>
        <v>40</v>
      </c>
      <c r="L7" s="14" t="str">
        <f>VLOOKUP($C7,Sheet1!$A$2:$E$10,5,0)</f>
        <v>Trolley</v>
      </c>
      <c r="M7" s="14"/>
      <c r="N7" s="2">
        <f>J7/K7</f>
        <v>3</v>
      </c>
      <c r="O7" s="2" t="s">
        <v>157</v>
      </c>
      <c r="P7" s="2" t="s">
        <v>317</v>
      </c>
    </row>
    <row r="8" spans="1:16" x14ac:dyDescent="0.25">
      <c r="A8" s="15" t="s">
        <v>201</v>
      </c>
      <c r="B8" s="18" t="s">
        <v>181</v>
      </c>
      <c r="C8" s="2" t="s">
        <v>16</v>
      </c>
      <c r="D8" s="2" t="str">
        <f>VLOOKUP($C8,Sheet1!$A$2:$B$10,2,0)</f>
        <v>141140-91211</v>
      </c>
      <c r="E8" s="8" t="s">
        <v>57</v>
      </c>
      <c r="F8" s="12">
        <v>45994</v>
      </c>
      <c r="G8" s="13">
        <v>0.39583333333333331</v>
      </c>
      <c r="H8" s="2" t="s">
        <v>58</v>
      </c>
      <c r="I8" s="2" t="s">
        <v>42</v>
      </c>
      <c r="J8" s="2">
        <v>20</v>
      </c>
      <c r="K8" s="14">
        <f>VLOOKUP($C8,Sheet1!$A$2:$D$10,4,0)</f>
        <v>2</v>
      </c>
      <c r="L8" s="14" t="str">
        <f>VLOOKUP($C8,Sheet1!$A$2:$E$10,5,0)</f>
        <v>Bin</v>
      </c>
      <c r="M8" s="14">
        <f>J8/K8</f>
        <v>10</v>
      </c>
      <c r="N8" s="2"/>
      <c r="O8" s="2" t="s">
        <v>157</v>
      </c>
      <c r="P8" s="2" t="s">
        <v>209</v>
      </c>
    </row>
    <row r="9" spans="1:16" x14ac:dyDescent="0.25">
      <c r="A9" s="15" t="s">
        <v>201</v>
      </c>
      <c r="B9" s="18" t="s">
        <v>182</v>
      </c>
      <c r="C9" s="2" t="s">
        <v>16</v>
      </c>
      <c r="D9" s="2" t="str">
        <f>VLOOKUP($C9,Sheet1!$A$2:$B$10,2,0)</f>
        <v>141140-91211</v>
      </c>
      <c r="E9" s="8" t="s">
        <v>57</v>
      </c>
      <c r="F9" s="12">
        <v>45994</v>
      </c>
      <c r="G9" s="13">
        <v>0.39583333333333331</v>
      </c>
      <c r="H9" s="2" t="s">
        <v>58</v>
      </c>
      <c r="I9" s="2" t="s">
        <v>42</v>
      </c>
      <c r="J9" s="2">
        <v>54</v>
      </c>
      <c r="K9" s="14">
        <f>VLOOKUP($C9,Sheet1!$A$2:$D$10,4,0)</f>
        <v>2</v>
      </c>
      <c r="L9" s="14" t="str">
        <f>VLOOKUP($C9,Sheet1!$A$2:$E$10,5,0)</f>
        <v>Bin</v>
      </c>
      <c r="M9" s="14">
        <f t="shared" ref="M9:M11" si="0">J9/K9</f>
        <v>27</v>
      </c>
      <c r="N9" s="2"/>
      <c r="O9" s="2" t="s">
        <v>157</v>
      </c>
      <c r="P9" s="2" t="s">
        <v>209</v>
      </c>
    </row>
    <row r="10" spans="1:16" x14ac:dyDescent="0.25">
      <c r="A10" s="15" t="s">
        <v>201</v>
      </c>
      <c r="B10" s="18" t="s">
        <v>185</v>
      </c>
      <c r="C10" s="2" t="s">
        <v>20</v>
      </c>
      <c r="D10" s="2" t="str">
        <f>VLOOKUP($C10,Sheet1!$A$2:$B$10,2,0)</f>
        <v>141150-91211</v>
      </c>
      <c r="E10" s="8" t="s">
        <v>64</v>
      </c>
      <c r="F10" s="12">
        <v>45994</v>
      </c>
      <c r="G10" s="13">
        <v>0.39583333333333331</v>
      </c>
      <c r="H10" s="2" t="s">
        <v>58</v>
      </c>
      <c r="I10" s="2" t="s">
        <v>42</v>
      </c>
      <c r="J10" s="2">
        <v>20</v>
      </c>
      <c r="K10" s="14">
        <f>VLOOKUP($C10,Sheet1!$A$2:$D$10,4,0)</f>
        <v>2</v>
      </c>
      <c r="L10" s="14" t="str">
        <f>VLOOKUP($C10,Sheet1!$A$2:$E$10,5,0)</f>
        <v>Bin</v>
      </c>
      <c r="M10" s="14">
        <f t="shared" si="0"/>
        <v>10</v>
      </c>
      <c r="N10" s="2"/>
      <c r="O10" s="2" t="s">
        <v>157</v>
      </c>
      <c r="P10" s="2" t="s">
        <v>209</v>
      </c>
    </row>
    <row r="11" spans="1:16" x14ac:dyDescent="0.25">
      <c r="A11" s="15" t="s">
        <v>201</v>
      </c>
      <c r="B11" s="18" t="s">
        <v>186</v>
      </c>
      <c r="C11" s="2" t="s">
        <v>20</v>
      </c>
      <c r="D11" s="2" t="str">
        <f>VLOOKUP($C11,Sheet1!$A$2:$B$10,2,0)</f>
        <v>141150-91211</v>
      </c>
      <c r="E11" s="8" t="s">
        <v>64</v>
      </c>
      <c r="F11" s="12">
        <v>45994</v>
      </c>
      <c r="G11" s="13">
        <v>0.39583333333333331</v>
      </c>
      <c r="H11" s="2" t="s">
        <v>58</v>
      </c>
      <c r="I11" s="2" t="s">
        <v>42</v>
      </c>
      <c r="J11" s="2">
        <v>54</v>
      </c>
      <c r="K11" s="14">
        <f>VLOOKUP($C11,Sheet1!$A$2:$D$10,4,0)</f>
        <v>2</v>
      </c>
      <c r="L11" s="14" t="str">
        <f>VLOOKUP($C11,Sheet1!$A$2:$E$10,5,0)</f>
        <v>Bin</v>
      </c>
      <c r="M11" s="14">
        <f t="shared" si="0"/>
        <v>27</v>
      </c>
      <c r="N11" s="2"/>
      <c r="O11" s="2" t="s">
        <v>157</v>
      </c>
      <c r="P11" s="2" t="s">
        <v>209</v>
      </c>
    </row>
    <row r="12" spans="1:16" s="11" customFormat="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>
        <v>74</v>
      </c>
      <c r="N12" s="10">
        <v>7</v>
      </c>
      <c r="O12" s="10"/>
      <c r="P12" s="10"/>
    </row>
    <row r="13" spans="1:16" x14ac:dyDescent="0.25">
      <c r="A13" s="15" t="s">
        <v>204</v>
      </c>
      <c r="B13" s="18" t="s">
        <v>172</v>
      </c>
      <c r="C13" s="2" t="s">
        <v>5</v>
      </c>
      <c r="D13" s="2" t="str">
        <f>VLOOKUP($C13,Sheet1!$A$2:$B$10,2,0)</f>
        <v>141110-14600</v>
      </c>
      <c r="E13" s="8" t="s">
        <v>40</v>
      </c>
      <c r="F13" s="12">
        <v>45994</v>
      </c>
      <c r="G13" s="13">
        <v>0.39583333333333331</v>
      </c>
      <c r="H13" s="2" t="s">
        <v>41</v>
      </c>
      <c r="I13" s="2" t="s">
        <v>42</v>
      </c>
      <c r="J13" s="2">
        <v>18</v>
      </c>
      <c r="K13" s="14">
        <f>VLOOKUP($C13,Sheet1!$A$2:$D$10,4,0)</f>
        <v>18</v>
      </c>
      <c r="L13" s="14" t="str">
        <f>VLOOKUP($C13,Sheet1!$A$2:$E$10,5,0)</f>
        <v>Trolley (H)</v>
      </c>
      <c r="M13" s="14"/>
      <c r="N13" s="51">
        <v>1</v>
      </c>
      <c r="O13" s="2" t="s">
        <v>111</v>
      </c>
      <c r="P13" s="2" t="s">
        <v>167</v>
      </c>
    </row>
    <row r="14" spans="1:16" x14ac:dyDescent="0.25">
      <c r="A14" s="15" t="s">
        <v>204</v>
      </c>
      <c r="B14" s="18" t="s">
        <v>175</v>
      </c>
      <c r="C14" s="2" t="s">
        <v>9</v>
      </c>
      <c r="D14" s="2" t="str">
        <f>VLOOKUP($C14,Sheet1!$A$2:$B$10,2,0)</f>
        <v>141120-14600</v>
      </c>
      <c r="E14" s="8" t="s">
        <v>47</v>
      </c>
      <c r="F14" s="12">
        <v>45994</v>
      </c>
      <c r="G14" s="13">
        <v>0.39583333333333331</v>
      </c>
      <c r="H14" s="2" t="s">
        <v>41</v>
      </c>
      <c r="I14" s="2" t="s">
        <v>42</v>
      </c>
      <c r="J14" s="2">
        <v>18</v>
      </c>
      <c r="K14" s="14">
        <f>VLOOKUP($C14,Sheet1!$A$2:$D$10,4,0)</f>
        <v>18</v>
      </c>
      <c r="L14" s="14" t="str">
        <f>VLOOKUP($C14,Sheet1!$A$2:$E$10,5,0)</f>
        <v>Trolley (H)</v>
      </c>
      <c r="M14" s="14"/>
      <c r="N14" s="52"/>
      <c r="O14" s="2" t="s">
        <v>111</v>
      </c>
      <c r="P14" s="2" t="s">
        <v>167</v>
      </c>
    </row>
    <row r="15" spans="1:16" x14ac:dyDescent="0.25">
      <c r="A15" s="15" t="s">
        <v>202</v>
      </c>
      <c r="B15" s="18" t="s">
        <v>189</v>
      </c>
      <c r="C15" s="2" t="s">
        <v>23</v>
      </c>
      <c r="D15" s="2" t="str">
        <f>VLOOKUP($C15,Sheet1!$A$2:$B$10,2,0)</f>
        <v>141186-74360</v>
      </c>
      <c r="E15" s="8" t="s">
        <v>70</v>
      </c>
      <c r="F15" s="12">
        <v>45994</v>
      </c>
      <c r="G15" s="13">
        <v>0.39583333333333331</v>
      </c>
      <c r="H15" s="2" t="s">
        <v>58</v>
      </c>
      <c r="I15" s="2" t="s">
        <v>42</v>
      </c>
      <c r="J15" s="2">
        <v>40</v>
      </c>
      <c r="K15" s="14">
        <f>VLOOKUP($C15,Sheet1!$A$2:$D$10,4,0)</f>
        <v>40</v>
      </c>
      <c r="L15" s="14" t="str">
        <f>VLOOKUP($C15,Sheet1!$A$2:$E$10,5,0)</f>
        <v>Trolley</v>
      </c>
      <c r="M15" s="14"/>
      <c r="N15" s="2">
        <f t="shared" ref="N15:N16" si="1">J15/K15</f>
        <v>1</v>
      </c>
      <c r="O15" s="2" t="s">
        <v>111</v>
      </c>
      <c r="P15" s="2">
        <v>910101603</v>
      </c>
    </row>
    <row r="16" spans="1:16" x14ac:dyDescent="0.25">
      <c r="A16" s="15" t="s">
        <v>202</v>
      </c>
      <c r="B16" s="18" t="s">
        <v>190</v>
      </c>
      <c r="C16" s="2" t="s">
        <v>23</v>
      </c>
      <c r="D16" s="2" t="str">
        <f>VLOOKUP($C16,Sheet1!$A$2:$B$10,2,0)</f>
        <v>141186-74360</v>
      </c>
      <c r="E16" s="8" t="s">
        <v>70</v>
      </c>
      <c r="F16" s="12">
        <v>45994</v>
      </c>
      <c r="G16" s="13">
        <v>0.39583333333333331</v>
      </c>
      <c r="H16" s="2" t="s">
        <v>58</v>
      </c>
      <c r="I16" s="2" t="s">
        <v>42</v>
      </c>
      <c r="J16" s="2">
        <v>120</v>
      </c>
      <c r="K16" s="14">
        <f>VLOOKUP($C16,Sheet1!$A$2:$D$10,4,0)</f>
        <v>40</v>
      </c>
      <c r="L16" s="14" t="str">
        <f>VLOOKUP($C16,Sheet1!$A$2:$E$10,5,0)</f>
        <v>Trolley</v>
      </c>
      <c r="M16" s="14"/>
      <c r="N16" s="2">
        <f t="shared" si="1"/>
        <v>3</v>
      </c>
      <c r="O16" s="2" t="s">
        <v>111</v>
      </c>
      <c r="P16" s="2" t="s">
        <v>318</v>
      </c>
    </row>
    <row r="17" spans="1:16" x14ac:dyDescent="0.25">
      <c r="A17" s="15" t="s">
        <v>203</v>
      </c>
      <c r="B17" s="18" t="s">
        <v>191</v>
      </c>
      <c r="C17" s="2" t="s">
        <v>26</v>
      </c>
      <c r="D17" s="2" t="str">
        <f>VLOOKUP($C17,Sheet1!$A$2:$B$10,2,0)</f>
        <v>116040-92240</v>
      </c>
      <c r="E17" s="8" t="s">
        <v>75</v>
      </c>
      <c r="F17" s="12">
        <v>45994</v>
      </c>
      <c r="G17" s="13">
        <v>0.39583333333333331</v>
      </c>
      <c r="H17" s="2" t="s">
        <v>76</v>
      </c>
      <c r="I17" s="2" t="s">
        <v>42</v>
      </c>
      <c r="J17" s="2">
        <v>36</v>
      </c>
      <c r="K17" s="14">
        <f>VLOOKUP($C17,Sheet1!$A$2:$D$10,4,0)</f>
        <v>6</v>
      </c>
      <c r="L17" s="14" t="str">
        <f>VLOOKUP($C17,Sheet1!$A$2:$E$10,5,0)</f>
        <v>Bin</v>
      </c>
      <c r="M17" s="14">
        <f t="shared" ref="M17:M21" si="2">J17/K17</f>
        <v>6</v>
      </c>
      <c r="N17" s="2"/>
      <c r="O17" s="2" t="s">
        <v>111</v>
      </c>
      <c r="P17" s="2" t="s">
        <v>169</v>
      </c>
    </row>
    <row r="18" spans="1:16" x14ac:dyDescent="0.25">
      <c r="A18" s="15" t="s">
        <v>203</v>
      </c>
      <c r="B18" s="18" t="s">
        <v>192</v>
      </c>
      <c r="C18" s="2" t="s">
        <v>32</v>
      </c>
      <c r="D18" s="2" t="str">
        <f>VLOOKUP($C18,Sheet1!$A$2:$B$10,2,0)</f>
        <v>114010-50820</v>
      </c>
      <c r="E18" s="8" t="s">
        <v>82</v>
      </c>
      <c r="F18" s="12">
        <v>45994</v>
      </c>
      <c r="G18" s="13">
        <v>0.39583333333333331</v>
      </c>
      <c r="H18" s="2" t="s">
        <v>76</v>
      </c>
      <c r="I18" s="2" t="s">
        <v>42</v>
      </c>
      <c r="J18" s="2">
        <v>11</v>
      </c>
      <c r="K18" s="14">
        <f>VLOOKUP($C18,Sheet1!$A$2:$D$10,4,0)</f>
        <v>1</v>
      </c>
      <c r="L18" s="14" t="str">
        <f>VLOOKUP($C18,Sheet1!$A$2:$E$10,5,0)</f>
        <v>Bin</v>
      </c>
      <c r="M18" s="14">
        <f t="shared" si="2"/>
        <v>11</v>
      </c>
      <c r="N18" s="2"/>
      <c r="O18" s="2" t="s">
        <v>111</v>
      </c>
      <c r="P18" s="2" t="s">
        <v>170</v>
      </c>
    </row>
    <row r="19" spans="1:16" x14ac:dyDescent="0.25">
      <c r="A19" s="15" t="s">
        <v>203</v>
      </c>
      <c r="B19" s="18" t="s">
        <v>193</v>
      </c>
      <c r="C19" s="2" t="s">
        <v>32</v>
      </c>
      <c r="D19" s="2" t="str">
        <f>VLOOKUP($C19,Sheet1!$A$2:$B$10,2,0)</f>
        <v>114010-50820</v>
      </c>
      <c r="E19" s="8" t="s">
        <v>82</v>
      </c>
      <c r="F19" s="12">
        <v>45994</v>
      </c>
      <c r="G19" s="13">
        <v>0.39583333333333331</v>
      </c>
      <c r="H19" s="2" t="s">
        <v>76</v>
      </c>
      <c r="I19" s="2" t="s">
        <v>42</v>
      </c>
      <c r="J19" s="2">
        <v>22</v>
      </c>
      <c r="K19" s="14">
        <f>VLOOKUP($C19,Sheet1!$A$2:$D$10,4,0)</f>
        <v>1</v>
      </c>
      <c r="L19" s="14" t="str">
        <f>VLOOKUP($C19,Sheet1!$A$2:$E$10,5,0)</f>
        <v>Bin</v>
      </c>
      <c r="M19" s="14">
        <f t="shared" si="2"/>
        <v>22</v>
      </c>
      <c r="N19" s="2"/>
      <c r="O19" s="2" t="s">
        <v>111</v>
      </c>
      <c r="P19" s="2" t="s">
        <v>171</v>
      </c>
    </row>
    <row r="20" spans="1:16" x14ac:dyDescent="0.25">
      <c r="A20" s="15" t="s">
        <v>203</v>
      </c>
      <c r="B20" s="18" t="s">
        <v>196</v>
      </c>
      <c r="C20" s="2" t="s">
        <v>29</v>
      </c>
      <c r="D20" s="2" t="str">
        <f>VLOOKUP($C20,Sheet1!$A$2:$B$10,2,0)</f>
        <v>114010-50830</v>
      </c>
      <c r="E20" s="8" t="s">
        <v>82</v>
      </c>
      <c r="F20" s="12">
        <v>45994</v>
      </c>
      <c r="G20" s="13">
        <v>0.39583333333333331</v>
      </c>
      <c r="H20" s="2" t="s">
        <v>76</v>
      </c>
      <c r="I20" s="2" t="s">
        <v>42</v>
      </c>
      <c r="J20" s="2">
        <v>9</v>
      </c>
      <c r="K20" s="14">
        <f>VLOOKUP($C20,Sheet1!$A$2:$D$10,4,0)</f>
        <v>1</v>
      </c>
      <c r="L20" s="14" t="str">
        <f>VLOOKUP($C20,Sheet1!$A$2:$E$10,5,0)</f>
        <v>Bin</v>
      </c>
      <c r="M20" s="14">
        <f t="shared" si="2"/>
        <v>9</v>
      </c>
      <c r="N20" s="2"/>
      <c r="O20" s="2" t="s">
        <v>111</v>
      </c>
      <c r="P20" s="2" t="s">
        <v>171</v>
      </c>
    </row>
    <row r="21" spans="1:16" x14ac:dyDescent="0.25">
      <c r="A21" s="15" t="s">
        <v>203</v>
      </c>
      <c r="B21" s="18" t="s">
        <v>197</v>
      </c>
      <c r="C21" s="2" t="s">
        <v>29</v>
      </c>
      <c r="D21" s="2" t="str">
        <f>VLOOKUP($C21,Sheet1!$A$2:$B$10,2,0)</f>
        <v>114010-50830</v>
      </c>
      <c r="E21" s="8" t="s">
        <v>82</v>
      </c>
      <c r="F21" s="12">
        <v>45994</v>
      </c>
      <c r="G21" s="13">
        <v>0.39583333333333331</v>
      </c>
      <c r="H21" s="2" t="s">
        <v>76</v>
      </c>
      <c r="I21" s="2" t="s">
        <v>42</v>
      </c>
      <c r="J21" s="2">
        <v>32</v>
      </c>
      <c r="K21" s="14">
        <f>VLOOKUP($C21,Sheet1!$A$2:$D$10,4,0)</f>
        <v>1</v>
      </c>
      <c r="L21" s="14" t="str">
        <f>VLOOKUP($C21,Sheet1!$A$2:$E$10,5,0)</f>
        <v>Bin</v>
      </c>
      <c r="M21" s="14">
        <f t="shared" si="2"/>
        <v>32</v>
      </c>
      <c r="N21" s="2"/>
      <c r="O21" s="2" t="s">
        <v>111</v>
      </c>
      <c r="P21" s="2" t="s">
        <v>171</v>
      </c>
    </row>
    <row r="22" spans="1:16" s="11" customForma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>
        <v>80</v>
      </c>
      <c r="N22" s="10">
        <v>5</v>
      </c>
      <c r="O22" s="10"/>
      <c r="P22" s="10"/>
    </row>
    <row r="23" spans="1:16" x14ac:dyDescent="0.25">
      <c r="A23" s="15" t="s">
        <v>205</v>
      </c>
      <c r="B23" s="18" t="s">
        <v>174</v>
      </c>
      <c r="C23" s="2" t="s">
        <v>5</v>
      </c>
      <c r="D23" s="2" t="str">
        <f>VLOOKUP($C23,Sheet1!$A$2:$B$10,2,0)</f>
        <v>141110-14600</v>
      </c>
      <c r="E23" s="8" t="s">
        <v>40</v>
      </c>
      <c r="F23" s="12">
        <v>45994</v>
      </c>
      <c r="G23" s="13">
        <v>0.52083333333333337</v>
      </c>
      <c r="H23" s="2" t="s">
        <v>41</v>
      </c>
      <c r="I23" s="2" t="s">
        <v>42</v>
      </c>
      <c r="J23" s="2">
        <v>18</v>
      </c>
      <c r="K23" s="14">
        <f>VLOOKUP($C23,Sheet1!$A$2:$D$10,4,0)</f>
        <v>18</v>
      </c>
      <c r="L23" s="14" t="str">
        <f>VLOOKUP($C23,Sheet1!$A$2:$E$10,5,0)</f>
        <v>Trolley (H)</v>
      </c>
      <c r="M23" s="14"/>
      <c r="N23" s="51">
        <v>1</v>
      </c>
      <c r="O23" s="2" t="s">
        <v>112</v>
      </c>
      <c r="P23" s="2" t="s">
        <v>319</v>
      </c>
    </row>
    <row r="24" spans="1:16" x14ac:dyDescent="0.25">
      <c r="A24" s="15" t="s">
        <v>205</v>
      </c>
      <c r="B24" s="18" t="s">
        <v>177</v>
      </c>
      <c r="C24" s="2" t="s">
        <v>9</v>
      </c>
      <c r="D24" s="2" t="str">
        <f>VLOOKUP($C24,Sheet1!$A$2:$B$10,2,0)</f>
        <v>141120-14600</v>
      </c>
      <c r="E24" s="8" t="s">
        <v>47</v>
      </c>
      <c r="F24" s="12">
        <v>45994</v>
      </c>
      <c r="G24" s="13">
        <v>0.52083333333333337</v>
      </c>
      <c r="H24" s="2" t="s">
        <v>41</v>
      </c>
      <c r="I24" s="2" t="s">
        <v>42</v>
      </c>
      <c r="J24" s="2">
        <v>18</v>
      </c>
      <c r="K24" s="14">
        <f>VLOOKUP($C24,Sheet1!$A$2:$D$10,4,0)</f>
        <v>18</v>
      </c>
      <c r="L24" s="14" t="str">
        <f>VLOOKUP($C24,Sheet1!$A$2:$E$10,5,0)</f>
        <v>Trolley (H)</v>
      </c>
      <c r="M24" s="14"/>
      <c r="N24" s="52"/>
      <c r="O24" s="2" t="s">
        <v>112</v>
      </c>
      <c r="P24" s="2" t="s">
        <v>319</v>
      </c>
    </row>
    <row r="25" spans="1:16" x14ac:dyDescent="0.25">
      <c r="A25" s="15" t="s">
        <v>205</v>
      </c>
      <c r="B25" s="18" t="s">
        <v>183</v>
      </c>
      <c r="C25" s="2" t="s">
        <v>16</v>
      </c>
      <c r="D25" s="2" t="str">
        <f>VLOOKUP($C25,Sheet1!$A$2:$B$10,2,0)</f>
        <v>141140-91211</v>
      </c>
      <c r="E25" s="8" t="s">
        <v>57</v>
      </c>
      <c r="F25" s="12">
        <v>45994</v>
      </c>
      <c r="G25" s="13">
        <v>0.52083333333333337</v>
      </c>
      <c r="H25" s="2" t="s">
        <v>58</v>
      </c>
      <c r="I25" s="2" t="s">
        <v>42</v>
      </c>
      <c r="J25" s="2">
        <v>4</v>
      </c>
      <c r="K25" s="14">
        <f>VLOOKUP($C25,Sheet1!$A$2:$D$10,4,0)</f>
        <v>2</v>
      </c>
      <c r="L25" s="14" t="str">
        <f>VLOOKUP($C25,Sheet1!$A$2:$E$10,5,0)</f>
        <v>Bin</v>
      </c>
      <c r="M25" s="14">
        <f t="shared" ref="M25:M28" si="3">J25/K25</f>
        <v>2</v>
      </c>
      <c r="N25" s="2"/>
      <c r="O25" s="2" t="s">
        <v>112</v>
      </c>
      <c r="P25" s="2" t="s">
        <v>209</v>
      </c>
    </row>
    <row r="26" spans="1:16" x14ac:dyDescent="0.25">
      <c r="A26" s="15" t="s">
        <v>205</v>
      </c>
      <c r="B26" s="18" t="s">
        <v>187</v>
      </c>
      <c r="C26" s="2" t="s">
        <v>20</v>
      </c>
      <c r="D26" s="2" t="str">
        <f>VLOOKUP($C26,Sheet1!$A$2:$B$10,2,0)</f>
        <v>141150-91211</v>
      </c>
      <c r="E26" s="8" t="s">
        <v>64</v>
      </c>
      <c r="F26" s="12">
        <v>45994</v>
      </c>
      <c r="G26" s="13">
        <v>0.52083333333333337</v>
      </c>
      <c r="H26" s="2" t="s">
        <v>58</v>
      </c>
      <c r="I26" s="2" t="s">
        <v>42</v>
      </c>
      <c r="J26" s="2">
        <v>4</v>
      </c>
      <c r="K26" s="14">
        <f>VLOOKUP($C26,Sheet1!$A$2:$D$10,4,0)</f>
        <v>2</v>
      </c>
      <c r="L26" s="14" t="str">
        <f>VLOOKUP($C26,Sheet1!$A$2:$E$10,5,0)</f>
        <v>Bin</v>
      </c>
      <c r="M26" s="14">
        <f t="shared" si="3"/>
        <v>2</v>
      </c>
      <c r="N26" s="2"/>
      <c r="O26" s="2" t="s">
        <v>112</v>
      </c>
      <c r="P26" s="2" t="s">
        <v>209</v>
      </c>
    </row>
    <row r="27" spans="1:16" x14ac:dyDescent="0.25">
      <c r="A27" s="15" t="s">
        <v>206</v>
      </c>
      <c r="B27" s="18" t="s">
        <v>194</v>
      </c>
      <c r="C27" s="2" t="s">
        <v>32</v>
      </c>
      <c r="D27" s="2" t="str">
        <f>VLOOKUP($C27,Sheet1!$A$2:$B$10,2,0)</f>
        <v>114010-50820</v>
      </c>
      <c r="E27" s="8" t="s">
        <v>82</v>
      </c>
      <c r="F27" s="12">
        <v>45994</v>
      </c>
      <c r="G27" s="13">
        <v>0.52083333333333337</v>
      </c>
      <c r="H27" s="2" t="s">
        <v>76</v>
      </c>
      <c r="I27" s="2" t="s">
        <v>42</v>
      </c>
      <c r="J27" s="2">
        <v>2</v>
      </c>
      <c r="K27" s="14">
        <f>VLOOKUP($C27,Sheet1!$A$2:$D$10,4,0)</f>
        <v>1</v>
      </c>
      <c r="L27" s="14" t="str">
        <f>VLOOKUP($C27,Sheet1!$A$2:$E$10,5,0)</f>
        <v>Bin</v>
      </c>
      <c r="M27" s="14">
        <f t="shared" si="3"/>
        <v>2</v>
      </c>
      <c r="N27" s="2"/>
      <c r="O27" s="2" t="s">
        <v>112</v>
      </c>
      <c r="P27" s="2" t="s">
        <v>171</v>
      </c>
    </row>
    <row r="28" spans="1:16" x14ac:dyDescent="0.25">
      <c r="A28" s="15" t="s">
        <v>206</v>
      </c>
      <c r="B28" s="18" t="s">
        <v>198</v>
      </c>
      <c r="C28" s="2" t="s">
        <v>29</v>
      </c>
      <c r="D28" s="2" t="str">
        <f>VLOOKUP($C28,Sheet1!$A$2:$B$10,2,0)</f>
        <v>114010-50830</v>
      </c>
      <c r="E28" s="8" t="s">
        <v>82</v>
      </c>
      <c r="F28" s="12">
        <v>45994</v>
      </c>
      <c r="G28" s="13">
        <v>0.52083333333333337</v>
      </c>
      <c r="H28" s="2" t="s">
        <v>76</v>
      </c>
      <c r="I28" s="2" t="s">
        <v>42</v>
      </c>
      <c r="J28" s="2">
        <v>1</v>
      </c>
      <c r="K28" s="14">
        <f>VLOOKUP($C28,Sheet1!$A$2:$D$10,4,0)</f>
        <v>1</v>
      </c>
      <c r="L28" s="14" t="str">
        <f>VLOOKUP($C28,Sheet1!$A$2:$E$10,5,0)</f>
        <v>Bin</v>
      </c>
      <c r="M28" s="14">
        <f t="shared" si="3"/>
        <v>1</v>
      </c>
      <c r="N28" s="2"/>
      <c r="O28" s="2" t="s">
        <v>112</v>
      </c>
      <c r="P28" s="2" t="s">
        <v>171</v>
      </c>
    </row>
    <row r="29" spans="1:16" s="11" customForma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>
        <v>7</v>
      </c>
      <c r="N29" s="10">
        <v>1</v>
      </c>
      <c r="O29" s="10"/>
      <c r="P29" s="10"/>
    </row>
    <row r="30" spans="1:16" x14ac:dyDescent="0.25">
      <c r="A30" s="15" t="s">
        <v>207</v>
      </c>
      <c r="B30" s="18" t="s">
        <v>180</v>
      </c>
      <c r="C30" s="2" t="s">
        <v>12</v>
      </c>
      <c r="D30" s="2" t="str">
        <f>VLOOKUP($C30,Sheet1!$A$2:$B$10,2,0)</f>
        <v>141185-74670</v>
      </c>
      <c r="E30" s="8" t="s">
        <v>52</v>
      </c>
      <c r="F30" s="12">
        <v>45994</v>
      </c>
      <c r="G30" s="13">
        <v>0.97916666666666663</v>
      </c>
      <c r="H30" s="2" t="s">
        <v>41</v>
      </c>
      <c r="I30" s="2" t="s">
        <v>42</v>
      </c>
      <c r="J30" s="2">
        <v>40</v>
      </c>
      <c r="K30" s="14">
        <f>VLOOKUP($C30,Sheet1!$A$2:$D$10,4,0)</f>
        <v>40</v>
      </c>
      <c r="L30" s="14" t="str">
        <f>VLOOKUP($C30,Sheet1!$A$2:$E$10,5,0)</f>
        <v>Trolley</v>
      </c>
      <c r="M30" s="14"/>
      <c r="N30" s="2">
        <f>J30/K30</f>
        <v>1</v>
      </c>
      <c r="O30" s="2" t="s">
        <v>113</v>
      </c>
      <c r="P30" s="2">
        <v>910102507</v>
      </c>
    </row>
    <row r="31" spans="1:16" x14ac:dyDescent="0.25">
      <c r="A31" s="15" t="s">
        <v>207</v>
      </c>
      <c r="B31" s="18" t="s">
        <v>184</v>
      </c>
      <c r="C31" s="2" t="s">
        <v>16</v>
      </c>
      <c r="D31" s="2" t="str">
        <f>VLOOKUP($C31,Sheet1!$A$2:$B$10,2,0)</f>
        <v>141140-91211</v>
      </c>
      <c r="E31" s="8" t="s">
        <v>57</v>
      </c>
      <c r="F31" s="12">
        <v>45994</v>
      </c>
      <c r="G31" s="13">
        <v>0.97916666666666663</v>
      </c>
      <c r="H31" s="2" t="s">
        <v>58</v>
      </c>
      <c r="I31" s="2" t="s">
        <v>42</v>
      </c>
      <c r="J31" s="2">
        <v>12</v>
      </c>
      <c r="K31" s="14">
        <f>VLOOKUP($C31,Sheet1!$A$2:$D$10,4,0)</f>
        <v>2</v>
      </c>
      <c r="L31" s="14" t="str">
        <f>VLOOKUP($C31,Sheet1!$A$2:$E$10,5,0)</f>
        <v>Bin</v>
      </c>
      <c r="M31" s="14">
        <f t="shared" ref="M31:M34" si="4">J31/K31</f>
        <v>6</v>
      </c>
      <c r="N31" s="2"/>
      <c r="O31" s="2" t="s">
        <v>113</v>
      </c>
      <c r="P31" s="2" t="s">
        <v>209</v>
      </c>
    </row>
    <row r="32" spans="1:16" x14ac:dyDescent="0.25">
      <c r="A32" s="15" t="s">
        <v>207</v>
      </c>
      <c r="B32" s="18" t="s">
        <v>188</v>
      </c>
      <c r="C32" s="2" t="s">
        <v>20</v>
      </c>
      <c r="D32" s="2" t="str">
        <f>VLOOKUP($C32,Sheet1!$A$2:$B$10,2,0)</f>
        <v>141150-91211</v>
      </c>
      <c r="E32" s="8" t="s">
        <v>64</v>
      </c>
      <c r="F32" s="12">
        <v>45994</v>
      </c>
      <c r="G32" s="13">
        <v>0.97916666666666663</v>
      </c>
      <c r="H32" s="2" t="s">
        <v>58</v>
      </c>
      <c r="I32" s="2" t="s">
        <v>42</v>
      </c>
      <c r="J32" s="2">
        <v>12</v>
      </c>
      <c r="K32" s="14">
        <f>VLOOKUP($C32,Sheet1!$A$2:$D$10,4,0)</f>
        <v>2</v>
      </c>
      <c r="L32" s="14" t="str">
        <f>VLOOKUP($C32,Sheet1!$A$2:$E$10,5,0)</f>
        <v>Bin</v>
      </c>
      <c r="M32" s="14">
        <f t="shared" si="4"/>
        <v>6</v>
      </c>
      <c r="N32" s="2"/>
      <c r="O32" s="2" t="s">
        <v>113</v>
      </c>
      <c r="P32" s="2" t="s">
        <v>209</v>
      </c>
    </row>
    <row r="33" spans="1:16" x14ac:dyDescent="0.25">
      <c r="A33" s="15" t="s">
        <v>208</v>
      </c>
      <c r="B33" s="18" t="s">
        <v>195</v>
      </c>
      <c r="C33" s="2" t="s">
        <v>32</v>
      </c>
      <c r="D33" s="2" t="str">
        <f>VLOOKUP($C33,Sheet1!$A$2:$B$10,2,0)</f>
        <v>114010-50820</v>
      </c>
      <c r="E33" s="8" t="s">
        <v>82</v>
      </c>
      <c r="F33" s="12">
        <v>45994</v>
      </c>
      <c r="G33" s="13">
        <v>0.97916666666666663</v>
      </c>
      <c r="H33" s="2" t="s">
        <v>76</v>
      </c>
      <c r="I33" s="2" t="s">
        <v>42</v>
      </c>
      <c r="J33" s="2">
        <v>2</v>
      </c>
      <c r="K33" s="14">
        <f>VLOOKUP($C33,Sheet1!$A$2:$D$10,4,0)</f>
        <v>1</v>
      </c>
      <c r="L33" s="14" t="str">
        <f>VLOOKUP($C33,Sheet1!$A$2:$E$10,5,0)</f>
        <v>Bin</v>
      </c>
      <c r="M33" s="14">
        <f t="shared" si="4"/>
        <v>2</v>
      </c>
      <c r="N33" s="2"/>
      <c r="O33" s="2" t="s">
        <v>113</v>
      </c>
      <c r="P33" s="2" t="s">
        <v>171</v>
      </c>
    </row>
    <row r="34" spans="1:16" x14ac:dyDescent="0.25">
      <c r="A34" s="15" t="s">
        <v>208</v>
      </c>
      <c r="B34" s="18" t="s">
        <v>199</v>
      </c>
      <c r="C34" s="2" t="s">
        <v>29</v>
      </c>
      <c r="D34" s="2" t="str">
        <f>VLOOKUP($C34,Sheet1!$A$2:$B$10,2,0)</f>
        <v>114010-50830</v>
      </c>
      <c r="E34" s="8" t="s">
        <v>82</v>
      </c>
      <c r="F34" s="12">
        <v>45994</v>
      </c>
      <c r="G34" s="13">
        <v>0.97916666666666663</v>
      </c>
      <c r="H34" s="2" t="s">
        <v>76</v>
      </c>
      <c r="I34" s="2" t="s">
        <v>42</v>
      </c>
      <c r="J34" s="2">
        <v>11</v>
      </c>
      <c r="K34" s="14">
        <f>VLOOKUP($C34,Sheet1!$A$2:$D$10,4,0)</f>
        <v>1</v>
      </c>
      <c r="L34" s="14" t="str">
        <f>VLOOKUP($C34,Sheet1!$A$2:$E$10,5,0)</f>
        <v>Bin</v>
      </c>
      <c r="M34" s="14">
        <f t="shared" si="4"/>
        <v>11</v>
      </c>
      <c r="N34" s="2"/>
      <c r="O34" s="2" t="s">
        <v>113</v>
      </c>
      <c r="P34" s="2" t="s">
        <v>171</v>
      </c>
    </row>
    <row r="35" spans="1:16" s="11" customForma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>
        <v>25</v>
      </c>
      <c r="N35" s="10">
        <v>1</v>
      </c>
      <c r="O35" s="10"/>
      <c r="P35" s="10"/>
    </row>
    <row r="36" spans="1:16" x14ac:dyDescent="0.25">
      <c r="B36" s="59" t="s">
        <v>200</v>
      </c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1"/>
    </row>
  </sheetData>
  <autoFilter ref="A3:P36" xr:uid="{00000000-0009-0000-0000-000003000000}"/>
  <mergeCells count="7">
    <mergeCell ref="B36:M36"/>
    <mergeCell ref="A1:F1"/>
    <mergeCell ref="J1:N1"/>
    <mergeCell ref="L2:N2"/>
    <mergeCell ref="N13:N14"/>
    <mergeCell ref="N4:N5"/>
    <mergeCell ref="N23:N24"/>
  </mergeCells>
  <conditionalFormatting sqref="B2">
    <cfRule type="duplicateValues" dxfId="116" priority="2"/>
    <cfRule type="duplicateValues" dxfId="115" priority="3"/>
  </conditionalFormatting>
  <conditionalFormatting sqref="B4:B11 B13:B21 B23:B28 B30:B34">
    <cfRule type="duplicateValues" dxfId="114" priority="11"/>
  </conditionalFormatting>
  <conditionalFormatting sqref="C2:D2">
    <cfRule type="duplicateValues" dxfId="113" priority="4"/>
    <cfRule type="duplicateValues" dxfId="112" priority="5"/>
  </conditionalFormatting>
  <hyperlinks>
    <hyperlink ref="B36" r:id="rId1" display="http://192.168.1.248/downloads/temp/X539_eNagare_2025122.log" xr:uid="{00000000-0004-0000-0300-000000000000}"/>
  </hyperlinks>
  <pageMargins left="0.17" right="0.17" top="0.17" bottom="0.75" header="0.3" footer="0.3"/>
  <pageSetup paperSize="9" scale="69"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69"/>
  <sheetViews>
    <sheetView topLeftCell="A44" workbookViewId="0">
      <selection activeCell="A4" sqref="A4:XFD61"/>
    </sheetView>
  </sheetViews>
  <sheetFormatPr defaultColWidth="44.140625" defaultRowHeight="15" x14ac:dyDescent="0.25"/>
  <cols>
    <col min="1" max="1" width="15.42578125" bestFit="1" customWidth="1"/>
    <col min="2" max="2" width="19.42578125" customWidth="1"/>
    <col min="3" max="4" width="14.140625" customWidth="1"/>
    <col min="5" max="5" width="32.5703125" customWidth="1"/>
    <col min="6" max="6" width="12.7109375" bestFit="1" customWidth="1"/>
    <col min="7" max="7" width="7.7109375" bestFit="1" customWidth="1"/>
    <col min="8" max="8" width="10.7109375" bestFit="1" customWidth="1"/>
    <col min="9" max="9" width="4.7109375" bestFit="1" customWidth="1"/>
    <col min="10" max="10" width="5" customWidth="1"/>
    <col min="11" max="11" width="9" customWidth="1"/>
    <col min="12" max="12" width="10.28515625" customWidth="1"/>
    <col min="13" max="13" width="7.140625" bestFit="1" customWidth="1"/>
    <col min="14" max="14" width="7.85546875" bestFit="1" customWidth="1"/>
    <col min="15" max="15" width="11.140625" customWidth="1"/>
    <col min="16" max="16" width="54.5703125" customWidth="1"/>
  </cols>
  <sheetData>
    <row r="1" spans="1:17" ht="23.25" x14ac:dyDescent="0.25">
      <c r="A1" s="53" t="s">
        <v>93</v>
      </c>
      <c r="B1" s="53"/>
      <c r="C1" s="53"/>
      <c r="D1" s="53"/>
      <c r="E1" s="53"/>
      <c r="F1" s="53"/>
      <c r="G1" s="2"/>
      <c r="H1" s="2"/>
      <c r="I1" s="2"/>
      <c r="J1" s="54" t="s">
        <v>94</v>
      </c>
      <c r="K1" s="55"/>
      <c r="L1" s="55"/>
      <c r="M1" s="55"/>
      <c r="N1" s="55"/>
      <c r="O1" s="3"/>
      <c r="P1" s="4"/>
    </row>
    <row r="2" spans="1:17" ht="15.75" x14ac:dyDescent="0.25">
      <c r="A2" s="5" t="s">
        <v>95</v>
      </c>
      <c r="B2" s="6">
        <v>45995</v>
      </c>
      <c r="C2" s="7"/>
      <c r="D2" s="7"/>
      <c r="E2" s="2"/>
      <c r="F2" s="8"/>
      <c r="G2" s="2"/>
      <c r="H2" s="2"/>
      <c r="I2" s="2"/>
      <c r="J2" s="2"/>
      <c r="K2" s="2"/>
      <c r="L2" s="56" t="s">
        <v>96</v>
      </c>
      <c r="M2" s="57"/>
      <c r="N2" s="58"/>
      <c r="O2" s="2"/>
      <c r="P2" s="2"/>
    </row>
    <row r="3" spans="1:17" s="11" customFormat="1" ht="30" x14ac:dyDescent="0.25">
      <c r="A3" s="10" t="s">
        <v>97</v>
      </c>
      <c r="B3" s="10" t="s">
        <v>35</v>
      </c>
      <c r="C3" s="10" t="s">
        <v>0</v>
      </c>
      <c r="D3" s="10" t="s">
        <v>98</v>
      </c>
      <c r="E3" s="10" t="s">
        <v>2</v>
      </c>
      <c r="F3" s="10" t="s">
        <v>36</v>
      </c>
      <c r="G3" s="10" t="s">
        <v>37</v>
      </c>
      <c r="H3" s="10" t="s">
        <v>38</v>
      </c>
      <c r="I3" s="10" t="s">
        <v>99</v>
      </c>
      <c r="J3" s="10" t="s">
        <v>100</v>
      </c>
      <c r="K3" s="10" t="s">
        <v>101</v>
      </c>
      <c r="L3" s="1" t="s">
        <v>102</v>
      </c>
      <c r="M3" s="10" t="s">
        <v>103</v>
      </c>
      <c r="N3" s="10" t="s">
        <v>104</v>
      </c>
      <c r="O3" s="10" t="s">
        <v>96</v>
      </c>
      <c r="P3" s="10" t="s">
        <v>105</v>
      </c>
    </row>
    <row r="4" spans="1:17" x14ac:dyDescent="0.25">
      <c r="A4" s="15" t="s">
        <v>258</v>
      </c>
      <c r="B4" s="18" t="s">
        <v>212</v>
      </c>
      <c r="C4" s="2" t="s">
        <v>5</v>
      </c>
      <c r="D4" s="2" t="str">
        <f>VLOOKUP($C4,Sheet1!$A$2:$B$10,2,0)</f>
        <v>141110-14600</v>
      </c>
      <c r="E4" s="8" t="s">
        <v>40</v>
      </c>
      <c r="F4" s="12">
        <v>45995</v>
      </c>
      <c r="G4" s="13">
        <v>0.27083333333333331</v>
      </c>
      <c r="H4" s="2" t="s">
        <v>41</v>
      </c>
      <c r="I4" s="2" t="s">
        <v>42</v>
      </c>
      <c r="J4" s="2">
        <v>18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1">
        <v>1</v>
      </c>
      <c r="O4" s="2" t="s">
        <v>110</v>
      </c>
      <c r="P4" s="2" t="s">
        <v>320</v>
      </c>
      <c r="Q4" t="s">
        <v>322</v>
      </c>
    </row>
    <row r="5" spans="1:17" x14ac:dyDescent="0.25">
      <c r="A5" s="15" t="s">
        <v>258</v>
      </c>
      <c r="B5" s="18" t="s">
        <v>217</v>
      </c>
      <c r="C5" s="2" t="s">
        <v>9</v>
      </c>
      <c r="D5" s="2" t="str">
        <f>VLOOKUP($C5,Sheet1!$A$2:$B$10,2,0)</f>
        <v>141120-14600</v>
      </c>
      <c r="E5" s="8" t="s">
        <v>47</v>
      </c>
      <c r="F5" s="12">
        <v>45995</v>
      </c>
      <c r="G5" s="13">
        <v>0.27083333333333331</v>
      </c>
      <c r="H5" s="2" t="s">
        <v>41</v>
      </c>
      <c r="I5" s="2" t="s">
        <v>42</v>
      </c>
      <c r="J5" s="2">
        <v>18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2"/>
      <c r="O5" s="2" t="s">
        <v>110</v>
      </c>
      <c r="P5" s="2" t="s">
        <v>167</v>
      </c>
      <c r="Q5" t="s">
        <v>322</v>
      </c>
    </row>
    <row r="6" spans="1:17" x14ac:dyDescent="0.25">
      <c r="A6" s="15" t="s">
        <v>258</v>
      </c>
      <c r="B6" s="18" t="s">
        <v>213</v>
      </c>
      <c r="C6" s="2" t="s">
        <v>5</v>
      </c>
      <c r="D6" s="2" t="str">
        <f>VLOOKUP($C6,Sheet1!$A$2:$B$10,2,0)</f>
        <v>141110-14600</v>
      </c>
      <c r="E6" s="8" t="s">
        <v>40</v>
      </c>
      <c r="F6" s="12">
        <v>45995</v>
      </c>
      <c r="G6" s="13">
        <v>0.27083333333333331</v>
      </c>
      <c r="H6" s="2" t="s">
        <v>41</v>
      </c>
      <c r="I6" s="2" t="s">
        <v>42</v>
      </c>
      <c r="J6" s="2">
        <v>36</v>
      </c>
      <c r="K6" s="14">
        <f>VLOOKUP($C6,Sheet1!$A$2:$D$10,4,0)</f>
        <v>18</v>
      </c>
      <c r="L6" s="14" t="str">
        <f>VLOOKUP($C6,Sheet1!$A$2:$E$10,5,0)</f>
        <v>Trolley (H)</v>
      </c>
      <c r="M6" s="14"/>
      <c r="N6" s="51">
        <v>2</v>
      </c>
      <c r="O6" s="2" t="s">
        <v>110</v>
      </c>
      <c r="P6" s="2" t="s">
        <v>167</v>
      </c>
      <c r="Q6" t="s">
        <v>322</v>
      </c>
    </row>
    <row r="7" spans="1:17" x14ac:dyDescent="0.25">
      <c r="A7" s="15" t="s">
        <v>258</v>
      </c>
      <c r="B7" s="18" t="s">
        <v>218</v>
      </c>
      <c r="C7" s="2" t="s">
        <v>9</v>
      </c>
      <c r="D7" s="2" t="str">
        <f>VLOOKUP($C7,Sheet1!$A$2:$B$10,2,0)</f>
        <v>141120-14600</v>
      </c>
      <c r="E7" s="8" t="s">
        <v>47</v>
      </c>
      <c r="F7" s="12">
        <v>45995</v>
      </c>
      <c r="G7" s="13">
        <v>0.27083333333333331</v>
      </c>
      <c r="H7" s="2" t="s">
        <v>41</v>
      </c>
      <c r="I7" s="2" t="s">
        <v>42</v>
      </c>
      <c r="J7" s="2">
        <v>36</v>
      </c>
      <c r="K7" s="14">
        <f>VLOOKUP($C7,Sheet1!$A$2:$D$10,4,0)</f>
        <v>18</v>
      </c>
      <c r="L7" s="14" t="str">
        <f>VLOOKUP($C7,Sheet1!$A$2:$E$10,5,0)</f>
        <v>Trolley (H)</v>
      </c>
      <c r="M7" s="14"/>
      <c r="N7" s="52"/>
      <c r="O7" s="2" t="s">
        <v>110</v>
      </c>
      <c r="P7" s="2" t="s">
        <v>167</v>
      </c>
      <c r="Q7" t="s">
        <v>322</v>
      </c>
    </row>
    <row r="8" spans="1:17" x14ac:dyDescent="0.25">
      <c r="A8" s="15" t="s">
        <v>258</v>
      </c>
      <c r="B8" s="18" t="s">
        <v>222</v>
      </c>
      <c r="C8" s="2" t="s">
        <v>12</v>
      </c>
      <c r="D8" s="2" t="str">
        <f>VLOOKUP($C8,Sheet1!$A$2:$B$10,2,0)</f>
        <v>141185-74670</v>
      </c>
      <c r="E8" s="8" t="s">
        <v>52</v>
      </c>
      <c r="F8" s="12">
        <v>45995</v>
      </c>
      <c r="G8" s="13">
        <v>0.27083333333333331</v>
      </c>
      <c r="H8" s="2" t="s">
        <v>41</v>
      </c>
      <c r="I8" s="2" t="s">
        <v>42</v>
      </c>
      <c r="J8" s="2">
        <v>40</v>
      </c>
      <c r="K8" s="14">
        <f>VLOOKUP($C8,Sheet1!$A$2:$D$10,4,0)</f>
        <v>40</v>
      </c>
      <c r="L8" s="14" t="str">
        <f>VLOOKUP($C8,Sheet1!$A$2:$E$10,5,0)</f>
        <v>Trolley</v>
      </c>
      <c r="M8" s="14"/>
      <c r="N8" s="2">
        <f>J8/K8</f>
        <v>1</v>
      </c>
      <c r="O8" s="2" t="s">
        <v>110</v>
      </c>
      <c r="P8" s="2">
        <v>910102807</v>
      </c>
    </row>
    <row r="9" spans="1:17" x14ac:dyDescent="0.25">
      <c r="A9" s="15" t="s">
        <v>258</v>
      </c>
      <c r="B9" s="18" t="s">
        <v>223</v>
      </c>
      <c r="C9" s="2" t="s">
        <v>12</v>
      </c>
      <c r="D9" s="2" t="str">
        <f>VLOOKUP($C9,Sheet1!$A$2:$B$10,2,0)</f>
        <v>141185-74670</v>
      </c>
      <c r="E9" s="8" t="s">
        <v>52</v>
      </c>
      <c r="F9" s="12">
        <v>45995</v>
      </c>
      <c r="G9" s="13">
        <v>0.27083333333333331</v>
      </c>
      <c r="H9" s="2" t="s">
        <v>41</v>
      </c>
      <c r="I9" s="2" t="s">
        <v>42</v>
      </c>
      <c r="J9" s="2">
        <v>40</v>
      </c>
      <c r="K9" s="14">
        <f>VLOOKUP($C9,Sheet1!$A$2:$D$10,4,0)</f>
        <v>40</v>
      </c>
      <c r="L9" s="14" t="str">
        <f>VLOOKUP($C9,Sheet1!$A$2:$E$10,5,0)</f>
        <v>Trolley</v>
      </c>
      <c r="M9" s="14"/>
      <c r="N9" s="2">
        <f>J9/K9</f>
        <v>1</v>
      </c>
      <c r="O9" s="2" t="s">
        <v>110</v>
      </c>
      <c r="P9" s="2">
        <v>910102649</v>
      </c>
    </row>
    <row r="10" spans="1:17" x14ac:dyDescent="0.25">
      <c r="A10" s="15" t="s">
        <v>258</v>
      </c>
      <c r="B10" s="18" t="s">
        <v>227</v>
      </c>
      <c r="C10" s="2" t="s">
        <v>16</v>
      </c>
      <c r="D10" s="2" t="str">
        <f>VLOOKUP($C10,Sheet1!$A$2:$B$10,2,0)</f>
        <v>141140-91211</v>
      </c>
      <c r="E10" s="8" t="s">
        <v>57</v>
      </c>
      <c r="F10" s="12">
        <v>45995</v>
      </c>
      <c r="G10" s="13">
        <v>0.27083333333333331</v>
      </c>
      <c r="H10" s="2" t="s">
        <v>58</v>
      </c>
      <c r="I10" s="2" t="s">
        <v>42</v>
      </c>
      <c r="J10" s="2">
        <v>20</v>
      </c>
      <c r="K10" s="14">
        <f>VLOOKUP($C10,Sheet1!$A$2:$D$10,4,0)</f>
        <v>2</v>
      </c>
      <c r="L10" s="14" t="str">
        <f>VLOOKUP($C10,Sheet1!$A$2:$E$10,5,0)</f>
        <v>Bin</v>
      </c>
      <c r="M10" s="14">
        <f>J10/K10</f>
        <v>10</v>
      </c>
      <c r="N10" s="2"/>
      <c r="O10" s="2" t="s">
        <v>110</v>
      </c>
      <c r="P10" s="2" t="s">
        <v>209</v>
      </c>
    </row>
    <row r="11" spans="1:17" x14ac:dyDescent="0.25">
      <c r="A11" s="15" t="s">
        <v>258</v>
      </c>
      <c r="B11" s="18" t="s">
        <v>228</v>
      </c>
      <c r="C11" s="2" t="s">
        <v>16</v>
      </c>
      <c r="D11" s="2" t="str">
        <f>VLOOKUP($C11,Sheet1!$A$2:$B$10,2,0)</f>
        <v>141140-91211</v>
      </c>
      <c r="E11" s="8" t="s">
        <v>57</v>
      </c>
      <c r="F11" s="12">
        <v>45995</v>
      </c>
      <c r="G11" s="13">
        <v>0.27083333333333331</v>
      </c>
      <c r="H11" s="2" t="s">
        <v>58</v>
      </c>
      <c r="I11" s="2" t="s">
        <v>42</v>
      </c>
      <c r="J11" s="2">
        <v>22</v>
      </c>
      <c r="K11" s="14">
        <f>VLOOKUP($C11,Sheet1!$A$2:$D$10,4,0)</f>
        <v>2</v>
      </c>
      <c r="L11" s="14" t="str">
        <f>VLOOKUP($C11,Sheet1!$A$2:$E$10,5,0)</f>
        <v>Bin</v>
      </c>
      <c r="M11" s="14">
        <f>J11/K11</f>
        <v>11</v>
      </c>
      <c r="N11" s="2"/>
      <c r="O11" s="2" t="s">
        <v>110</v>
      </c>
      <c r="P11" s="2" t="s">
        <v>209</v>
      </c>
    </row>
    <row r="12" spans="1:17" x14ac:dyDescent="0.25">
      <c r="A12" s="15" t="s">
        <v>258</v>
      </c>
      <c r="B12" s="18" t="s">
        <v>232</v>
      </c>
      <c r="C12" s="2" t="s">
        <v>20</v>
      </c>
      <c r="D12" s="2" t="str">
        <f>VLOOKUP($C12,Sheet1!$A$2:$B$10,2,0)</f>
        <v>141150-91211</v>
      </c>
      <c r="E12" s="8" t="s">
        <v>64</v>
      </c>
      <c r="F12" s="12">
        <v>45995</v>
      </c>
      <c r="G12" s="13">
        <v>0.27083333333333331</v>
      </c>
      <c r="H12" s="2" t="s">
        <v>58</v>
      </c>
      <c r="I12" s="2" t="s">
        <v>42</v>
      </c>
      <c r="J12" s="2">
        <v>20</v>
      </c>
      <c r="K12" s="14">
        <f>VLOOKUP($C12,Sheet1!$A$2:$D$10,4,0)</f>
        <v>2</v>
      </c>
      <c r="L12" s="14" t="str">
        <f>VLOOKUP($C12,Sheet1!$A$2:$E$10,5,0)</f>
        <v>Bin</v>
      </c>
      <c r="M12" s="14">
        <f>J12/K12</f>
        <v>10</v>
      </c>
      <c r="N12" s="2"/>
      <c r="O12" s="2" t="s">
        <v>110</v>
      </c>
      <c r="P12" s="2" t="s">
        <v>209</v>
      </c>
    </row>
    <row r="13" spans="1:17" x14ac:dyDescent="0.25">
      <c r="A13" s="15" t="s">
        <v>258</v>
      </c>
      <c r="B13" s="18" t="s">
        <v>233</v>
      </c>
      <c r="C13" s="2" t="s">
        <v>20</v>
      </c>
      <c r="D13" s="2" t="str">
        <f>VLOOKUP($C13,Sheet1!$A$2:$B$10,2,0)</f>
        <v>141150-91211</v>
      </c>
      <c r="E13" s="8" t="s">
        <v>64</v>
      </c>
      <c r="F13" s="12">
        <v>45995</v>
      </c>
      <c r="G13" s="13">
        <v>0.27083333333333331</v>
      </c>
      <c r="H13" s="2" t="s">
        <v>58</v>
      </c>
      <c r="I13" s="2" t="s">
        <v>42</v>
      </c>
      <c r="J13" s="2">
        <v>22</v>
      </c>
      <c r="K13" s="14">
        <f>VLOOKUP($C13,Sheet1!$A$2:$D$10,4,0)</f>
        <v>2</v>
      </c>
      <c r="L13" s="14" t="str">
        <f>VLOOKUP($C13,Sheet1!$A$2:$E$10,5,0)</f>
        <v>Bin</v>
      </c>
      <c r="M13" s="14">
        <f>J13/K13</f>
        <v>11</v>
      </c>
      <c r="N13" s="2"/>
      <c r="O13" s="2" t="s">
        <v>110</v>
      </c>
      <c r="P13" s="2" t="s">
        <v>209</v>
      </c>
    </row>
    <row r="14" spans="1:17" x14ac:dyDescent="0.25">
      <c r="A14" s="15" t="s">
        <v>258</v>
      </c>
      <c r="B14" s="18" t="s">
        <v>237</v>
      </c>
      <c r="C14" s="2" t="s">
        <v>23</v>
      </c>
      <c r="D14" s="2" t="str">
        <f>VLOOKUP($C14,Sheet1!$A$2:$B$10,2,0)</f>
        <v>141186-74360</v>
      </c>
      <c r="E14" s="8" t="s">
        <v>70</v>
      </c>
      <c r="F14" s="12">
        <v>45995</v>
      </c>
      <c r="G14" s="13">
        <v>0.27083333333333331</v>
      </c>
      <c r="H14" s="2" t="s">
        <v>58</v>
      </c>
      <c r="I14" s="2" t="s">
        <v>42</v>
      </c>
      <c r="J14" s="2">
        <v>40</v>
      </c>
      <c r="K14" s="14">
        <f>VLOOKUP($C14,Sheet1!$A$2:$D$10,4,0)</f>
        <v>40</v>
      </c>
      <c r="L14" s="14" t="str">
        <f>VLOOKUP($C14,Sheet1!$A$2:$E$10,5,0)</f>
        <v>Trolley</v>
      </c>
      <c r="M14" s="14"/>
      <c r="N14" s="2">
        <f>J14/K14</f>
        <v>1</v>
      </c>
      <c r="O14" s="2" t="s">
        <v>110</v>
      </c>
      <c r="P14" s="2">
        <v>910101603</v>
      </c>
      <c r="Q14" t="s">
        <v>322</v>
      </c>
    </row>
    <row r="15" spans="1:17" x14ac:dyDescent="0.25">
      <c r="A15" s="15" t="s">
        <v>258</v>
      </c>
      <c r="B15" s="18" t="s">
        <v>238</v>
      </c>
      <c r="C15" s="2" t="s">
        <v>23</v>
      </c>
      <c r="D15" s="2" t="str">
        <f>VLOOKUP($C15,Sheet1!$A$2:$B$10,2,0)</f>
        <v>141186-74360</v>
      </c>
      <c r="E15" s="8" t="s">
        <v>70</v>
      </c>
      <c r="F15" s="12">
        <v>45995</v>
      </c>
      <c r="G15" s="13">
        <v>0.27083333333333331</v>
      </c>
      <c r="H15" s="2" t="s">
        <v>58</v>
      </c>
      <c r="I15" s="2" t="s">
        <v>42</v>
      </c>
      <c r="J15" s="2">
        <v>80</v>
      </c>
      <c r="K15" s="14">
        <f>VLOOKUP($C15,Sheet1!$A$2:$D$10,4,0)</f>
        <v>40</v>
      </c>
      <c r="L15" s="14" t="str">
        <f>VLOOKUP($C15,Sheet1!$A$2:$E$10,5,0)</f>
        <v>Trolley</v>
      </c>
      <c r="M15" s="14"/>
      <c r="N15" s="2">
        <f>J15/K15</f>
        <v>2</v>
      </c>
      <c r="O15" s="2" t="s">
        <v>110</v>
      </c>
      <c r="P15" s="2" t="s">
        <v>321</v>
      </c>
      <c r="Q15" t="s">
        <v>322</v>
      </c>
    </row>
    <row r="16" spans="1:17" x14ac:dyDescent="0.25">
      <c r="A16" s="15" t="s">
        <v>259</v>
      </c>
      <c r="B16" s="18" t="s">
        <v>242</v>
      </c>
      <c r="C16" s="2" t="s">
        <v>26</v>
      </c>
      <c r="D16" s="2" t="str">
        <f>VLOOKUP($C16,Sheet1!$A$2:$B$10,2,0)</f>
        <v>116040-92240</v>
      </c>
      <c r="E16" s="8" t="s">
        <v>75</v>
      </c>
      <c r="F16" s="12">
        <v>45995</v>
      </c>
      <c r="G16" s="13">
        <v>0.27083333333333331</v>
      </c>
      <c r="H16" s="2" t="s">
        <v>76</v>
      </c>
      <c r="I16" s="2" t="s">
        <v>42</v>
      </c>
      <c r="J16" s="2">
        <v>24</v>
      </c>
      <c r="K16" s="14">
        <f>VLOOKUP($C16,Sheet1!$A$2:$D$10,4,0)</f>
        <v>6</v>
      </c>
      <c r="L16" s="14" t="str">
        <f>VLOOKUP($C16,Sheet1!$A$2:$E$10,5,0)</f>
        <v>Bin</v>
      </c>
      <c r="M16" s="14">
        <f t="shared" ref="M16:M21" si="0">J16/K16</f>
        <v>4</v>
      </c>
      <c r="N16" s="2"/>
      <c r="O16" s="2" t="s">
        <v>110</v>
      </c>
      <c r="P16" s="2" t="s">
        <v>169</v>
      </c>
    </row>
    <row r="17" spans="1:16" x14ac:dyDescent="0.25">
      <c r="A17" s="15" t="s">
        <v>259</v>
      </c>
      <c r="B17" s="18" t="s">
        <v>243</v>
      </c>
      <c r="C17" s="2" t="s">
        <v>26</v>
      </c>
      <c r="D17" s="2" t="str">
        <f>VLOOKUP($C17,Sheet1!$A$2:$B$10,2,0)</f>
        <v>116040-92240</v>
      </c>
      <c r="E17" s="8" t="s">
        <v>75</v>
      </c>
      <c r="F17" s="12">
        <v>45995</v>
      </c>
      <c r="G17" s="13">
        <v>0.27083333333333331</v>
      </c>
      <c r="H17" s="2" t="s">
        <v>76</v>
      </c>
      <c r="I17" s="2" t="s">
        <v>42</v>
      </c>
      <c r="J17" s="2">
        <v>18</v>
      </c>
      <c r="K17" s="14">
        <f>VLOOKUP($C17,Sheet1!$A$2:$D$10,4,0)</f>
        <v>6</v>
      </c>
      <c r="L17" s="14" t="str">
        <f>VLOOKUP($C17,Sheet1!$A$2:$E$10,5,0)</f>
        <v>Bin</v>
      </c>
      <c r="M17" s="14">
        <f t="shared" si="0"/>
        <v>3</v>
      </c>
      <c r="N17" s="2"/>
      <c r="O17" s="2" t="s">
        <v>110</v>
      </c>
      <c r="P17" s="2" t="s">
        <v>169</v>
      </c>
    </row>
    <row r="18" spans="1:16" x14ac:dyDescent="0.25">
      <c r="A18" s="15" t="s">
        <v>259</v>
      </c>
      <c r="B18" s="18" t="s">
        <v>247</v>
      </c>
      <c r="C18" s="2" t="s">
        <v>32</v>
      </c>
      <c r="D18" s="2" t="str">
        <f>VLOOKUP($C18,Sheet1!$A$2:$B$10,2,0)</f>
        <v>114010-50820</v>
      </c>
      <c r="E18" s="8" t="s">
        <v>82</v>
      </c>
      <c r="F18" s="12">
        <v>45995</v>
      </c>
      <c r="G18" s="13">
        <v>0.27083333333333331</v>
      </c>
      <c r="H18" s="2" t="s">
        <v>76</v>
      </c>
      <c r="I18" s="2" t="s">
        <v>42</v>
      </c>
      <c r="J18" s="2">
        <v>9</v>
      </c>
      <c r="K18" s="14">
        <f>VLOOKUP($C18,Sheet1!$A$2:$D$10,4,0)</f>
        <v>1</v>
      </c>
      <c r="L18" s="14" t="str">
        <f>VLOOKUP($C18,Sheet1!$A$2:$E$10,5,0)</f>
        <v>Bin</v>
      </c>
      <c r="M18" s="14">
        <f t="shared" si="0"/>
        <v>9</v>
      </c>
      <c r="N18" s="2"/>
      <c r="O18" s="2" t="s">
        <v>110</v>
      </c>
      <c r="P18" s="2" t="s">
        <v>170</v>
      </c>
    </row>
    <row r="19" spans="1:16" x14ac:dyDescent="0.25">
      <c r="A19" s="15" t="s">
        <v>259</v>
      </c>
      <c r="B19" s="18" t="s">
        <v>248</v>
      </c>
      <c r="C19" s="2" t="s">
        <v>32</v>
      </c>
      <c r="D19" s="2" t="str">
        <f>VLOOKUP($C19,Sheet1!$A$2:$B$10,2,0)</f>
        <v>114010-50820</v>
      </c>
      <c r="E19" s="8" t="s">
        <v>82</v>
      </c>
      <c r="F19" s="12">
        <v>45995</v>
      </c>
      <c r="G19" s="13">
        <v>0.27083333333333331</v>
      </c>
      <c r="H19" s="2" t="s">
        <v>76</v>
      </c>
      <c r="I19" s="2" t="s">
        <v>42</v>
      </c>
      <c r="J19" s="2">
        <v>13</v>
      </c>
      <c r="K19" s="14">
        <f>VLOOKUP($C19,Sheet1!$A$2:$D$10,4,0)</f>
        <v>1</v>
      </c>
      <c r="L19" s="14" t="str">
        <f>VLOOKUP($C19,Sheet1!$A$2:$E$10,5,0)</f>
        <v>Bin</v>
      </c>
      <c r="M19" s="14">
        <f t="shared" si="0"/>
        <v>13</v>
      </c>
      <c r="N19" s="2"/>
      <c r="O19" s="2" t="s">
        <v>110</v>
      </c>
      <c r="P19" s="2" t="s">
        <v>170</v>
      </c>
    </row>
    <row r="20" spans="1:16" x14ac:dyDescent="0.25">
      <c r="A20" s="15" t="s">
        <v>259</v>
      </c>
      <c r="B20" s="18" t="s">
        <v>252</v>
      </c>
      <c r="C20" s="2" t="s">
        <v>29</v>
      </c>
      <c r="D20" s="2" t="str">
        <f>VLOOKUP($C20,Sheet1!$A$2:$B$10,2,0)</f>
        <v>114010-50830</v>
      </c>
      <c r="E20" s="8" t="s">
        <v>82</v>
      </c>
      <c r="F20" s="12">
        <v>45995</v>
      </c>
      <c r="G20" s="13">
        <v>0.27083333333333331</v>
      </c>
      <c r="H20" s="2" t="s">
        <v>76</v>
      </c>
      <c r="I20" s="2" t="s">
        <v>42</v>
      </c>
      <c r="J20" s="2">
        <v>11</v>
      </c>
      <c r="K20" s="14">
        <f>VLOOKUP($C20,Sheet1!$A$2:$D$10,4,0)</f>
        <v>1</v>
      </c>
      <c r="L20" s="14" t="str">
        <f>VLOOKUP($C20,Sheet1!$A$2:$E$10,5,0)</f>
        <v>Bin</v>
      </c>
      <c r="M20" s="14">
        <f t="shared" si="0"/>
        <v>11</v>
      </c>
      <c r="N20" s="2"/>
      <c r="O20" s="2" t="s">
        <v>110</v>
      </c>
      <c r="P20" s="2" t="s">
        <v>171</v>
      </c>
    </row>
    <row r="21" spans="1:16" x14ac:dyDescent="0.25">
      <c r="A21" s="15" t="s">
        <v>259</v>
      </c>
      <c r="B21" s="18" t="s">
        <v>253</v>
      </c>
      <c r="C21" s="2" t="s">
        <v>29</v>
      </c>
      <c r="D21" s="2" t="str">
        <f>VLOOKUP($C21,Sheet1!$A$2:$B$10,2,0)</f>
        <v>114010-50830</v>
      </c>
      <c r="E21" s="8" t="s">
        <v>82</v>
      </c>
      <c r="F21" s="12">
        <v>45995</v>
      </c>
      <c r="G21" s="13">
        <v>0.27083333333333331</v>
      </c>
      <c r="H21" s="2" t="s">
        <v>76</v>
      </c>
      <c r="I21" s="2" t="s">
        <v>42</v>
      </c>
      <c r="J21" s="2">
        <v>10</v>
      </c>
      <c r="K21" s="14">
        <f>VLOOKUP($C21,Sheet1!$A$2:$D$10,4,0)</f>
        <v>1</v>
      </c>
      <c r="L21" s="14" t="str">
        <f>VLOOKUP($C21,Sheet1!$A$2:$E$10,5,0)</f>
        <v>Bin</v>
      </c>
      <c r="M21" s="14">
        <f t="shared" si="0"/>
        <v>10</v>
      </c>
      <c r="N21" s="2"/>
      <c r="O21" s="2" t="s">
        <v>110</v>
      </c>
      <c r="P21" s="2" t="s">
        <v>171</v>
      </c>
    </row>
    <row r="22" spans="1:16" s="11" customForma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>
        <v>92</v>
      </c>
      <c r="N22" s="10">
        <v>8</v>
      </c>
      <c r="O22" s="10"/>
      <c r="P22" s="10"/>
    </row>
    <row r="23" spans="1:16" x14ac:dyDescent="0.25">
      <c r="A23" s="15" t="s">
        <v>260</v>
      </c>
      <c r="B23" s="18" t="s">
        <v>214</v>
      </c>
      <c r="C23" s="2" t="s">
        <v>5</v>
      </c>
      <c r="D23" s="2" t="str">
        <f>VLOOKUP($C23,Sheet1!$A$2:$B$10,2,0)</f>
        <v>141110-14600</v>
      </c>
      <c r="E23" s="8" t="s">
        <v>40</v>
      </c>
      <c r="F23" s="12">
        <v>45995</v>
      </c>
      <c r="G23" s="13">
        <v>0.52083333333333337</v>
      </c>
      <c r="H23" s="2" t="s">
        <v>41</v>
      </c>
      <c r="I23" s="2" t="s">
        <v>42</v>
      </c>
      <c r="J23" s="2">
        <v>18</v>
      </c>
      <c r="K23" s="14">
        <f>VLOOKUP($C23,Sheet1!$A$2:$D$10,4,0)</f>
        <v>18</v>
      </c>
      <c r="L23" s="14" t="str">
        <f>VLOOKUP($C23,Sheet1!$A$2:$E$10,5,0)</f>
        <v>Trolley (H)</v>
      </c>
      <c r="M23" s="14"/>
      <c r="N23" s="51">
        <v>1</v>
      </c>
      <c r="O23" s="2" t="s">
        <v>111</v>
      </c>
      <c r="P23" s="2" t="s">
        <v>320</v>
      </c>
    </row>
    <row r="24" spans="1:16" x14ac:dyDescent="0.25">
      <c r="A24" s="15" t="s">
        <v>260</v>
      </c>
      <c r="B24" s="18" t="s">
        <v>219</v>
      </c>
      <c r="C24" s="2" t="s">
        <v>9</v>
      </c>
      <c r="D24" s="2" t="str">
        <f>VLOOKUP($C24,Sheet1!$A$2:$B$10,2,0)</f>
        <v>141120-14600</v>
      </c>
      <c r="E24" s="8" t="s">
        <v>47</v>
      </c>
      <c r="F24" s="12">
        <v>45995</v>
      </c>
      <c r="G24" s="13">
        <v>0.52083333333333337</v>
      </c>
      <c r="H24" s="2" t="s">
        <v>41</v>
      </c>
      <c r="I24" s="2" t="s">
        <v>42</v>
      </c>
      <c r="J24" s="2">
        <v>18</v>
      </c>
      <c r="K24" s="14">
        <f>VLOOKUP($C24,Sheet1!$A$2:$D$10,4,0)</f>
        <v>18</v>
      </c>
      <c r="L24" s="14" t="str">
        <f>VLOOKUP($C24,Sheet1!$A$2:$E$10,5,0)</f>
        <v>Trolley (H)</v>
      </c>
      <c r="M24" s="14"/>
      <c r="N24" s="52"/>
      <c r="O24" s="2" t="s">
        <v>111</v>
      </c>
      <c r="P24" s="2" t="s">
        <v>167</v>
      </c>
    </row>
    <row r="25" spans="1:16" x14ac:dyDescent="0.25">
      <c r="A25" s="15" t="s">
        <v>260</v>
      </c>
      <c r="B25" s="18" t="s">
        <v>224</v>
      </c>
      <c r="C25" s="2" t="s">
        <v>12</v>
      </c>
      <c r="D25" s="2" t="str">
        <f>VLOOKUP($C25,Sheet1!$A$2:$B$10,2,0)</f>
        <v>141185-74670</v>
      </c>
      <c r="E25" s="8" t="s">
        <v>52</v>
      </c>
      <c r="F25" s="12">
        <v>45995</v>
      </c>
      <c r="G25" s="13">
        <v>0.52083333333333337</v>
      </c>
      <c r="H25" s="2" t="s">
        <v>41</v>
      </c>
      <c r="I25" s="2" t="s">
        <v>42</v>
      </c>
      <c r="J25" s="2">
        <v>40</v>
      </c>
      <c r="K25" s="14">
        <f>VLOOKUP($C25,Sheet1!$A$2:$D$10,4,0)</f>
        <v>40</v>
      </c>
      <c r="L25" s="14" t="str">
        <f>VLOOKUP($C25,Sheet1!$A$2:$E$10,5,0)</f>
        <v>Trolley</v>
      </c>
      <c r="M25" s="14"/>
      <c r="N25" s="2">
        <f>J25/K25</f>
        <v>1</v>
      </c>
      <c r="O25" s="2" t="s">
        <v>111</v>
      </c>
      <c r="P25" s="2">
        <v>910102786</v>
      </c>
    </row>
    <row r="26" spans="1:16" x14ac:dyDescent="0.25">
      <c r="A26" s="15" t="s">
        <v>260</v>
      </c>
      <c r="B26" s="18" t="s">
        <v>229</v>
      </c>
      <c r="C26" s="2" t="s">
        <v>16</v>
      </c>
      <c r="D26" s="2" t="str">
        <f>VLOOKUP($C26,Sheet1!$A$2:$B$10,2,0)</f>
        <v>141140-91211</v>
      </c>
      <c r="E26" s="8" t="s">
        <v>57</v>
      </c>
      <c r="F26" s="12">
        <v>45995</v>
      </c>
      <c r="G26" s="13">
        <v>0.52083333333333337</v>
      </c>
      <c r="H26" s="2" t="s">
        <v>58</v>
      </c>
      <c r="I26" s="2" t="s">
        <v>42</v>
      </c>
      <c r="J26" s="2">
        <v>20</v>
      </c>
      <c r="K26" s="14">
        <f>VLOOKUP($C26,Sheet1!$A$2:$D$10,4,0)</f>
        <v>2</v>
      </c>
      <c r="L26" s="14" t="str">
        <f>VLOOKUP($C26,Sheet1!$A$2:$E$10,5,0)</f>
        <v>Bin</v>
      </c>
      <c r="M26" s="14">
        <f>J26/K26</f>
        <v>10</v>
      </c>
      <c r="N26" s="2"/>
      <c r="O26" s="2" t="s">
        <v>111</v>
      </c>
      <c r="P26" s="2" t="s">
        <v>209</v>
      </c>
    </row>
    <row r="27" spans="1:16" x14ac:dyDescent="0.25">
      <c r="A27" s="15" t="s">
        <v>260</v>
      </c>
      <c r="B27" s="18" t="s">
        <v>234</v>
      </c>
      <c r="C27" s="2" t="s">
        <v>20</v>
      </c>
      <c r="D27" s="2" t="str">
        <f>VLOOKUP($C27,Sheet1!$A$2:$B$10,2,0)</f>
        <v>141150-91211</v>
      </c>
      <c r="E27" s="8" t="s">
        <v>64</v>
      </c>
      <c r="F27" s="12">
        <v>45995</v>
      </c>
      <c r="G27" s="13">
        <v>0.52083333333333337</v>
      </c>
      <c r="H27" s="2" t="s">
        <v>58</v>
      </c>
      <c r="I27" s="2" t="s">
        <v>42</v>
      </c>
      <c r="J27" s="2">
        <v>20</v>
      </c>
      <c r="K27" s="14">
        <f>VLOOKUP($C27,Sheet1!$A$2:$D$10,4,0)</f>
        <v>2</v>
      </c>
      <c r="L27" s="14" t="str">
        <f>VLOOKUP($C27,Sheet1!$A$2:$E$10,5,0)</f>
        <v>Bin</v>
      </c>
      <c r="M27" s="14">
        <f>J27/K27</f>
        <v>10</v>
      </c>
      <c r="N27" s="2"/>
      <c r="O27" s="2" t="s">
        <v>111</v>
      </c>
      <c r="P27" s="2" t="s">
        <v>209</v>
      </c>
    </row>
    <row r="28" spans="1:16" x14ac:dyDescent="0.25">
      <c r="A28" s="15" t="s">
        <v>260</v>
      </c>
      <c r="B28" s="18" t="s">
        <v>239</v>
      </c>
      <c r="C28" s="2" t="s">
        <v>23</v>
      </c>
      <c r="D28" s="2" t="str">
        <f>VLOOKUP($C28,Sheet1!$A$2:$B$10,2,0)</f>
        <v>141186-74360</v>
      </c>
      <c r="E28" s="8" t="s">
        <v>70</v>
      </c>
      <c r="F28" s="12">
        <v>45995</v>
      </c>
      <c r="G28" s="13">
        <v>0.52083333333333337</v>
      </c>
      <c r="H28" s="2" t="s">
        <v>58</v>
      </c>
      <c r="I28" s="2" t="s">
        <v>42</v>
      </c>
      <c r="J28" s="2">
        <v>40</v>
      </c>
      <c r="K28" s="14">
        <f>VLOOKUP($C28,Sheet1!$A$2:$D$10,4,0)</f>
        <v>40</v>
      </c>
      <c r="L28" s="14" t="str">
        <f>VLOOKUP($C28,Sheet1!$A$2:$E$10,5,0)</f>
        <v>Trolley</v>
      </c>
      <c r="M28" s="14"/>
      <c r="N28" s="2">
        <f>J28/K28</f>
        <v>1</v>
      </c>
      <c r="O28" s="2" t="s">
        <v>111</v>
      </c>
      <c r="P28" s="2">
        <v>910100578</v>
      </c>
    </row>
    <row r="29" spans="1:16" x14ac:dyDescent="0.25">
      <c r="A29" s="15" t="s">
        <v>261</v>
      </c>
      <c r="B29" s="18" t="s">
        <v>244</v>
      </c>
      <c r="C29" s="2" t="s">
        <v>26</v>
      </c>
      <c r="D29" s="2" t="str">
        <f>VLOOKUP($C29,Sheet1!$A$2:$B$10,2,0)</f>
        <v>116040-92240</v>
      </c>
      <c r="E29" s="8" t="s">
        <v>75</v>
      </c>
      <c r="F29" s="12">
        <v>45995</v>
      </c>
      <c r="G29" s="13">
        <v>0.52083333333333337</v>
      </c>
      <c r="H29" s="2" t="s">
        <v>76</v>
      </c>
      <c r="I29" s="2" t="s">
        <v>42</v>
      </c>
      <c r="J29" s="2">
        <v>18</v>
      </c>
      <c r="K29" s="14">
        <f>VLOOKUP($C29,Sheet1!$A$2:$D$10,4,0)</f>
        <v>6</v>
      </c>
      <c r="L29" s="14" t="str">
        <f>VLOOKUP($C29,Sheet1!$A$2:$E$10,5,0)</f>
        <v>Bin</v>
      </c>
      <c r="M29" s="14">
        <f>J29/K29</f>
        <v>3</v>
      </c>
      <c r="N29" s="2"/>
      <c r="O29" s="2" t="s">
        <v>111</v>
      </c>
      <c r="P29" s="2" t="s">
        <v>169</v>
      </c>
    </row>
    <row r="30" spans="1:16" x14ac:dyDescent="0.25">
      <c r="A30" s="15" t="s">
        <v>261</v>
      </c>
      <c r="B30" s="18" t="s">
        <v>249</v>
      </c>
      <c r="C30" s="2" t="s">
        <v>32</v>
      </c>
      <c r="D30" s="2" t="str">
        <f>VLOOKUP($C30,Sheet1!$A$2:$B$10,2,0)</f>
        <v>114010-50820</v>
      </c>
      <c r="E30" s="8" t="s">
        <v>82</v>
      </c>
      <c r="F30" s="12">
        <v>45995</v>
      </c>
      <c r="G30" s="13">
        <v>0.52083333333333337</v>
      </c>
      <c r="H30" s="2" t="s">
        <v>76</v>
      </c>
      <c r="I30" s="2" t="s">
        <v>42</v>
      </c>
      <c r="J30" s="2">
        <v>11</v>
      </c>
      <c r="K30" s="14">
        <f>VLOOKUP($C30,Sheet1!$A$2:$D$10,4,0)</f>
        <v>1</v>
      </c>
      <c r="L30" s="14" t="str">
        <f>VLOOKUP($C30,Sheet1!$A$2:$E$10,5,0)</f>
        <v>Bin</v>
      </c>
      <c r="M30" s="14">
        <f>J30/K30</f>
        <v>11</v>
      </c>
      <c r="N30" s="2"/>
      <c r="O30" s="2" t="s">
        <v>111</v>
      </c>
      <c r="P30" s="2" t="s">
        <v>170</v>
      </c>
    </row>
    <row r="31" spans="1:16" x14ac:dyDescent="0.25">
      <c r="A31" s="15" t="s">
        <v>261</v>
      </c>
      <c r="B31" s="18" t="s">
        <v>254</v>
      </c>
      <c r="C31" s="2" t="s">
        <v>29</v>
      </c>
      <c r="D31" s="2" t="str">
        <f>VLOOKUP($C31,Sheet1!$A$2:$B$10,2,0)</f>
        <v>114010-50830</v>
      </c>
      <c r="E31" s="8" t="s">
        <v>82</v>
      </c>
      <c r="F31" s="12">
        <v>45995</v>
      </c>
      <c r="G31" s="13">
        <v>0.52083333333333337</v>
      </c>
      <c r="H31" s="2" t="s">
        <v>76</v>
      </c>
      <c r="I31" s="2" t="s">
        <v>42</v>
      </c>
      <c r="J31" s="2">
        <v>9</v>
      </c>
      <c r="K31" s="14">
        <f>VLOOKUP($C31,Sheet1!$A$2:$D$10,4,0)</f>
        <v>1</v>
      </c>
      <c r="L31" s="14" t="str">
        <f>VLOOKUP($C31,Sheet1!$A$2:$E$10,5,0)</f>
        <v>Bin</v>
      </c>
      <c r="M31" s="14">
        <f>J31/K31</f>
        <v>9</v>
      </c>
      <c r="N31" s="2"/>
      <c r="O31" s="2" t="s">
        <v>111</v>
      </c>
      <c r="P31" s="2" t="s">
        <v>171</v>
      </c>
    </row>
    <row r="32" spans="1:16" s="11" customForma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>
        <v>43</v>
      </c>
      <c r="N32" s="10">
        <v>3</v>
      </c>
      <c r="O32" s="10"/>
      <c r="P32" s="10"/>
    </row>
    <row r="33" spans="1:16" x14ac:dyDescent="0.25">
      <c r="A33" s="15" t="s">
        <v>262</v>
      </c>
      <c r="B33" s="18" t="s">
        <v>215</v>
      </c>
      <c r="C33" s="2" t="s">
        <v>5</v>
      </c>
      <c r="D33" s="2" t="str">
        <f>VLOOKUP($C33,Sheet1!$A$2:$B$10,2,0)</f>
        <v>141110-14600</v>
      </c>
      <c r="E33" s="8" t="s">
        <v>40</v>
      </c>
      <c r="F33" s="12">
        <v>45995</v>
      </c>
      <c r="G33" s="13">
        <v>0.60416666666666663</v>
      </c>
      <c r="H33" s="2" t="s">
        <v>41</v>
      </c>
      <c r="I33" s="2" t="s">
        <v>42</v>
      </c>
      <c r="J33" s="2">
        <v>18</v>
      </c>
      <c r="K33" s="14">
        <f>VLOOKUP($C33,Sheet1!$A$2:$D$10,4,0)</f>
        <v>18</v>
      </c>
      <c r="L33" s="14" t="str">
        <f>VLOOKUP($C33,Sheet1!$A$2:$E$10,5,0)</f>
        <v>Trolley (H)</v>
      </c>
      <c r="M33" s="14"/>
      <c r="N33" s="51">
        <v>1</v>
      </c>
      <c r="O33" s="2" t="s">
        <v>112</v>
      </c>
      <c r="P33" s="2" t="s">
        <v>320</v>
      </c>
    </row>
    <row r="34" spans="1:16" x14ac:dyDescent="0.25">
      <c r="A34" s="15" t="s">
        <v>262</v>
      </c>
      <c r="B34" s="18" t="s">
        <v>220</v>
      </c>
      <c r="C34" s="2" t="s">
        <v>9</v>
      </c>
      <c r="D34" s="2" t="str">
        <f>VLOOKUP($C34,Sheet1!$A$2:$B$10,2,0)</f>
        <v>141120-14600</v>
      </c>
      <c r="E34" s="8" t="s">
        <v>47</v>
      </c>
      <c r="F34" s="12">
        <v>45995</v>
      </c>
      <c r="G34" s="13">
        <v>0.60416666666666663</v>
      </c>
      <c r="H34" s="2" t="s">
        <v>41</v>
      </c>
      <c r="I34" s="2" t="s">
        <v>42</v>
      </c>
      <c r="J34" s="2">
        <v>18</v>
      </c>
      <c r="K34" s="14">
        <f>VLOOKUP($C34,Sheet1!$A$2:$D$10,4,0)</f>
        <v>18</v>
      </c>
      <c r="L34" s="14" t="str">
        <f>VLOOKUP($C34,Sheet1!$A$2:$E$10,5,0)</f>
        <v>Trolley (H)</v>
      </c>
      <c r="M34" s="14"/>
      <c r="N34" s="52"/>
      <c r="O34" s="2" t="s">
        <v>112</v>
      </c>
      <c r="P34" s="2" t="s">
        <v>167</v>
      </c>
    </row>
    <row r="35" spans="1:16" x14ac:dyDescent="0.25">
      <c r="A35" s="15" t="s">
        <v>262</v>
      </c>
      <c r="B35" s="18" t="s">
        <v>225</v>
      </c>
      <c r="C35" s="2" t="s">
        <v>12</v>
      </c>
      <c r="D35" s="2" t="str">
        <f>VLOOKUP($C35,Sheet1!$A$2:$B$10,2,0)</f>
        <v>141185-74670</v>
      </c>
      <c r="E35" s="8" t="s">
        <v>52</v>
      </c>
      <c r="F35" s="12">
        <v>45995</v>
      </c>
      <c r="G35" s="13">
        <v>0.60416666666666663</v>
      </c>
      <c r="H35" s="2" t="s">
        <v>41</v>
      </c>
      <c r="I35" s="2" t="s">
        <v>42</v>
      </c>
      <c r="J35" s="2">
        <v>40</v>
      </c>
      <c r="K35" s="14">
        <f>VLOOKUP($C35,Sheet1!$A$2:$D$10,4,0)</f>
        <v>40</v>
      </c>
      <c r="L35" s="14" t="str">
        <f>VLOOKUP($C35,Sheet1!$A$2:$E$10,5,0)</f>
        <v>Trolley</v>
      </c>
      <c r="M35" s="14"/>
      <c r="N35" s="2">
        <f>J35/K35</f>
        <v>1</v>
      </c>
      <c r="O35" s="2" t="s">
        <v>112</v>
      </c>
      <c r="P35" s="2">
        <v>910102786</v>
      </c>
    </row>
    <row r="36" spans="1:16" x14ac:dyDescent="0.25">
      <c r="A36" s="15" t="s">
        <v>262</v>
      </c>
      <c r="B36" s="18" t="s">
        <v>230</v>
      </c>
      <c r="C36" s="2" t="s">
        <v>16</v>
      </c>
      <c r="D36" s="2" t="str">
        <f>VLOOKUP($C36,Sheet1!$A$2:$B$10,2,0)</f>
        <v>141140-91211</v>
      </c>
      <c r="E36" s="8" t="s">
        <v>57</v>
      </c>
      <c r="F36" s="12">
        <v>45995</v>
      </c>
      <c r="G36" s="13">
        <v>0.60416666666666663</v>
      </c>
      <c r="H36" s="2" t="s">
        <v>58</v>
      </c>
      <c r="I36" s="2" t="s">
        <v>42</v>
      </c>
      <c r="J36" s="2">
        <v>20</v>
      </c>
      <c r="K36" s="14">
        <f>VLOOKUP($C36,Sheet1!$A$2:$D$10,4,0)</f>
        <v>2</v>
      </c>
      <c r="L36" s="14" t="str">
        <f>VLOOKUP($C36,Sheet1!$A$2:$E$10,5,0)</f>
        <v>Bin</v>
      </c>
      <c r="M36" s="14">
        <f>J36/K36</f>
        <v>10</v>
      </c>
      <c r="N36" s="2"/>
      <c r="O36" s="2" t="s">
        <v>112</v>
      </c>
      <c r="P36" s="2" t="s">
        <v>209</v>
      </c>
    </row>
    <row r="37" spans="1:16" x14ac:dyDescent="0.25">
      <c r="A37" s="15" t="s">
        <v>262</v>
      </c>
      <c r="B37" s="18" t="s">
        <v>235</v>
      </c>
      <c r="C37" s="2" t="s">
        <v>20</v>
      </c>
      <c r="D37" s="2" t="str">
        <f>VLOOKUP($C37,Sheet1!$A$2:$B$10,2,0)</f>
        <v>141150-91211</v>
      </c>
      <c r="E37" s="8" t="s">
        <v>64</v>
      </c>
      <c r="F37" s="12">
        <v>45995</v>
      </c>
      <c r="G37" s="13">
        <v>0.60416666666666663</v>
      </c>
      <c r="H37" s="2" t="s">
        <v>58</v>
      </c>
      <c r="I37" s="2" t="s">
        <v>42</v>
      </c>
      <c r="J37" s="2">
        <v>20</v>
      </c>
      <c r="K37" s="14">
        <f>VLOOKUP($C37,Sheet1!$A$2:$D$10,4,0)</f>
        <v>2</v>
      </c>
      <c r="L37" s="14" t="str">
        <f>VLOOKUP($C37,Sheet1!$A$2:$E$10,5,0)</f>
        <v>Bin</v>
      </c>
      <c r="M37" s="14">
        <f>J37/K37</f>
        <v>10</v>
      </c>
      <c r="N37" s="2"/>
      <c r="O37" s="2" t="s">
        <v>112</v>
      </c>
      <c r="P37" s="2" t="s">
        <v>209</v>
      </c>
    </row>
    <row r="38" spans="1:16" x14ac:dyDescent="0.25">
      <c r="A38" s="15" t="s">
        <v>262</v>
      </c>
      <c r="B38" s="18" t="s">
        <v>240</v>
      </c>
      <c r="C38" s="2" t="s">
        <v>23</v>
      </c>
      <c r="D38" s="2" t="str">
        <f>VLOOKUP($C38,Sheet1!$A$2:$B$10,2,0)</f>
        <v>141186-74360</v>
      </c>
      <c r="E38" s="8" t="s">
        <v>70</v>
      </c>
      <c r="F38" s="12">
        <v>45995</v>
      </c>
      <c r="G38" s="13">
        <v>0.60416666666666663</v>
      </c>
      <c r="H38" s="2" t="s">
        <v>58</v>
      </c>
      <c r="I38" s="2" t="s">
        <v>42</v>
      </c>
      <c r="J38" s="2">
        <v>40</v>
      </c>
      <c r="K38" s="14">
        <f>VLOOKUP($C38,Sheet1!$A$2:$D$10,4,0)</f>
        <v>40</v>
      </c>
      <c r="L38" s="14" t="str">
        <f>VLOOKUP($C38,Sheet1!$A$2:$E$10,5,0)</f>
        <v>Trolley</v>
      </c>
      <c r="M38" s="14"/>
      <c r="N38" s="2">
        <f>J38/K38</f>
        <v>1</v>
      </c>
      <c r="O38" s="2" t="s">
        <v>112</v>
      </c>
      <c r="P38" s="2">
        <v>910100578</v>
      </c>
    </row>
    <row r="39" spans="1:16" x14ac:dyDescent="0.25">
      <c r="A39" s="15" t="s">
        <v>263</v>
      </c>
      <c r="B39" s="18" t="s">
        <v>245</v>
      </c>
      <c r="C39" s="2" t="s">
        <v>26</v>
      </c>
      <c r="D39" s="2" t="str">
        <f>VLOOKUP($C39,Sheet1!$A$2:$B$10,2,0)</f>
        <v>116040-92240</v>
      </c>
      <c r="E39" s="8" t="s">
        <v>75</v>
      </c>
      <c r="F39" s="12">
        <v>45995</v>
      </c>
      <c r="G39" s="13">
        <v>0.60416666666666663</v>
      </c>
      <c r="H39" s="2" t="s">
        <v>76</v>
      </c>
      <c r="I39" s="2" t="s">
        <v>42</v>
      </c>
      <c r="J39" s="2">
        <v>18</v>
      </c>
      <c r="K39" s="14">
        <f>VLOOKUP($C39,Sheet1!$A$2:$D$10,4,0)</f>
        <v>6</v>
      </c>
      <c r="L39" s="14" t="str">
        <f>VLOOKUP($C39,Sheet1!$A$2:$E$10,5,0)</f>
        <v>Bin</v>
      </c>
      <c r="M39" s="14">
        <f>J39/K39</f>
        <v>3</v>
      </c>
      <c r="N39" s="2"/>
      <c r="O39" s="2" t="s">
        <v>112</v>
      </c>
      <c r="P39" s="2" t="s">
        <v>169</v>
      </c>
    </row>
    <row r="40" spans="1:16" x14ac:dyDescent="0.25">
      <c r="A40" s="15" t="s">
        <v>263</v>
      </c>
      <c r="B40" s="18" t="s">
        <v>250</v>
      </c>
      <c r="C40" s="2" t="s">
        <v>32</v>
      </c>
      <c r="D40" s="2" t="str">
        <f>VLOOKUP($C40,Sheet1!$A$2:$B$10,2,0)</f>
        <v>114010-50820</v>
      </c>
      <c r="E40" s="8" t="s">
        <v>82</v>
      </c>
      <c r="F40" s="12">
        <v>45995</v>
      </c>
      <c r="G40" s="13">
        <v>0.60416666666666663</v>
      </c>
      <c r="H40" s="2" t="s">
        <v>76</v>
      </c>
      <c r="I40" s="2" t="s">
        <v>42</v>
      </c>
      <c r="J40" s="2">
        <v>5</v>
      </c>
      <c r="K40" s="14">
        <f>VLOOKUP($C40,Sheet1!$A$2:$D$10,4,0)</f>
        <v>1</v>
      </c>
      <c r="L40" s="14" t="str">
        <f>VLOOKUP($C40,Sheet1!$A$2:$E$10,5,0)</f>
        <v>Bin</v>
      </c>
      <c r="M40" s="14">
        <f>J40/K40</f>
        <v>5</v>
      </c>
      <c r="N40" s="2"/>
      <c r="O40" s="2" t="s">
        <v>112</v>
      </c>
      <c r="P40" s="2" t="s">
        <v>170</v>
      </c>
    </row>
    <row r="41" spans="1:16" x14ac:dyDescent="0.25">
      <c r="A41" s="15" t="s">
        <v>263</v>
      </c>
      <c r="B41" s="18" t="s">
        <v>255</v>
      </c>
      <c r="C41" s="2" t="s">
        <v>29</v>
      </c>
      <c r="D41" s="2" t="str">
        <f>VLOOKUP($C41,Sheet1!$A$2:$B$10,2,0)</f>
        <v>114010-50830</v>
      </c>
      <c r="E41" s="8" t="s">
        <v>82</v>
      </c>
      <c r="F41" s="12">
        <v>45995</v>
      </c>
      <c r="G41" s="13">
        <v>0.60416666666666663</v>
      </c>
      <c r="H41" s="2" t="s">
        <v>76</v>
      </c>
      <c r="I41" s="2" t="s">
        <v>42</v>
      </c>
      <c r="J41" s="2">
        <v>14</v>
      </c>
      <c r="K41" s="14">
        <f>VLOOKUP($C41,Sheet1!$A$2:$D$10,4,0)</f>
        <v>1</v>
      </c>
      <c r="L41" s="14" t="str">
        <f>VLOOKUP($C41,Sheet1!$A$2:$E$10,5,0)</f>
        <v>Bin</v>
      </c>
      <c r="M41" s="14">
        <f>J41/K41</f>
        <v>14</v>
      </c>
      <c r="N41" s="2"/>
      <c r="O41" s="2" t="s">
        <v>112</v>
      </c>
      <c r="P41" s="2" t="s">
        <v>171</v>
      </c>
    </row>
    <row r="42" spans="1:16" s="11" customForma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>
        <v>42</v>
      </c>
      <c r="N42" s="10">
        <v>3</v>
      </c>
      <c r="O42" s="10"/>
      <c r="P42" s="10"/>
    </row>
    <row r="43" spans="1:16" x14ac:dyDescent="0.25">
      <c r="A43" s="15" t="s">
        <v>264</v>
      </c>
      <c r="B43" s="18" t="s">
        <v>216</v>
      </c>
      <c r="C43" s="2" t="s">
        <v>5</v>
      </c>
      <c r="D43" s="2" t="str">
        <f>VLOOKUP($C43,Sheet1!$A$2:$B$10,2,0)</f>
        <v>141110-14600</v>
      </c>
      <c r="E43" s="8" t="s">
        <v>40</v>
      </c>
      <c r="F43" s="12">
        <v>45995</v>
      </c>
      <c r="G43" s="13">
        <v>0.64583333333333337</v>
      </c>
      <c r="H43" s="2" t="s">
        <v>41</v>
      </c>
      <c r="I43" s="2" t="s">
        <v>42</v>
      </c>
      <c r="J43" s="2">
        <v>18</v>
      </c>
      <c r="K43" s="14">
        <f>VLOOKUP($C43,Sheet1!$A$2:$D$10,4,0)</f>
        <v>18</v>
      </c>
      <c r="L43" s="14" t="str">
        <f>VLOOKUP($C43,Sheet1!$A$2:$E$10,5,0)</f>
        <v>Trolley (H)</v>
      </c>
      <c r="M43" s="14"/>
      <c r="N43" s="51">
        <v>1</v>
      </c>
      <c r="O43" s="2" t="s">
        <v>113</v>
      </c>
      <c r="P43" s="2" t="s">
        <v>320</v>
      </c>
    </row>
    <row r="44" spans="1:16" x14ac:dyDescent="0.25">
      <c r="A44" s="15" t="s">
        <v>264</v>
      </c>
      <c r="B44" s="18" t="s">
        <v>221</v>
      </c>
      <c r="C44" s="2" t="s">
        <v>9</v>
      </c>
      <c r="D44" s="2" t="str">
        <f>VLOOKUP($C44,Sheet1!$A$2:$B$10,2,0)</f>
        <v>141120-14600</v>
      </c>
      <c r="E44" s="8" t="s">
        <v>47</v>
      </c>
      <c r="F44" s="12">
        <v>45995</v>
      </c>
      <c r="G44" s="13">
        <v>0.64583333333333337</v>
      </c>
      <c r="H44" s="2" t="s">
        <v>41</v>
      </c>
      <c r="I44" s="2" t="s">
        <v>42</v>
      </c>
      <c r="J44" s="2">
        <v>18</v>
      </c>
      <c r="K44" s="14">
        <f>VLOOKUP($C44,Sheet1!$A$2:$D$10,4,0)</f>
        <v>18</v>
      </c>
      <c r="L44" s="14" t="str">
        <f>VLOOKUP($C44,Sheet1!$A$2:$E$10,5,0)</f>
        <v>Trolley (H)</v>
      </c>
      <c r="M44" s="14"/>
      <c r="N44" s="52"/>
      <c r="O44" s="2" t="s">
        <v>113</v>
      </c>
      <c r="P44" s="2" t="s">
        <v>167</v>
      </c>
    </row>
    <row r="45" spans="1:16" x14ac:dyDescent="0.25">
      <c r="A45" s="15" t="s">
        <v>264</v>
      </c>
      <c r="B45" s="18" t="s">
        <v>226</v>
      </c>
      <c r="C45" s="2" t="s">
        <v>12</v>
      </c>
      <c r="D45" s="2" t="str">
        <f>VLOOKUP($C45,Sheet1!$A$2:$B$10,2,0)</f>
        <v>141185-74670</v>
      </c>
      <c r="E45" s="8" t="s">
        <v>52</v>
      </c>
      <c r="F45" s="12">
        <v>45995</v>
      </c>
      <c r="G45" s="13">
        <v>0.64583333333333337</v>
      </c>
      <c r="H45" s="2" t="s">
        <v>41</v>
      </c>
      <c r="I45" s="2" t="s">
        <v>42</v>
      </c>
      <c r="J45" s="2">
        <v>40</v>
      </c>
      <c r="K45" s="14">
        <f>VLOOKUP($C45,Sheet1!$A$2:$D$10,4,0)</f>
        <v>40</v>
      </c>
      <c r="L45" s="14" t="str">
        <f>VLOOKUP($C45,Sheet1!$A$2:$E$10,5,0)</f>
        <v>Trolley</v>
      </c>
      <c r="M45" s="14"/>
      <c r="N45" s="2">
        <f>J45/K45</f>
        <v>1</v>
      </c>
      <c r="O45" s="2" t="s">
        <v>113</v>
      </c>
      <c r="P45" s="2">
        <v>910102649</v>
      </c>
    </row>
    <row r="46" spans="1:16" x14ac:dyDescent="0.25">
      <c r="A46" s="15" t="s">
        <v>264</v>
      </c>
      <c r="B46" s="18" t="s">
        <v>231</v>
      </c>
      <c r="C46" s="2" t="s">
        <v>16</v>
      </c>
      <c r="D46" s="2" t="str">
        <f>VLOOKUP($C46,Sheet1!$A$2:$B$10,2,0)</f>
        <v>141140-91211</v>
      </c>
      <c r="E46" s="8" t="s">
        <v>57</v>
      </c>
      <c r="F46" s="12">
        <v>45995</v>
      </c>
      <c r="G46" s="13">
        <v>0.64583333333333337</v>
      </c>
      <c r="H46" s="2" t="s">
        <v>58</v>
      </c>
      <c r="I46" s="2" t="s">
        <v>42</v>
      </c>
      <c r="J46" s="2">
        <v>26</v>
      </c>
      <c r="K46" s="14">
        <f>VLOOKUP($C46,Sheet1!$A$2:$D$10,4,0)</f>
        <v>2</v>
      </c>
      <c r="L46" s="14" t="str">
        <f>VLOOKUP($C46,Sheet1!$A$2:$E$10,5,0)</f>
        <v>Bin</v>
      </c>
      <c r="M46" s="14">
        <f>J46/K46</f>
        <v>13</v>
      </c>
      <c r="N46" s="2"/>
      <c r="O46" s="2" t="s">
        <v>113</v>
      </c>
      <c r="P46" s="2" t="s">
        <v>209</v>
      </c>
    </row>
    <row r="47" spans="1:16" x14ac:dyDescent="0.25">
      <c r="A47" s="15" t="s">
        <v>264</v>
      </c>
      <c r="B47" s="18" t="s">
        <v>236</v>
      </c>
      <c r="C47" s="2" t="s">
        <v>20</v>
      </c>
      <c r="D47" s="2" t="str">
        <f>VLOOKUP($C47,Sheet1!$A$2:$B$10,2,0)</f>
        <v>141150-91211</v>
      </c>
      <c r="E47" s="8" t="s">
        <v>64</v>
      </c>
      <c r="F47" s="12">
        <v>45995</v>
      </c>
      <c r="G47" s="13">
        <v>0.64583333333333337</v>
      </c>
      <c r="H47" s="2" t="s">
        <v>58</v>
      </c>
      <c r="I47" s="2" t="s">
        <v>42</v>
      </c>
      <c r="J47" s="2">
        <v>26</v>
      </c>
      <c r="K47" s="14">
        <f>VLOOKUP($C47,Sheet1!$A$2:$D$10,4,0)</f>
        <v>2</v>
      </c>
      <c r="L47" s="14" t="str">
        <f>VLOOKUP($C47,Sheet1!$A$2:$E$10,5,0)</f>
        <v>Bin</v>
      </c>
      <c r="M47" s="14">
        <f>J47/K47</f>
        <v>13</v>
      </c>
      <c r="N47" s="2"/>
      <c r="O47" s="2" t="s">
        <v>113</v>
      </c>
      <c r="P47" s="2" t="s">
        <v>209</v>
      </c>
    </row>
    <row r="48" spans="1:16" x14ac:dyDescent="0.25">
      <c r="A48" s="15" t="s">
        <v>264</v>
      </c>
      <c r="B48" s="18" t="s">
        <v>241</v>
      </c>
      <c r="C48" s="2" t="s">
        <v>23</v>
      </c>
      <c r="D48" s="2" t="str">
        <f>VLOOKUP($C48,Sheet1!$A$2:$B$10,2,0)</f>
        <v>141186-74360</v>
      </c>
      <c r="E48" s="8" t="s">
        <v>70</v>
      </c>
      <c r="F48" s="12">
        <v>45995</v>
      </c>
      <c r="G48" s="13">
        <v>0.64583333333333337</v>
      </c>
      <c r="H48" s="2" t="s">
        <v>58</v>
      </c>
      <c r="I48" s="2" t="s">
        <v>42</v>
      </c>
      <c r="J48" s="2">
        <v>40</v>
      </c>
      <c r="K48" s="14">
        <f>VLOOKUP($C48,Sheet1!$A$2:$D$10,4,0)</f>
        <v>40</v>
      </c>
      <c r="L48" s="14" t="str">
        <f>VLOOKUP($C48,Sheet1!$A$2:$E$10,5,0)</f>
        <v>Trolley</v>
      </c>
      <c r="M48" s="14"/>
      <c r="N48" s="2">
        <f>J48/K48</f>
        <v>1</v>
      </c>
      <c r="O48" s="2" t="s">
        <v>113</v>
      </c>
      <c r="P48" s="2">
        <v>910100578</v>
      </c>
    </row>
    <row r="49" spans="1:16" x14ac:dyDescent="0.25">
      <c r="A49" s="15" t="s">
        <v>265</v>
      </c>
      <c r="B49" s="18" t="s">
        <v>246</v>
      </c>
      <c r="C49" s="2" t="s">
        <v>26</v>
      </c>
      <c r="D49" s="2" t="str">
        <f>VLOOKUP($C49,Sheet1!$A$2:$B$10,2,0)</f>
        <v>116040-92240</v>
      </c>
      <c r="E49" s="8" t="s">
        <v>75</v>
      </c>
      <c r="F49" s="12">
        <v>45995</v>
      </c>
      <c r="G49" s="13">
        <v>0.64583333333333337</v>
      </c>
      <c r="H49" s="2" t="s">
        <v>76</v>
      </c>
      <c r="I49" s="2" t="s">
        <v>42</v>
      </c>
      <c r="J49" s="2">
        <v>30</v>
      </c>
      <c r="K49" s="14">
        <f>VLOOKUP($C49,Sheet1!$A$2:$D$10,4,0)</f>
        <v>6</v>
      </c>
      <c r="L49" s="14" t="str">
        <f>VLOOKUP($C49,Sheet1!$A$2:$E$10,5,0)</f>
        <v>Bin</v>
      </c>
      <c r="M49" s="14">
        <f>J49/K49</f>
        <v>5</v>
      </c>
      <c r="N49" s="2"/>
      <c r="O49" s="2" t="s">
        <v>113</v>
      </c>
      <c r="P49" s="2" t="s">
        <v>169</v>
      </c>
    </row>
    <row r="50" spans="1:16" x14ac:dyDescent="0.25">
      <c r="A50" s="15" t="s">
        <v>265</v>
      </c>
      <c r="B50" s="18" t="s">
        <v>251</v>
      </c>
      <c r="C50" s="2" t="s">
        <v>32</v>
      </c>
      <c r="D50" s="2" t="str">
        <f>VLOOKUP($C50,Sheet1!$A$2:$B$10,2,0)</f>
        <v>114010-50820</v>
      </c>
      <c r="E50" s="8" t="s">
        <v>82</v>
      </c>
      <c r="F50" s="12">
        <v>45995</v>
      </c>
      <c r="G50" s="13">
        <v>0.64583333333333337</v>
      </c>
      <c r="H50" s="2" t="s">
        <v>76</v>
      </c>
      <c r="I50" s="2" t="s">
        <v>42</v>
      </c>
      <c r="J50" s="2">
        <v>19</v>
      </c>
      <c r="K50" s="14">
        <f>VLOOKUP($C50,Sheet1!$A$2:$D$10,4,0)</f>
        <v>1</v>
      </c>
      <c r="L50" s="14" t="str">
        <f>VLOOKUP($C50,Sheet1!$A$2:$E$10,5,0)</f>
        <v>Bin</v>
      </c>
      <c r="M50" s="14">
        <f>J50/K50</f>
        <v>19</v>
      </c>
      <c r="N50" s="2"/>
      <c r="O50" s="2" t="s">
        <v>113</v>
      </c>
      <c r="P50" s="2" t="s">
        <v>170</v>
      </c>
    </row>
    <row r="51" spans="1:16" x14ac:dyDescent="0.25">
      <c r="A51" s="15" t="s">
        <v>265</v>
      </c>
      <c r="B51" s="18" t="s">
        <v>256</v>
      </c>
      <c r="C51" s="2" t="s">
        <v>29</v>
      </c>
      <c r="D51" s="2" t="str">
        <f>VLOOKUP($C51,Sheet1!$A$2:$B$10,2,0)</f>
        <v>114010-50830</v>
      </c>
      <c r="E51" s="8" t="s">
        <v>82</v>
      </c>
      <c r="F51" s="12">
        <v>45995</v>
      </c>
      <c r="G51" s="13">
        <v>0.64583333333333337</v>
      </c>
      <c r="H51" s="2" t="s">
        <v>76</v>
      </c>
      <c r="I51" s="2" t="s">
        <v>42</v>
      </c>
      <c r="J51" s="2">
        <v>7</v>
      </c>
      <c r="K51" s="14">
        <f>VLOOKUP($C51,Sheet1!$A$2:$D$10,4,0)</f>
        <v>1</v>
      </c>
      <c r="L51" s="14" t="str">
        <f>VLOOKUP($C51,Sheet1!$A$2:$E$10,5,0)</f>
        <v>Bin</v>
      </c>
      <c r="M51" s="14">
        <f>J51/K51</f>
        <v>7</v>
      </c>
      <c r="N51" s="2"/>
      <c r="O51" s="2" t="s">
        <v>113</v>
      </c>
      <c r="P51" s="2" t="s">
        <v>171</v>
      </c>
    </row>
    <row r="52" spans="1:16" s="11" customForma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>
        <v>57</v>
      </c>
      <c r="N52" s="10">
        <v>3</v>
      </c>
      <c r="O52" s="10"/>
      <c r="P52" s="10"/>
    </row>
    <row r="53" spans="1:16" x14ac:dyDescent="0.25">
      <c r="A53" s="15" t="s">
        <v>274</v>
      </c>
      <c r="B53" s="18" t="s">
        <v>266</v>
      </c>
      <c r="C53" s="2" t="s">
        <v>5</v>
      </c>
      <c r="D53" s="2" t="str">
        <f>VLOOKUP($C53,Sheet1!$A$2:$B$10,2,0)</f>
        <v>141110-14600</v>
      </c>
      <c r="E53" s="8" t="s">
        <v>40</v>
      </c>
      <c r="F53" s="12">
        <v>45995</v>
      </c>
      <c r="G53" s="13">
        <v>0.69791666666666663</v>
      </c>
      <c r="H53" s="2" t="s">
        <v>41</v>
      </c>
      <c r="I53" s="2" t="s">
        <v>42</v>
      </c>
      <c r="J53" s="2">
        <v>18</v>
      </c>
      <c r="K53" s="14">
        <f>VLOOKUP($C53,Sheet1!$A$2:$D$10,4,0)</f>
        <v>18</v>
      </c>
      <c r="L53" s="14" t="str">
        <f>VLOOKUP($C53,Sheet1!$A$2:$E$10,5,0)</f>
        <v>Trolley (H)</v>
      </c>
      <c r="M53" s="14"/>
      <c r="N53" s="51">
        <v>1</v>
      </c>
      <c r="O53" s="2" t="s">
        <v>110</v>
      </c>
      <c r="P53" s="2" t="s">
        <v>320</v>
      </c>
    </row>
    <row r="54" spans="1:16" x14ac:dyDescent="0.25">
      <c r="A54" s="15" t="s">
        <v>274</v>
      </c>
      <c r="B54" s="18" t="s">
        <v>267</v>
      </c>
      <c r="C54" s="2" t="s">
        <v>9</v>
      </c>
      <c r="D54" s="2" t="str">
        <f>VLOOKUP($C54,Sheet1!$A$2:$B$10,2,0)</f>
        <v>141120-14600</v>
      </c>
      <c r="E54" s="8" t="s">
        <v>47</v>
      </c>
      <c r="F54" s="12">
        <v>45995</v>
      </c>
      <c r="G54" s="13">
        <v>0.69791666666666663</v>
      </c>
      <c r="H54" s="2" t="s">
        <v>41</v>
      </c>
      <c r="I54" s="2" t="s">
        <v>42</v>
      </c>
      <c r="J54" s="2">
        <v>18</v>
      </c>
      <c r="K54" s="14">
        <f>VLOOKUP($C54,Sheet1!$A$2:$D$10,4,0)</f>
        <v>18</v>
      </c>
      <c r="L54" s="14" t="str">
        <f>VLOOKUP($C54,Sheet1!$A$2:$E$10,5,0)</f>
        <v>Trolley (H)</v>
      </c>
      <c r="M54" s="14"/>
      <c r="N54" s="52"/>
      <c r="O54" s="2" t="s">
        <v>110</v>
      </c>
      <c r="P54" s="2" t="s">
        <v>167</v>
      </c>
    </row>
    <row r="55" spans="1:16" x14ac:dyDescent="0.25">
      <c r="A55" s="15" t="s">
        <v>274</v>
      </c>
      <c r="B55" s="18" t="s">
        <v>268</v>
      </c>
      <c r="C55" s="2" t="s">
        <v>12</v>
      </c>
      <c r="D55" s="2" t="str">
        <f>VLOOKUP($C55,Sheet1!$A$2:$B$10,2,0)</f>
        <v>141185-74670</v>
      </c>
      <c r="E55" s="8" t="s">
        <v>52</v>
      </c>
      <c r="F55" s="12">
        <v>45995</v>
      </c>
      <c r="G55" s="13">
        <v>0.69791666666666663</v>
      </c>
      <c r="H55" s="2" t="s">
        <v>41</v>
      </c>
      <c r="I55" s="2" t="s">
        <v>42</v>
      </c>
      <c r="J55" s="2">
        <v>40</v>
      </c>
      <c r="K55" s="14">
        <f>VLOOKUP($C55,Sheet1!$A$2:$D$10,4,0)</f>
        <v>40</v>
      </c>
      <c r="L55" s="14" t="str">
        <f>VLOOKUP($C55,Sheet1!$A$2:$E$10,5,0)</f>
        <v>Trolley</v>
      </c>
      <c r="M55" s="14"/>
      <c r="N55" s="2">
        <v>1</v>
      </c>
      <c r="O55" s="2" t="s">
        <v>110</v>
      </c>
      <c r="P55" s="2">
        <v>910102786</v>
      </c>
    </row>
    <row r="56" spans="1:16" x14ac:dyDescent="0.25">
      <c r="A56" s="15" t="s">
        <v>274</v>
      </c>
      <c r="B56" s="18" t="s">
        <v>269</v>
      </c>
      <c r="C56" s="2" t="s">
        <v>16</v>
      </c>
      <c r="D56" s="2" t="str">
        <f>VLOOKUP($C56,Sheet1!$A$2:$B$10,2,0)</f>
        <v>141140-91211</v>
      </c>
      <c r="E56" s="8" t="s">
        <v>57</v>
      </c>
      <c r="F56" s="12">
        <v>45995</v>
      </c>
      <c r="G56" s="13">
        <v>0.69791666666666663</v>
      </c>
      <c r="H56" s="2" t="s">
        <v>58</v>
      </c>
      <c r="I56" s="2" t="s">
        <v>42</v>
      </c>
      <c r="J56" s="2">
        <v>8</v>
      </c>
      <c r="K56" s="14">
        <f>VLOOKUP($C56,Sheet1!$A$2:$D$10,4,0)</f>
        <v>2</v>
      </c>
      <c r="L56" s="14" t="str">
        <f>VLOOKUP($C56,Sheet1!$A$2:$E$10,5,0)</f>
        <v>Bin</v>
      </c>
      <c r="M56" s="14">
        <f>J56/K56</f>
        <v>4</v>
      </c>
      <c r="N56" s="2"/>
      <c r="O56" s="2" t="s">
        <v>110</v>
      </c>
      <c r="P56" s="2" t="s">
        <v>209</v>
      </c>
    </row>
    <row r="57" spans="1:16" x14ac:dyDescent="0.25">
      <c r="A57" s="15" t="s">
        <v>274</v>
      </c>
      <c r="B57" s="18" t="s">
        <v>270</v>
      </c>
      <c r="C57" s="2" t="s">
        <v>20</v>
      </c>
      <c r="D57" s="2" t="str">
        <f>VLOOKUP($C57,Sheet1!$A$2:$B$10,2,0)</f>
        <v>141150-91211</v>
      </c>
      <c r="E57" s="8" t="s">
        <v>64</v>
      </c>
      <c r="F57" s="12">
        <v>45995</v>
      </c>
      <c r="G57" s="13">
        <v>0.69791666666666663</v>
      </c>
      <c r="H57" s="2" t="s">
        <v>58</v>
      </c>
      <c r="I57" s="2" t="s">
        <v>42</v>
      </c>
      <c r="J57" s="2">
        <v>8</v>
      </c>
      <c r="K57" s="14">
        <f>VLOOKUP($C57,Sheet1!$A$2:$D$10,4,0)</f>
        <v>2</v>
      </c>
      <c r="L57" s="14" t="str">
        <f>VLOOKUP($C57,Sheet1!$A$2:$E$10,5,0)</f>
        <v>Bin</v>
      </c>
      <c r="M57" s="14">
        <f t="shared" ref="M57:M60" si="1">J57/K57</f>
        <v>4</v>
      </c>
      <c r="N57" s="2"/>
      <c r="O57" s="2" t="s">
        <v>110</v>
      </c>
      <c r="P57" s="2" t="s">
        <v>209</v>
      </c>
    </row>
    <row r="58" spans="1:16" x14ac:dyDescent="0.25">
      <c r="A58" s="15" t="s">
        <v>275</v>
      </c>
      <c r="B58" s="18" t="s">
        <v>271</v>
      </c>
      <c r="C58" s="2" t="s">
        <v>26</v>
      </c>
      <c r="D58" s="2" t="str">
        <f>VLOOKUP($C58,Sheet1!$A$2:$B$10,2,0)</f>
        <v>116040-92240</v>
      </c>
      <c r="E58" s="8" t="s">
        <v>75</v>
      </c>
      <c r="F58" s="12">
        <v>45995</v>
      </c>
      <c r="G58" s="13">
        <v>0.69791666666666663</v>
      </c>
      <c r="H58" s="2" t="s">
        <v>76</v>
      </c>
      <c r="I58" s="2" t="s">
        <v>42</v>
      </c>
      <c r="J58" s="2">
        <v>6</v>
      </c>
      <c r="K58" s="14">
        <f>VLOOKUP($C58,Sheet1!$A$2:$D$10,4,0)</f>
        <v>6</v>
      </c>
      <c r="L58" s="14" t="str">
        <f>VLOOKUP($C58,Sheet1!$A$2:$E$10,5,0)</f>
        <v>Bin</v>
      </c>
      <c r="M58" s="14">
        <f t="shared" si="1"/>
        <v>1</v>
      </c>
      <c r="N58" s="2"/>
      <c r="O58" s="2" t="s">
        <v>110</v>
      </c>
      <c r="P58" s="2" t="s">
        <v>169</v>
      </c>
    </row>
    <row r="59" spans="1:16" x14ac:dyDescent="0.25">
      <c r="A59" s="15" t="s">
        <v>275</v>
      </c>
      <c r="B59" s="18" t="s">
        <v>272</v>
      </c>
      <c r="C59" s="2" t="s">
        <v>32</v>
      </c>
      <c r="D59" s="2" t="str">
        <f>VLOOKUP($C59,Sheet1!$A$2:$B$10,2,0)</f>
        <v>114010-50820</v>
      </c>
      <c r="E59" s="8" t="s">
        <v>82</v>
      </c>
      <c r="F59" s="12">
        <v>45995</v>
      </c>
      <c r="G59" s="13">
        <v>0.69791666666666663</v>
      </c>
      <c r="H59" s="2" t="s">
        <v>76</v>
      </c>
      <c r="I59" s="2" t="s">
        <v>42</v>
      </c>
      <c r="J59" s="2">
        <v>6</v>
      </c>
      <c r="K59" s="14">
        <f>VLOOKUP($C59,Sheet1!$A$2:$D$10,4,0)</f>
        <v>1</v>
      </c>
      <c r="L59" s="14" t="str">
        <f>VLOOKUP($C59,Sheet1!$A$2:$E$10,5,0)</f>
        <v>Bin</v>
      </c>
      <c r="M59" s="14">
        <f t="shared" si="1"/>
        <v>6</v>
      </c>
      <c r="N59" s="2"/>
      <c r="O59" s="2" t="s">
        <v>110</v>
      </c>
      <c r="P59" s="2" t="s">
        <v>170</v>
      </c>
    </row>
    <row r="60" spans="1:16" x14ac:dyDescent="0.25">
      <c r="A60" s="15" t="s">
        <v>275</v>
      </c>
      <c r="B60" s="18" t="s">
        <v>273</v>
      </c>
      <c r="C60" s="2" t="s">
        <v>29</v>
      </c>
      <c r="D60" s="2" t="str">
        <f>VLOOKUP($C60,Sheet1!$A$2:$B$10,2,0)</f>
        <v>114010-50830</v>
      </c>
      <c r="E60" s="8" t="s">
        <v>82</v>
      </c>
      <c r="F60" s="12">
        <v>45995</v>
      </c>
      <c r="G60" s="13">
        <v>0.69791666666666663</v>
      </c>
      <c r="H60" s="2" t="s">
        <v>76</v>
      </c>
      <c r="I60" s="2" t="s">
        <v>42</v>
      </c>
      <c r="J60" s="2">
        <v>1</v>
      </c>
      <c r="K60" s="14">
        <f>VLOOKUP($C60,Sheet1!$A$2:$D$10,4,0)</f>
        <v>1</v>
      </c>
      <c r="L60" s="14" t="str">
        <f>VLOOKUP($C60,Sheet1!$A$2:$E$10,5,0)</f>
        <v>Bin</v>
      </c>
      <c r="M60" s="14">
        <f t="shared" si="1"/>
        <v>1</v>
      </c>
      <c r="N60" s="2"/>
      <c r="O60" s="2" t="s">
        <v>110</v>
      </c>
      <c r="P60" s="2" t="s">
        <v>171</v>
      </c>
    </row>
    <row r="61" spans="1:16" s="11" customForma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>
        <v>16</v>
      </c>
      <c r="N61" s="10">
        <v>2</v>
      </c>
      <c r="O61" s="10"/>
      <c r="P61" s="10"/>
    </row>
    <row r="69" spans="1:1" x14ac:dyDescent="0.25">
      <c r="A69" t="s">
        <v>257</v>
      </c>
    </row>
  </sheetData>
  <mergeCells count="9">
    <mergeCell ref="N53:N54"/>
    <mergeCell ref="A1:F1"/>
    <mergeCell ref="J1:N1"/>
    <mergeCell ref="L2:N2"/>
    <mergeCell ref="N4:N5"/>
    <mergeCell ref="N6:N7"/>
    <mergeCell ref="N23:N24"/>
    <mergeCell ref="N33:N34"/>
    <mergeCell ref="N43:N44"/>
  </mergeCells>
  <phoneticPr fontId="5" type="noConversion"/>
  <conditionalFormatting sqref="B2">
    <cfRule type="duplicateValues" dxfId="111" priority="4"/>
    <cfRule type="duplicateValues" dxfId="110" priority="5"/>
  </conditionalFormatting>
  <conditionalFormatting sqref="B4:B21 B43:B51 B33:B41 B23:B31">
    <cfRule type="duplicateValues" dxfId="109" priority="3"/>
  </conditionalFormatting>
  <conditionalFormatting sqref="B53:B60">
    <cfRule type="duplicateValues" dxfId="108" priority="1"/>
  </conditionalFormatting>
  <conditionalFormatting sqref="C2:D2">
    <cfRule type="duplicateValues" dxfId="107" priority="6"/>
    <cfRule type="duplicateValues" dxfId="106" priority="7"/>
  </conditionalFormatting>
  <hyperlinks>
    <hyperlink ref="A69" r:id="rId1" display="http://192.168.1.248/downloads/temp/X539_eNagare_2025123.log" xr:uid="{00000000-0004-0000-0400-000000000000}"/>
  </hyperlinks>
  <pageMargins left="0.17" right="0.17" top="0.17" bottom="0.17" header="0.17" footer="0.17"/>
  <pageSetup paperSize="9" scale="51" orientation="landscape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66"/>
  <sheetViews>
    <sheetView topLeftCell="A22" workbookViewId="0">
      <selection activeCell="A4" sqref="A4:XFD56"/>
    </sheetView>
  </sheetViews>
  <sheetFormatPr defaultColWidth="62.7109375" defaultRowHeight="15" x14ac:dyDescent="0.25"/>
  <cols>
    <col min="1" max="1" width="15.140625" bestFit="1" customWidth="1"/>
    <col min="2" max="2" width="16.5703125" bestFit="1" customWidth="1"/>
    <col min="3" max="3" width="14.140625" bestFit="1" customWidth="1"/>
    <col min="4" max="4" width="14.140625" customWidth="1"/>
    <col min="5" max="5" width="32.5703125" bestFit="1" customWidth="1"/>
    <col min="6" max="6" width="9.7109375" bestFit="1" customWidth="1"/>
    <col min="7" max="7" width="7.7109375" bestFit="1" customWidth="1"/>
    <col min="8" max="8" width="10.7109375" bestFit="1" customWidth="1"/>
    <col min="9" max="9" width="4.7109375" bestFit="1" customWidth="1"/>
    <col min="10" max="10" width="6.42578125" customWidth="1"/>
    <col min="11" max="11" width="9" customWidth="1"/>
    <col min="12" max="12" width="11.28515625" customWidth="1"/>
    <col min="13" max="13" width="7.140625" bestFit="1" customWidth="1"/>
    <col min="14" max="14" width="7.85546875" bestFit="1" customWidth="1"/>
    <col min="15" max="15" width="10.7109375" customWidth="1"/>
    <col min="16" max="16" width="59.140625" customWidth="1"/>
  </cols>
  <sheetData>
    <row r="1" spans="1:16" ht="23.25" x14ac:dyDescent="0.25">
      <c r="A1" s="53" t="s">
        <v>93</v>
      </c>
      <c r="B1" s="53"/>
      <c r="C1" s="53"/>
      <c r="D1" s="53"/>
      <c r="E1" s="53"/>
      <c r="F1" s="53"/>
      <c r="G1" s="2"/>
      <c r="H1" s="2"/>
      <c r="I1" s="2"/>
      <c r="J1" s="54" t="s">
        <v>94</v>
      </c>
      <c r="K1" s="55"/>
      <c r="L1" s="55"/>
      <c r="M1" s="55"/>
      <c r="N1" s="55"/>
      <c r="O1" s="3"/>
      <c r="P1" s="4"/>
    </row>
    <row r="2" spans="1:16" ht="18" customHeight="1" x14ac:dyDescent="0.25">
      <c r="A2" s="5" t="s">
        <v>95</v>
      </c>
      <c r="B2" s="6">
        <v>45996</v>
      </c>
      <c r="C2" s="7"/>
      <c r="D2" s="7"/>
      <c r="E2" s="2"/>
      <c r="F2" s="8"/>
      <c r="G2" s="2"/>
      <c r="H2" s="2"/>
      <c r="I2" s="2"/>
      <c r="J2" s="2"/>
      <c r="K2" s="2"/>
      <c r="L2" s="56" t="s">
        <v>96</v>
      </c>
      <c r="M2" s="57"/>
      <c r="N2" s="58"/>
      <c r="O2" s="2"/>
      <c r="P2" s="2"/>
    </row>
    <row r="3" spans="1:16" s="11" customFormat="1" ht="30" x14ac:dyDescent="0.25">
      <c r="A3" s="10" t="s">
        <v>97</v>
      </c>
      <c r="B3" s="10" t="s">
        <v>35</v>
      </c>
      <c r="C3" s="10" t="s">
        <v>0</v>
      </c>
      <c r="D3" s="10" t="s">
        <v>98</v>
      </c>
      <c r="E3" s="10" t="s">
        <v>2</v>
      </c>
      <c r="F3" s="10" t="s">
        <v>36</v>
      </c>
      <c r="G3" s="10" t="s">
        <v>37</v>
      </c>
      <c r="H3" s="10" t="s">
        <v>38</v>
      </c>
      <c r="I3" s="10" t="s">
        <v>99</v>
      </c>
      <c r="J3" s="10" t="s">
        <v>100</v>
      </c>
      <c r="K3" s="10" t="s">
        <v>101</v>
      </c>
      <c r="L3" s="10" t="s">
        <v>102</v>
      </c>
      <c r="M3" s="10" t="s">
        <v>103</v>
      </c>
      <c r="N3" s="10" t="s">
        <v>104</v>
      </c>
      <c r="O3" s="10" t="s">
        <v>96</v>
      </c>
      <c r="P3" s="10" t="s">
        <v>105</v>
      </c>
    </row>
    <row r="4" spans="1:16" x14ac:dyDescent="0.25">
      <c r="A4" s="15" t="s">
        <v>323</v>
      </c>
      <c r="B4" s="18" t="s">
        <v>276</v>
      </c>
      <c r="C4" s="2" t="s">
        <v>5</v>
      </c>
      <c r="D4" s="2" t="str">
        <f>VLOOKUP($C4,Sheet1!$A$2:$B$10,2,0)</f>
        <v>141110-14600</v>
      </c>
      <c r="E4" s="8" t="s">
        <v>40</v>
      </c>
      <c r="F4" s="12">
        <v>45996</v>
      </c>
      <c r="G4" s="13">
        <v>0.27083333333333331</v>
      </c>
      <c r="H4" s="2" t="s">
        <v>41</v>
      </c>
      <c r="I4" s="2" t="s">
        <v>42</v>
      </c>
      <c r="J4" s="2">
        <v>18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1">
        <v>1</v>
      </c>
      <c r="O4" s="2" t="s">
        <v>111</v>
      </c>
      <c r="P4" s="2" t="s">
        <v>167</v>
      </c>
    </row>
    <row r="5" spans="1:16" x14ac:dyDescent="0.25">
      <c r="A5" s="15" t="s">
        <v>323</v>
      </c>
      <c r="B5" s="18" t="s">
        <v>279</v>
      </c>
      <c r="C5" s="2" t="s">
        <v>9</v>
      </c>
      <c r="D5" s="2" t="str">
        <f>VLOOKUP($C5,Sheet1!$A$2:$B$10,2,0)</f>
        <v>141120-14600</v>
      </c>
      <c r="E5" s="8" t="s">
        <v>47</v>
      </c>
      <c r="F5" s="12">
        <v>45996</v>
      </c>
      <c r="G5" s="13">
        <v>0.27083333333333331</v>
      </c>
      <c r="H5" s="2" t="s">
        <v>41</v>
      </c>
      <c r="I5" s="2" t="s">
        <v>42</v>
      </c>
      <c r="J5" s="2">
        <v>18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2"/>
      <c r="O5" s="2" t="s">
        <v>111</v>
      </c>
      <c r="P5" s="2" t="s">
        <v>167</v>
      </c>
    </row>
    <row r="6" spans="1:16" x14ac:dyDescent="0.25">
      <c r="A6" s="15" t="s">
        <v>323</v>
      </c>
      <c r="B6" s="18" t="s">
        <v>282</v>
      </c>
      <c r="C6" s="2" t="s">
        <v>12</v>
      </c>
      <c r="D6" s="2" t="str">
        <f>VLOOKUP($C6,Sheet1!$A$2:$B$10,2,0)</f>
        <v>141185-74670</v>
      </c>
      <c r="E6" s="8" t="s">
        <v>52</v>
      </c>
      <c r="F6" s="12">
        <v>45996</v>
      </c>
      <c r="G6" s="13">
        <v>0.27083333333333331</v>
      </c>
      <c r="H6" s="2" t="s">
        <v>41</v>
      </c>
      <c r="I6" s="2" t="s">
        <v>42</v>
      </c>
      <c r="J6" s="2">
        <v>40</v>
      </c>
      <c r="K6" s="14">
        <f>VLOOKUP($C6,Sheet1!$A$2:$D$10,4,0)</f>
        <v>40</v>
      </c>
      <c r="L6" s="14" t="str">
        <f>VLOOKUP($C6,Sheet1!$A$2:$E$10,5,0)</f>
        <v>Trolley</v>
      </c>
      <c r="M6" s="14"/>
      <c r="N6" s="2">
        <f>J6/K6</f>
        <v>1</v>
      </c>
      <c r="O6" s="2" t="s">
        <v>111</v>
      </c>
      <c r="P6" s="2">
        <v>910102786</v>
      </c>
    </row>
    <row r="7" spans="1:16" x14ac:dyDescent="0.25">
      <c r="A7" s="15" t="s">
        <v>323</v>
      </c>
      <c r="B7" s="18" t="s">
        <v>286</v>
      </c>
      <c r="C7" s="2" t="s">
        <v>16</v>
      </c>
      <c r="D7" s="2" t="str">
        <f>VLOOKUP($C7,Sheet1!$A$2:$B$10,2,0)</f>
        <v>141140-91211</v>
      </c>
      <c r="E7" s="8" t="s">
        <v>57</v>
      </c>
      <c r="F7" s="12">
        <v>45996</v>
      </c>
      <c r="G7" s="13">
        <v>0.27083333333333331</v>
      </c>
      <c r="H7" s="2" t="s">
        <v>58</v>
      </c>
      <c r="I7" s="2" t="s">
        <v>42</v>
      </c>
      <c r="J7" s="2">
        <v>24</v>
      </c>
      <c r="K7" s="14">
        <f>VLOOKUP($C7,Sheet1!$A$2:$D$10,4,0)</f>
        <v>2</v>
      </c>
      <c r="L7" s="14" t="str">
        <f>VLOOKUP($C7,Sheet1!$A$2:$E$10,5,0)</f>
        <v>Bin</v>
      </c>
      <c r="M7" s="14">
        <f>J7/K7</f>
        <v>12</v>
      </c>
      <c r="N7" s="2"/>
      <c r="O7" s="2" t="s">
        <v>111</v>
      </c>
      <c r="P7" s="2" t="s">
        <v>209</v>
      </c>
    </row>
    <row r="8" spans="1:16" x14ac:dyDescent="0.25">
      <c r="A8" s="15" t="s">
        <v>323</v>
      </c>
      <c r="B8" s="18" t="s">
        <v>287</v>
      </c>
      <c r="C8" s="2" t="s">
        <v>16</v>
      </c>
      <c r="D8" s="2" t="str">
        <f>VLOOKUP($C8,Sheet1!$A$2:$B$10,2,0)</f>
        <v>141140-91211</v>
      </c>
      <c r="E8" s="8" t="s">
        <v>57</v>
      </c>
      <c r="F8" s="12">
        <v>45996</v>
      </c>
      <c r="G8" s="13">
        <v>0.27083333333333331</v>
      </c>
      <c r="H8" s="2" t="s">
        <v>58</v>
      </c>
      <c r="I8" s="2" t="s">
        <v>42</v>
      </c>
      <c r="J8" s="2">
        <v>12</v>
      </c>
      <c r="K8" s="14">
        <f>VLOOKUP($C8,Sheet1!$A$2:$D$10,4,0)</f>
        <v>2</v>
      </c>
      <c r="L8" s="14" t="str">
        <f>VLOOKUP($C8,Sheet1!$A$2:$E$10,5,0)</f>
        <v>Bin</v>
      </c>
      <c r="M8" s="14">
        <f t="shared" ref="M8:M10" si="0">J8/K8</f>
        <v>6</v>
      </c>
      <c r="N8" s="2"/>
      <c r="O8" s="2" t="s">
        <v>111</v>
      </c>
      <c r="P8" s="2" t="s">
        <v>209</v>
      </c>
    </row>
    <row r="9" spans="1:16" x14ac:dyDescent="0.25">
      <c r="A9" s="15" t="s">
        <v>323</v>
      </c>
      <c r="B9" s="18" t="s">
        <v>291</v>
      </c>
      <c r="C9" s="2" t="s">
        <v>20</v>
      </c>
      <c r="D9" s="2" t="str">
        <f>VLOOKUP($C9,Sheet1!$A$2:$B$10,2,0)</f>
        <v>141150-91211</v>
      </c>
      <c r="E9" s="8" t="s">
        <v>64</v>
      </c>
      <c r="F9" s="12">
        <v>45996</v>
      </c>
      <c r="G9" s="13">
        <v>0.27083333333333331</v>
      </c>
      <c r="H9" s="2" t="s">
        <v>58</v>
      </c>
      <c r="I9" s="2" t="s">
        <v>42</v>
      </c>
      <c r="J9" s="2">
        <v>24</v>
      </c>
      <c r="K9" s="14">
        <f>VLOOKUP($C9,Sheet1!$A$2:$D$10,4,0)</f>
        <v>2</v>
      </c>
      <c r="L9" s="14" t="str">
        <f>VLOOKUP($C9,Sheet1!$A$2:$E$10,5,0)</f>
        <v>Bin</v>
      </c>
      <c r="M9" s="14">
        <f t="shared" si="0"/>
        <v>12</v>
      </c>
      <c r="N9" s="2"/>
      <c r="O9" s="2" t="s">
        <v>111</v>
      </c>
      <c r="P9" s="2" t="s">
        <v>209</v>
      </c>
    </row>
    <row r="10" spans="1:16" x14ac:dyDescent="0.25">
      <c r="A10" s="15" t="s">
        <v>323</v>
      </c>
      <c r="B10" s="18" t="s">
        <v>292</v>
      </c>
      <c r="C10" s="2" t="s">
        <v>20</v>
      </c>
      <c r="D10" s="2" t="str">
        <f>VLOOKUP($C10,Sheet1!$A$2:$B$10,2,0)</f>
        <v>141150-91211</v>
      </c>
      <c r="E10" s="8" t="s">
        <v>64</v>
      </c>
      <c r="F10" s="12">
        <v>45996</v>
      </c>
      <c r="G10" s="13">
        <v>0.27083333333333331</v>
      </c>
      <c r="H10" s="2" t="s">
        <v>58</v>
      </c>
      <c r="I10" s="2" t="s">
        <v>42</v>
      </c>
      <c r="J10" s="2">
        <v>12</v>
      </c>
      <c r="K10" s="14">
        <f>VLOOKUP($C10,Sheet1!$A$2:$D$10,4,0)</f>
        <v>2</v>
      </c>
      <c r="L10" s="14" t="str">
        <f>VLOOKUP($C10,Sheet1!$A$2:$E$10,5,0)</f>
        <v>Bin</v>
      </c>
      <c r="M10" s="14">
        <f t="shared" si="0"/>
        <v>6</v>
      </c>
      <c r="N10" s="2"/>
      <c r="O10" s="2" t="s">
        <v>111</v>
      </c>
      <c r="P10" s="2" t="s">
        <v>209</v>
      </c>
    </row>
    <row r="11" spans="1:16" x14ac:dyDescent="0.25">
      <c r="A11" s="15" t="s">
        <v>323</v>
      </c>
      <c r="B11" s="18" t="s">
        <v>296</v>
      </c>
      <c r="C11" s="2" t="s">
        <v>23</v>
      </c>
      <c r="D11" s="2" t="str">
        <f>VLOOKUP($C11,Sheet1!$A$2:$B$10,2,0)</f>
        <v>141186-74360</v>
      </c>
      <c r="E11" s="8" t="s">
        <v>70</v>
      </c>
      <c r="F11" s="12">
        <v>45996</v>
      </c>
      <c r="G11" s="13">
        <v>0.27083333333333331</v>
      </c>
      <c r="H11" s="2" t="s">
        <v>58</v>
      </c>
      <c r="I11" s="2" t="s">
        <v>42</v>
      </c>
      <c r="J11" s="2">
        <v>40</v>
      </c>
      <c r="K11" s="14">
        <f>VLOOKUP($C11,Sheet1!$A$2:$D$10,4,0)</f>
        <v>40</v>
      </c>
      <c r="L11" s="14" t="str">
        <f>VLOOKUP($C11,Sheet1!$A$2:$E$10,5,0)</f>
        <v>Trolley</v>
      </c>
      <c r="M11" s="14"/>
      <c r="N11" s="2">
        <f t="shared" ref="N11:N12" si="1">J11/K11</f>
        <v>1</v>
      </c>
      <c r="O11" s="2" t="s">
        <v>111</v>
      </c>
      <c r="P11" s="2">
        <v>910100578</v>
      </c>
    </row>
    <row r="12" spans="1:16" x14ac:dyDescent="0.25">
      <c r="A12" s="15" t="s">
        <v>323</v>
      </c>
      <c r="B12" s="18" t="s">
        <v>297</v>
      </c>
      <c r="C12" s="2" t="s">
        <v>23</v>
      </c>
      <c r="D12" s="2" t="str">
        <f>VLOOKUP($C12,Sheet1!$A$2:$B$10,2,0)</f>
        <v>141186-74360</v>
      </c>
      <c r="E12" s="8" t="s">
        <v>70</v>
      </c>
      <c r="F12" s="12">
        <v>45996</v>
      </c>
      <c r="G12" s="13">
        <v>0.27083333333333331</v>
      </c>
      <c r="H12" s="2" t="s">
        <v>58</v>
      </c>
      <c r="I12" s="2" t="s">
        <v>42</v>
      </c>
      <c r="J12" s="2">
        <v>40</v>
      </c>
      <c r="K12" s="14">
        <f>VLOOKUP($C12,Sheet1!$A$2:$D$10,4,0)</f>
        <v>40</v>
      </c>
      <c r="L12" s="14" t="str">
        <f>VLOOKUP($C12,Sheet1!$A$2:$E$10,5,0)</f>
        <v>Trolley</v>
      </c>
      <c r="M12" s="14"/>
      <c r="N12" s="2">
        <f t="shared" si="1"/>
        <v>1</v>
      </c>
      <c r="O12" s="2" t="s">
        <v>111</v>
      </c>
      <c r="P12" s="2" t="s">
        <v>396</v>
      </c>
    </row>
    <row r="13" spans="1:16" x14ac:dyDescent="0.25">
      <c r="A13" s="15" t="s">
        <v>324</v>
      </c>
      <c r="B13" s="18" t="s">
        <v>301</v>
      </c>
      <c r="C13" s="2" t="s">
        <v>26</v>
      </c>
      <c r="D13" s="2" t="str">
        <f>VLOOKUP($C13,Sheet1!$A$2:$B$10,2,0)</f>
        <v>116040-92240</v>
      </c>
      <c r="E13" s="8" t="s">
        <v>75</v>
      </c>
      <c r="F13" s="12">
        <v>45996</v>
      </c>
      <c r="G13" s="13">
        <v>0.27083333333333331</v>
      </c>
      <c r="H13" s="2" t="s">
        <v>76</v>
      </c>
      <c r="I13" s="2" t="s">
        <v>42</v>
      </c>
      <c r="J13" s="2">
        <v>24</v>
      </c>
      <c r="K13" s="14">
        <f>VLOOKUP($C13,Sheet1!$A$2:$D$10,4,0)</f>
        <v>6</v>
      </c>
      <c r="L13" s="14" t="str">
        <f>VLOOKUP($C13,Sheet1!$A$2:$E$10,5,0)</f>
        <v>Bin</v>
      </c>
      <c r="M13" s="14">
        <f t="shared" ref="M13:M18" si="2">J13/K13</f>
        <v>4</v>
      </c>
      <c r="N13" s="2"/>
      <c r="O13" s="2" t="s">
        <v>111</v>
      </c>
      <c r="P13" s="2" t="s">
        <v>169</v>
      </c>
    </row>
    <row r="14" spans="1:16" x14ac:dyDescent="0.25">
      <c r="A14" s="15" t="s">
        <v>324</v>
      </c>
      <c r="B14" s="18" t="s">
        <v>302</v>
      </c>
      <c r="C14" s="2" t="s">
        <v>26</v>
      </c>
      <c r="D14" s="2" t="str">
        <f>VLOOKUP($C14,Sheet1!$A$2:$B$10,2,0)</f>
        <v>116040-92240</v>
      </c>
      <c r="E14" s="8" t="s">
        <v>75</v>
      </c>
      <c r="F14" s="12">
        <v>45996</v>
      </c>
      <c r="G14" s="13">
        <v>0.27083333333333331</v>
      </c>
      <c r="H14" s="2" t="s">
        <v>76</v>
      </c>
      <c r="I14" s="2" t="s">
        <v>42</v>
      </c>
      <c r="J14" s="2">
        <v>12</v>
      </c>
      <c r="K14" s="14">
        <f>VLOOKUP($C14,Sheet1!$A$2:$D$10,4,0)</f>
        <v>6</v>
      </c>
      <c r="L14" s="14" t="str">
        <f>VLOOKUP($C14,Sheet1!$A$2:$E$10,5,0)</f>
        <v>Bin</v>
      </c>
      <c r="M14" s="14">
        <f t="shared" si="2"/>
        <v>2</v>
      </c>
      <c r="N14" s="2"/>
      <c r="O14" s="2" t="s">
        <v>111</v>
      </c>
      <c r="P14" s="2" t="s">
        <v>169</v>
      </c>
    </row>
    <row r="15" spans="1:16" x14ac:dyDescent="0.25">
      <c r="A15" s="15" t="s">
        <v>324</v>
      </c>
      <c r="B15" s="18" t="s">
        <v>306</v>
      </c>
      <c r="C15" s="2" t="s">
        <v>32</v>
      </c>
      <c r="D15" s="2" t="str">
        <f>VLOOKUP($C15,Sheet1!$A$2:$B$10,2,0)</f>
        <v>114010-50820</v>
      </c>
      <c r="E15" s="8" t="s">
        <v>82</v>
      </c>
      <c r="F15" s="12">
        <v>45996</v>
      </c>
      <c r="G15" s="13">
        <v>0.27083333333333331</v>
      </c>
      <c r="H15" s="2" t="s">
        <v>76</v>
      </c>
      <c r="I15" s="2" t="s">
        <v>42</v>
      </c>
      <c r="J15" s="2">
        <v>14</v>
      </c>
      <c r="K15" s="14">
        <f>VLOOKUP($C15,Sheet1!$A$2:$D$10,4,0)</f>
        <v>1</v>
      </c>
      <c r="L15" s="14" t="str">
        <f>VLOOKUP($C15,Sheet1!$A$2:$E$10,5,0)</f>
        <v>Bin</v>
      </c>
      <c r="M15" s="14">
        <f t="shared" si="2"/>
        <v>14</v>
      </c>
      <c r="N15" s="2"/>
      <c r="O15" s="2" t="s">
        <v>111</v>
      </c>
      <c r="P15" s="2" t="s">
        <v>170</v>
      </c>
    </row>
    <row r="16" spans="1:16" x14ac:dyDescent="0.25">
      <c r="A16" s="15" t="s">
        <v>324</v>
      </c>
      <c r="B16" s="18" t="s">
        <v>307</v>
      </c>
      <c r="C16" s="2" t="s">
        <v>32</v>
      </c>
      <c r="D16" s="2" t="str">
        <f>VLOOKUP($C16,Sheet1!$A$2:$B$10,2,0)</f>
        <v>114010-50820</v>
      </c>
      <c r="E16" s="8" t="s">
        <v>82</v>
      </c>
      <c r="F16" s="12">
        <v>45996</v>
      </c>
      <c r="G16" s="13">
        <v>0.27083333333333331</v>
      </c>
      <c r="H16" s="2" t="s">
        <v>76</v>
      </c>
      <c r="I16" s="2" t="s">
        <v>42</v>
      </c>
      <c r="J16" s="2">
        <v>1</v>
      </c>
      <c r="K16" s="14">
        <f>VLOOKUP($C16,Sheet1!$A$2:$D$10,4,0)</f>
        <v>1</v>
      </c>
      <c r="L16" s="14" t="str">
        <f>VLOOKUP($C16,Sheet1!$A$2:$E$10,5,0)</f>
        <v>Bin</v>
      </c>
      <c r="M16" s="14">
        <f t="shared" si="2"/>
        <v>1</v>
      </c>
      <c r="N16" s="2"/>
      <c r="O16" s="2" t="s">
        <v>111</v>
      </c>
      <c r="P16" s="2" t="s">
        <v>170</v>
      </c>
    </row>
    <row r="17" spans="1:16" x14ac:dyDescent="0.25">
      <c r="A17" s="15" t="s">
        <v>324</v>
      </c>
      <c r="B17" s="18" t="s">
        <v>311</v>
      </c>
      <c r="C17" s="2" t="s">
        <v>29</v>
      </c>
      <c r="D17" s="2" t="str">
        <f>VLOOKUP($C17,Sheet1!$A$2:$B$10,2,0)</f>
        <v>114010-50830</v>
      </c>
      <c r="E17" s="8" t="s">
        <v>82</v>
      </c>
      <c r="F17" s="12">
        <v>45996</v>
      </c>
      <c r="G17" s="13">
        <v>0.27083333333333331</v>
      </c>
      <c r="H17" s="2" t="s">
        <v>76</v>
      </c>
      <c r="I17" s="2" t="s">
        <v>42</v>
      </c>
      <c r="J17" s="2">
        <v>9</v>
      </c>
      <c r="K17" s="14">
        <f>VLOOKUP($C17,Sheet1!$A$2:$D$10,4,0)</f>
        <v>1</v>
      </c>
      <c r="L17" s="14" t="str">
        <f>VLOOKUP($C17,Sheet1!$A$2:$E$10,5,0)</f>
        <v>Bin</v>
      </c>
      <c r="M17" s="14">
        <f t="shared" si="2"/>
        <v>9</v>
      </c>
      <c r="N17" s="2"/>
      <c r="O17" s="2" t="s">
        <v>111</v>
      </c>
      <c r="P17" s="2" t="s">
        <v>171</v>
      </c>
    </row>
    <row r="18" spans="1:16" x14ac:dyDescent="0.25">
      <c r="A18" s="15" t="s">
        <v>324</v>
      </c>
      <c r="B18" s="18" t="s">
        <v>312</v>
      </c>
      <c r="C18" s="2" t="s">
        <v>29</v>
      </c>
      <c r="D18" s="2" t="str">
        <f>VLOOKUP($C18,Sheet1!$A$2:$B$10,2,0)</f>
        <v>114010-50830</v>
      </c>
      <c r="E18" s="8" t="s">
        <v>82</v>
      </c>
      <c r="F18" s="12">
        <v>45996</v>
      </c>
      <c r="G18" s="13">
        <v>0.27083333333333331</v>
      </c>
      <c r="H18" s="2" t="s">
        <v>76</v>
      </c>
      <c r="I18" s="2" t="s">
        <v>42</v>
      </c>
      <c r="J18" s="2">
        <v>11</v>
      </c>
      <c r="K18" s="14">
        <f>VLOOKUP($C18,Sheet1!$A$2:$D$10,4,0)</f>
        <v>1</v>
      </c>
      <c r="L18" s="14" t="str">
        <f>VLOOKUP($C18,Sheet1!$A$2:$E$10,5,0)</f>
        <v>Bin</v>
      </c>
      <c r="M18" s="14">
        <f t="shared" si="2"/>
        <v>11</v>
      </c>
      <c r="N18" s="2"/>
      <c r="O18" s="2" t="s">
        <v>111</v>
      </c>
      <c r="P18" s="2" t="s">
        <v>171</v>
      </c>
    </row>
    <row r="19" spans="1:16" s="11" customFormat="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>
        <v>77</v>
      </c>
      <c r="N19" s="10">
        <v>4</v>
      </c>
      <c r="O19" s="10"/>
      <c r="P19" s="10"/>
    </row>
    <row r="20" spans="1:16" x14ac:dyDescent="0.25">
      <c r="A20" s="15" t="s">
        <v>325</v>
      </c>
      <c r="B20" s="18" t="s">
        <v>277</v>
      </c>
      <c r="C20" s="2" t="s">
        <v>5</v>
      </c>
      <c r="D20" s="2" t="str">
        <f>VLOOKUP($C20,Sheet1!$A$2:$B$10,2,0)</f>
        <v>141110-14600</v>
      </c>
      <c r="E20" s="8" t="s">
        <v>40</v>
      </c>
      <c r="F20" s="12">
        <v>45996</v>
      </c>
      <c r="G20" s="13">
        <v>0.47916666666666669</v>
      </c>
      <c r="H20" s="2" t="s">
        <v>41</v>
      </c>
      <c r="I20" s="2" t="s">
        <v>42</v>
      </c>
      <c r="J20" s="2">
        <v>36</v>
      </c>
      <c r="K20" s="14">
        <f>VLOOKUP($C20,Sheet1!$A$2:$D$10,4,0)</f>
        <v>18</v>
      </c>
      <c r="L20" s="14" t="str">
        <f>VLOOKUP($C20,Sheet1!$A$2:$E$10,5,0)</f>
        <v>Trolley (H)</v>
      </c>
      <c r="M20" s="14"/>
      <c r="N20" s="51">
        <v>2</v>
      </c>
      <c r="O20" s="2" t="s">
        <v>157</v>
      </c>
      <c r="P20" s="2" t="s">
        <v>167</v>
      </c>
    </row>
    <row r="21" spans="1:16" x14ac:dyDescent="0.25">
      <c r="A21" s="15" t="s">
        <v>325</v>
      </c>
      <c r="B21" s="18" t="s">
        <v>280</v>
      </c>
      <c r="C21" s="2" t="s">
        <v>9</v>
      </c>
      <c r="D21" s="2" t="str">
        <f>VLOOKUP($C21,Sheet1!$A$2:$B$10,2,0)</f>
        <v>141120-14600</v>
      </c>
      <c r="E21" s="8" t="s">
        <v>47</v>
      </c>
      <c r="F21" s="12">
        <v>45996</v>
      </c>
      <c r="G21" s="13">
        <v>0.47916666666666669</v>
      </c>
      <c r="H21" s="2" t="s">
        <v>41</v>
      </c>
      <c r="I21" s="2" t="s">
        <v>42</v>
      </c>
      <c r="J21" s="2">
        <v>36</v>
      </c>
      <c r="K21" s="14">
        <f>VLOOKUP($C21,Sheet1!$A$2:$D$10,4,0)</f>
        <v>18</v>
      </c>
      <c r="L21" s="14" t="str">
        <f>VLOOKUP($C21,Sheet1!$A$2:$E$10,5,0)</f>
        <v>Trolley (H)</v>
      </c>
      <c r="M21" s="14"/>
      <c r="N21" s="52"/>
      <c r="O21" s="2" t="s">
        <v>157</v>
      </c>
      <c r="P21" s="2" t="s">
        <v>167</v>
      </c>
    </row>
    <row r="22" spans="1:16" x14ac:dyDescent="0.25">
      <c r="A22" s="15" t="s">
        <v>325</v>
      </c>
      <c r="B22" s="18" t="s">
        <v>283</v>
      </c>
      <c r="C22" s="2" t="s">
        <v>12</v>
      </c>
      <c r="D22" s="2" t="str">
        <f>VLOOKUP($C22,Sheet1!$A$2:$B$10,2,0)</f>
        <v>141185-74670</v>
      </c>
      <c r="E22" s="8" t="s">
        <v>52</v>
      </c>
      <c r="F22" s="12">
        <v>45996</v>
      </c>
      <c r="G22" s="13">
        <v>0.47916666666666669</v>
      </c>
      <c r="H22" s="2" t="s">
        <v>41</v>
      </c>
      <c r="I22" s="2" t="s">
        <v>42</v>
      </c>
      <c r="J22" s="2">
        <v>40</v>
      </c>
      <c r="K22" s="14">
        <f>VLOOKUP($C22,Sheet1!$A$2:$D$10,4,0)</f>
        <v>40</v>
      </c>
      <c r="L22" s="14" t="str">
        <f>VLOOKUP($C22,Sheet1!$A$2:$E$10,5,0)</f>
        <v>Trolley</v>
      </c>
      <c r="M22" s="14"/>
      <c r="N22" s="2">
        <f>J22/K22</f>
        <v>1</v>
      </c>
      <c r="O22" s="2" t="s">
        <v>157</v>
      </c>
      <c r="P22" s="2">
        <v>910102786</v>
      </c>
    </row>
    <row r="23" spans="1:16" x14ac:dyDescent="0.25">
      <c r="A23" s="15" t="s">
        <v>325</v>
      </c>
      <c r="B23" s="18" t="s">
        <v>288</v>
      </c>
      <c r="C23" s="2" t="s">
        <v>16</v>
      </c>
      <c r="D23" s="2" t="str">
        <f>VLOOKUP($C23,Sheet1!$A$2:$B$10,2,0)</f>
        <v>141140-91211</v>
      </c>
      <c r="E23" s="8" t="s">
        <v>57</v>
      </c>
      <c r="F23" s="12">
        <v>45996</v>
      </c>
      <c r="G23" s="13">
        <v>0.47916666666666669</v>
      </c>
      <c r="H23" s="2" t="s">
        <v>58</v>
      </c>
      <c r="I23" s="2" t="s">
        <v>42</v>
      </c>
      <c r="J23" s="2">
        <v>20</v>
      </c>
      <c r="K23" s="14">
        <f>VLOOKUP($C23,Sheet1!$A$2:$D$10,4,0)</f>
        <v>2</v>
      </c>
      <c r="L23" s="14" t="str">
        <f>VLOOKUP($C23,Sheet1!$A$2:$E$10,5,0)</f>
        <v>Bin</v>
      </c>
      <c r="M23" s="14">
        <f t="shared" ref="M23:M24" si="3">J23/K23</f>
        <v>10</v>
      </c>
      <c r="N23" s="2"/>
      <c r="O23" s="2" t="s">
        <v>157</v>
      </c>
      <c r="P23" s="2" t="s">
        <v>209</v>
      </c>
    </row>
    <row r="24" spans="1:16" x14ac:dyDescent="0.25">
      <c r="A24" s="15" t="s">
        <v>325</v>
      </c>
      <c r="B24" s="18" t="s">
        <v>293</v>
      </c>
      <c r="C24" s="2" t="s">
        <v>20</v>
      </c>
      <c r="D24" s="2" t="str">
        <f>VLOOKUP($C24,Sheet1!$A$2:$B$10,2,0)</f>
        <v>141150-91211</v>
      </c>
      <c r="E24" s="8" t="s">
        <v>64</v>
      </c>
      <c r="F24" s="12">
        <v>45996</v>
      </c>
      <c r="G24" s="13">
        <v>0.47916666666666669</v>
      </c>
      <c r="H24" s="2" t="s">
        <v>58</v>
      </c>
      <c r="I24" s="2" t="s">
        <v>42</v>
      </c>
      <c r="J24" s="2">
        <v>20</v>
      </c>
      <c r="K24" s="14">
        <f>VLOOKUP($C24,Sheet1!$A$2:$D$10,4,0)</f>
        <v>2</v>
      </c>
      <c r="L24" s="14" t="str">
        <f>VLOOKUP($C24,Sheet1!$A$2:$E$10,5,0)</f>
        <v>Bin</v>
      </c>
      <c r="M24" s="14">
        <f t="shared" si="3"/>
        <v>10</v>
      </c>
      <c r="N24" s="2"/>
      <c r="O24" s="2" t="s">
        <v>157</v>
      </c>
      <c r="P24" s="2" t="s">
        <v>209</v>
      </c>
    </row>
    <row r="25" spans="1:16" x14ac:dyDescent="0.25">
      <c r="A25" s="15" t="s">
        <v>325</v>
      </c>
      <c r="B25" s="18" t="s">
        <v>298</v>
      </c>
      <c r="C25" s="2" t="s">
        <v>23</v>
      </c>
      <c r="D25" s="2" t="str">
        <f>VLOOKUP($C25,Sheet1!$A$2:$B$10,2,0)</f>
        <v>141186-74360</v>
      </c>
      <c r="E25" s="8" t="s">
        <v>70</v>
      </c>
      <c r="F25" s="12">
        <v>45996</v>
      </c>
      <c r="G25" s="13">
        <v>0.47916666666666669</v>
      </c>
      <c r="H25" s="2" t="s">
        <v>58</v>
      </c>
      <c r="I25" s="2" t="s">
        <v>42</v>
      </c>
      <c r="J25" s="2">
        <v>40</v>
      </c>
      <c r="K25" s="14">
        <f>VLOOKUP($C25,Sheet1!$A$2:$D$10,4,0)</f>
        <v>40</v>
      </c>
      <c r="L25" s="14" t="str">
        <f>VLOOKUP($C25,Sheet1!$A$2:$E$10,5,0)</f>
        <v>Trolley</v>
      </c>
      <c r="M25" s="14"/>
      <c r="N25" s="2">
        <f>J25/K25</f>
        <v>1</v>
      </c>
      <c r="O25" s="2" t="s">
        <v>157</v>
      </c>
      <c r="P25" s="2">
        <v>910101143</v>
      </c>
    </row>
    <row r="26" spans="1:16" x14ac:dyDescent="0.25">
      <c r="A26" s="15" t="s">
        <v>326</v>
      </c>
      <c r="B26" s="18" t="s">
        <v>303</v>
      </c>
      <c r="C26" s="2" t="s">
        <v>26</v>
      </c>
      <c r="D26" s="2" t="str">
        <f>VLOOKUP($C26,Sheet1!$A$2:$B$10,2,0)</f>
        <v>116040-92240</v>
      </c>
      <c r="E26" s="8" t="s">
        <v>75</v>
      </c>
      <c r="F26" s="12">
        <v>45996</v>
      </c>
      <c r="G26" s="13">
        <v>0.47916666666666669</v>
      </c>
      <c r="H26" s="2" t="s">
        <v>76</v>
      </c>
      <c r="I26" s="2" t="s">
        <v>42</v>
      </c>
      <c r="J26" s="2">
        <v>24</v>
      </c>
      <c r="K26" s="14">
        <f>VLOOKUP($C26,Sheet1!$A$2:$D$10,4,0)</f>
        <v>6</v>
      </c>
      <c r="L26" s="14" t="str">
        <f>VLOOKUP($C26,Sheet1!$A$2:$E$10,5,0)</f>
        <v>Bin</v>
      </c>
      <c r="M26" s="14">
        <f t="shared" ref="M26:M28" si="4">J26/K26</f>
        <v>4</v>
      </c>
      <c r="N26" s="2"/>
      <c r="O26" s="2" t="s">
        <v>157</v>
      </c>
      <c r="P26" s="2" t="s">
        <v>169</v>
      </c>
    </row>
    <row r="27" spans="1:16" x14ac:dyDescent="0.25">
      <c r="A27" s="15" t="s">
        <v>326</v>
      </c>
      <c r="B27" s="18" t="s">
        <v>308</v>
      </c>
      <c r="C27" s="2" t="s">
        <v>32</v>
      </c>
      <c r="D27" s="2" t="str">
        <f>VLOOKUP($C27,Sheet1!$A$2:$B$10,2,0)</f>
        <v>114010-50820</v>
      </c>
      <c r="E27" s="8" t="s">
        <v>82</v>
      </c>
      <c r="F27" s="12">
        <v>45996</v>
      </c>
      <c r="G27" s="13">
        <v>0.47916666666666669</v>
      </c>
      <c r="H27" s="2" t="s">
        <v>76</v>
      </c>
      <c r="I27" s="2" t="s">
        <v>42</v>
      </c>
      <c r="J27" s="2">
        <v>2</v>
      </c>
      <c r="K27" s="14">
        <f>VLOOKUP($C27,Sheet1!$A$2:$D$10,4,0)</f>
        <v>1</v>
      </c>
      <c r="L27" s="14" t="str">
        <f>VLOOKUP($C27,Sheet1!$A$2:$E$10,5,0)</f>
        <v>Bin</v>
      </c>
      <c r="M27" s="14">
        <f t="shared" si="4"/>
        <v>2</v>
      </c>
      <c r="N27" s="2"/>
      <c r="O27" s="2" t="s">
        <v>157</v>
      </c>
      <c r="P27" s="2" t="s">
        <v>170</v>
      </c>
    </row>
    <row r="28" spans="1:16" x14ac:dyDescent="0.25">
      <c r="A28" s="15" t="s">
        <v>326</v>
      </c>
      <c r="B28" s="18" t="s">
        <v>313</v>
      </c>
      <c r="C28" s="2" t="s">
        <v>29</v>
      </c>
      <c r="D28" s="2" t="str">
        <f>VLOOKUP($C28,Sheet1!$A$2:$B$10,2,0)</f>
        <v>114010-50830</v>
      </c>
      <c r="E28" s="8" t="s">
        <v>82</v>
      </c>
      <c r="F28" s="12">
        <v>45996</v>
      </c>
      <c r="G28" s="13">
        <v>0.47916666666666669</v>
      </c>
      <c r="H28" s="2" t="s">
        <v>76</v>
      </c>
      <c r="I28" s="2" t="s">
        <v>42</v>
      </c>
      <c r="J28" s="2">
        <v>18</v>
      </c>
      <c r="K28" s="14">
        <f>VLOOKUP($C28,Sheet1!$A$2:$D$10,4,0)</f>
        <v>1</v>
      </c>
      <c r="L28" s="14" t="str">
        <f>VLOOKUP($C28,Sheet1!$A$2:$E$10,5,0)</f>
        <v>Bin</v>
      </c>
      <c r="M28" s="14">
        <f t="shared" si="4"/>
        <v>18</v>
      </c>
      <c r="N28" s="2"/>
      <c r="O28" s="2" t="s">
        <v>157</v>
      </c>
      <c r="P28" s="2" t="s">
        <v>171</v>
      </c>
    </row>
    <row r="29" spans="1:16" s="11" customForma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>
        <v>44</v>
      </c>
      <c r="N29" s="10">
        <v>4</v>
      </c>
      <c r="O29" s="10"/>
      <c r="P29" s="10"/>
    </row>
    <row r="30" spans="1:16" x14ac:dyDescent="0.25">
      <c r="A30" s="15" t="s">
        <v>327</v>
      </c>
      <c r="B30" s="18" t="s">
        <v>278</v>
      </c>
      <c r="C30" s="2" t="s">
        <v>5</v>
      </c>
      <c r="D30" s="2" t="str">
        <f>VLOOKUP($C30,Sheet1!$A$2:$B$10,2,0)</f>
        <v>141110-14600</v>
      </c>
      <c r="E30" s="8" t="s">
        <v>40</v>
      </c>
      <c r="F30" s="12">
        <v>45996</v>
      </c>
      <c r="G30" s="13">
        <v>0.5625</v>
      </c>
      <c r="H30" s="2" t="s">
        <v>41</v>
      </c>
      <c r="I30" s="2" t="s">
        <v>42</v>
      </c>
      <c r="J30" s="2">
        <v>18</v>
      </c>
      <c r="K30" s="14">
        <f>VLOOKUP($C30,Sheet1!$A$2:$D$10,4,0)</f>
        <v>18</v>
      </c>
      <c r="L30" s="14" t="str">
        <f>VLOOKUP($C30,Sheet1!$A$2:$E$10,5,0)</f>
        <v>Trolley (H)</v>
      </c>
      <c r="M30" s="14"/>
      <c r="N30" s="51">
        <v>1</v>
      </c>
      <c r="O30" s="2" t="s">
        <v>112</v>
      </c>
      <c r="P30" s="2" t="s">
        <v>167</v>
      </c>
    </row>
    <row r="31" spans="1:16" x14ac:dyDescent="0.25">
      <c r="A31" s="15" t="s">
        <v>327</v>
      </c>
      <c r="B31" s="18" t="s">
        <v>281</v>
      </c>
      <c r="C31" s="2" t="s">
        <v>9</v>
      </c>
      <c r="D31" s="2" t="str">
        <f>VLOOKUP($C31,Sheet1!$A$2:$B$10,2,0)</f>
        <v>141120-14600</v>
      </c>
      <c r="E31" s="8" t="s">
        <v>47</v>
      </c>
      <c r="F31" s="12">
        <v>45996</v>
      </c>
      <c r="G31" s="13">
        <v>0.5625</v>
      </c>
      <c r="H31" s="2" t="s">
        <v>41</v>
      </c>
      <c r="I31" s="2" t="s">
        <v>42</v>
      </c>
      <c r="J31" s="2">
        <v>18</v>
      </c>
      <c r="K31" s="14">
        <f>VLOOKUP($C31,Sheet1!$A$2:$D$10,4,0)</f>
        <v>18</v>
      </c>
      <c r="L31" s="14" t="str">
        <f>VLOOKUP($C31,Sheet1!$A$2:$E$10,5,0)</f>
        <v>Trolley (H)</v>
      </c>
      <c r="M31" s="14"/>
      <c r="N31" s="52"/>
      <c r="O31" s="2" t="s">
        <v>112</v>
      </c>
      <c r="P31" s="2" t="s">
        <v>167</v>
      </c>
    </row>
    <row r="32" spans="1:16" x14ac:dyDescent="0.25">
      <c r="A32" s="15" t="s">
        <v>327</v>
      </c>
      <c r="B32" s="18" t="s">
        <v>284</v>
      </c>
      <c r="C32" s="2" t="s">
        <v>12</v>
      </c>
      <c r="D32" s="2" t="str">
        <f>VLOOKUP($C32,Sheet1!$A$2:$B$10,2,0)</f>
        <v>141185-74670</v>
      </c>
      <c r="E32" s="8" t="s">
        <v>52</v>
      </c>
      <c r="F32" s="12">
        <v>45996</v>
      </c>
      <c r="G32" s="13">
        <v>0.5625</v>
      </c>
      <c r="H32" s="2" t="s">
        <v>41</v>
      </c>
      <c r="I32" s="2" t="s">
        <v>42</v>
      </c>
      <c r="J32" s="2">
        <v>40</v>
      </c>
      <c r="K32" s="14">
        <f>VLOOKUP($C32,Sheet1!$A$2:$D$10,4,0)</f>
        <v>40</v>
      </c>
      <c r="L32" s="14" t="str">
        <f>VLOOKUP($C32,Sheet1!$A$2:$E$10,5,0)</f>
        <v>Trolley</v>
      </c>
      <c r="M32" s="14"/>
      <c r="N32" s="2">
        <f>J32/K32</f>
        <v>1</v>
      </c>
      <c r="O32" s="2" t="s">
        <v>112</v>
      </c>
      <c r="P32" s="2">
        <v>910102786</v>
      </c>
    </row>
    <row r="33" spans="1:16" x14ac:dyDescent="0.25">
      <c r="A33" s="15" t="s">
        <v>327</v>
      </c>
      <c r="B33" s="18" t="s">
        <v>289</v>
      </c>
      <c r="C33" s="2" t="s">
        <v>16</v>
      </c>
      <c r="D33" s="2" t="str">
        <f>VLOOKUP($C33,Sheet1!$A$2:$B$10,2,0)</f>
        <v>141140-91211</v>
      </c>
      <c r="E33" s="8" t="s">
        <v>57</v>
      </c>
      <c r="F33" s="12">
        <v>45996</v>
      </c>
      <c r="G33" s="13">
        <v>0.5625</v>
      </c>
      <c r="H33" s="2" t="s">
        <v>58</v>
      </c>
      <c r="I33" s="2" t="s">
        <v>42</v>
      </c>
      <c r="J33" s="2">
        <v>20</v>
      </c>
      <c r="K33" s="14">
        <f>VLOOKUP($C33,Sheet1!$A$2:$D$10,4,0)</f>
        <v>2</v>
      </c>
      <c r="L33" s="14" t="str">
        <f>VLOOKUP($C33,Sheet1!$A$2:$E$10,5,0)</f>
        <v>Bin</v>
      </c>
      <c r="M33" s="14">
        <f t="shared" ref="M33:M34" si="5">J33/K33</f>
        <v>10</v>
      </c>
      <c r="N33" s="2"/>
      <c r="O33" s="2" t="s">
        <v>112</v>
      </c>
      <c r="P33" s="2" t="s">
        <v>209</v>
      </c>
    </row>
    <row r="34" spans="1:16" x14ac:dyDescent="0.25">
      <c r="A34" s="15" t="s">
        <v>327</v>
      </c>
      <c r="B34" s="18" t="s">
        <v>294</v>
      </c>
      <c r="C34" s="2" t="s">
        <v>20</v>
      </c>
      <c r="D34" s="2" t="str">
        <f>VLOOKUP($C34,Sheet1!$A$2:$B$10,2,0)</f>
        <v>141150-91211</v>
      </c>
      <c r="E34" s="8" t="s">
        <v>64</v>
      </c>
      <c r="F34" s="12">
        <v>45996</v>
      </c>
      <c r="G34" s="13">
        <v>0.5625</v>
      </c>
      <c r="H34" s="2" t="s">
        <v>58</v>
      </c>
      <c r="I34" s="2" t="s">
        <v>42</v>
      </c>
      <c r="J34" s="2">
        <v>20</v>
      </c>
      <c r="K34" s="14">
        <f>VLOOKUP($C34,Sheet1!$A$2:$D$10,4,0)</f>
        <v>2</v>
      </c>
      <c r="L34" s="14" t="str">
        <f>VLOOKUP($C34,Sheet1!$A$2:$E$10,5,0)</f>
        <v>Bin</v>
      </c>
      <c r="M34" s="14">
        <f t="shared" si="5"/>
        <v>10</v>
      </c>
      <c r="N34" s="2"/>
      <c r="O34" s="2" t="s">
        <v>112</v>
      </c>
      <c r="P34" s="2" t="s">
        <v>209</v>
      </c>
    </row>
    <row r="35" spans="1:16" x14ac:dyDescent="0.25">
      <c r="A35" s="15" t="s">
        <v>327</v>
      </c>
      <c r="B35" s="18" t="s">
        <v>299</v>
      </c>
      <c r="C35" s="2" t="s">
        <v>23</v>
      </c>
      <c r="D35" s="2" t="str">
        <f>VLOOKUP($C35,Sheet1!$A$2:$B$10,2,0)</f>
        <v>141186-74360</v>
      </c>
      <c r="E35" s="8" t="s">
        <v>70</v>
      </c>
      <c r="F35" s="12">
        <v>45996</v>
      </c>
      <c r="G35" s="13">
        <v>0.5625</v>
      </c>
      <c r="H35" s="2" t="s">
        <v>58</v>
      </c>
      <c r="I35" s="2" t="s">
        <v>42</v>
      </c>
      <c r="J35" s="2">
        <v>40</v>
      </c>
      <c r="K35" s="14">
        <f>VLOOKUP($C35,Sheet1!$A$2:$D$10,4,0)</f>
        <v>40</v>
      </c>
      <c r="L35" s="14" t="str">
        <f>VLOOKUP($C35,Sheet1!$A$2:$E$10,5,0)</f>
        <v>Trolley</v>
      </c>
      <c r="M35" s="14"/>
      <c r="N35" s="2">
        <f>J35/K35</f>
        <v>1</v>
      </c>
      <c r="O35" s="2" t="s">
        <v>112</v>
      </c>
      <c r="P35" s="2">
        <v>910101143</v>
      </c>
    </row>
    <row r="36" spans="1:16" x14ac:dyDescent="0.25">
      <c r="A36" s="15" t="s">
        <v>328</v>
      </c>
      <c r="B36" s="18" t="s">
        <v>304</v>
      </c>
      <c r="C36" s="2" t="s">
        <v>26</v>
      </c>
      <c r="D36" s="2" t="str">
        <f>VLOOKUP($C36,Sheet1!$A$2:$B$10,2,0)</f>
        <v>116040-92240</v>
      </c>
      <c r="E36" s="8" t="s">
        <v>75</v>
      </c>
      <c r="F36" s="12">
        <v>45996</v>
      </c>
      <c r="G36" s="13">
        <v>0.5625</v>
      </c>
      <c r="H36" s="2" t="s">
        <v>76</v>
      </c>
      <c r="I36" s="2" t="s">
        <v>42</v>
      </c>
      <c r="J36" s="2">
        <v>18</v>
      </c>
      <c r="K36" s="14">
        <f>VLOOKUP($C36,Sheet1!$A$2:$D$10,4,0)</f>
        <v>6</v>
      </c>
      <c r="L36" s="14" t="str">
        <f>VLOOKUP($C36,Sheet1!$A$2:$E$10,5,0)</f>
        <v>Bin</v>
      </c>
      <c r="M36" s="14">
        <f t="shared" ref="M36:M38" si="6">J36/K36</f>
        <v>3</v>
      </c>
      <c r="N36" s="2"/>
      <c r="O36" s="2" t="s">
        <v>112</v>
      </c>
      <c r="P36" s="2" t="s">
        <v>169</v>
      </c>
    </row>
    <row r="37" spans="1:16" x14ac:dyDescent="0.25">
      <c r="A37" s="15" t="s">
        <v>328</v>
      </c>
      <c r="B37" s="18" t="s">
        <v>309</v>
      </c>
      <c r="C37" s="2" t="s">
        <v>32</v>
      </c>
      <c r="D37" s="2" t="str">
        <f>VLOOKUP($C37,Sheet1!$A$2:$B$10,2,0)</f>
        <v>114010-50820</v>
      </c>
      <c r="E37" s="8" t="s">
        <v>82</v>
      </c>
      <c r="F37" s="12">
        <v>45996</v>
      </c>
      <c r="G37" s="13">
        <v>0.5625</v>
      </c>
      <c r="H37" s="2" t="s">
        <v>76</v>
      </c>
      <c r="I37" s="2" t="s">
        <v>42</v>
      </c>
      <c r="J37" s="2">
        <v>11</v>
      </c>
      <c r="K37" s="14">
        <f>VLOOKUP($C37,Sheet1!$A$2:$D$10,4,0)</f>
        <v>1</v>
      </c>
      <c r="L37" s="14" t="str">
        <f>VLOOKUP($C37,Sheet1!$A$2:$E$10,5,0)</f>
        <v>Bin</v>
      </c>
      <c r="M37" s="14">
        <f t="shared" si="6"/>
        <v>11</v>
      </c>
      <c r="N37" s="2"/>
      <c r="O37" s="2" t="s">
        <v>112</v>
      </c>
      <c r="P37" s="2" t="s">
        <v>397</v>
      </c>
    </row>
    <row r="38" spans="1:16" x14ac:dyDescent="0.25">
      <c r="A38" s="15" t="s">
        <v>328</v>
      </c>
      <c r="B38" s="18" t="s">
        <v>314</v>
      </c>
      <c r="C38" s="2" t="s">
        <v>29</v>
      </c>
      <c r="D38" s="2" t="str">
        <f>VLOOKUP($C38,Sheet1!$A$2:$B$10,2,0)</f>
        <v>114010-50830</v>
      </c>
      <c r="E38" s="8" t="s">
        <v>82</v>
      </c>
      <c r="F38" s="12">
        <v>45996</v>
      </c>
      <c r="G38" s="13">
        <v>0.5625</v>
      </c>
      <c r="H38" s="2" t="s">
        <v>76</v>
      </c>
      <c r="I38" s="2" t="s">
        <v>42</v>
      </c>
      <c r="J38" s="2">
        <v>9</v>
      </c>
      <c r="K38" s="14">
        <f>VLOOKUP($C38,Sheet1!$A$2:$D$10,4,0)</f>
        <v>1</v>
      </c>
      <c r="L38" s="14" t="str">
        <f>VLOOKUP($C38,Sheet1!$A$2:$E$10,5,0)</f>
        <v>Bin</v>
      </c>
      <c r="M38" s="14">
        <f t="shared" si="6"/>
        <v>9</v>
      </c>
      <c r="N38" s="2"/>
      <c r="O38" s="2" t="s">
        <v>112</v>
      </c>
      <c r="P38" s="2" t="s">
        <v>171</v>
      </c>
    </row>
    <row r="39" spans="1:16" s="11" customForma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>
        <v>43</v>
      </c>
      <c r="N39" s="10">
        <v>3</v>
      </c>
      <c r="O39" s="10"/>
      <c r="P39" s="10"/>
    </row>
    <row r="40" spans="1:16" x14ac:dyDescent="0.25">
      <c r="A40" s="15" t="s">
        <v>329</v>
      </c>
      <c r="B40" s="18" t="s">
        <v>285</v>
      </c>
      <c r="C40" s="2" t="s">
        <v>12</v>
      </c>
      <c r="D40" s="2" t="str">
        <f>VLOOKUP($C40,Sheet1!$A$2:$B$10,2,0)</f>
        <v>141185-74670</v>
      </c>
      <c r="E40" s="8" t="s">
        <v>52</v>
      </c>
      <c r="F40" s="12">
        <v>45996</v>
      </c>
      <c r="G40" s="13">
        <v>0.64583333333333337</v>
      </c>
      <c r="H40" s="2" t="s">
        <v>41</v>
      </c>
      <c r="I40" s="2" t="s">
        <v>42</v>
      </c>
      <c r="J40" s="2">
        <v>40</v>
      </c>
      <c r="K40" s="14">
        <f>VLOOKUP($C40,Sheet1!$A$2:$D$10,4,0)</f>
        <v>40</v>
      </c>
      <c r="L40" s="14" t="str">
        <f>VLOOKUP($C40,Sheet1!$A$2:$E$10,5,0)</f>
        <v>Trolley</v>
      </c>
      <c r="M40" s="14"/>
      <c r="N40" s="2">
        <f>J40/K40</f>
        <v>1</v>
      </c>
      <c r="O40" s="2" t="s">
        <v>111</v>
      </c>
      <c r="P40" s="2">
        <v>910102786</v>
      </c>
    </row>
    <row r="41" spans="1:16" x14ac:dyDescent="0.25">
      <c r="A41" s="15" t="s">
        <v>329</v>
      </c>
      <c r="B41" s="18" t="s">
        <v>290</v>
      </c>
      <c r="C41" s="2" t="s">
        <v>16</v>
      </c>
      <c r="D41" s="2" t="str">
        <f>VLOOKUP($C41,Sheet1!$A$2:$B$10,2,0)</f>
        <v>141140-91211</v>
      </c>
      <c r="E41" s="8" t="s">
        <v>57</v>
      </c>
      <c r="F41" s="12">
        <v>45996</v>
      </c>
      <c r="G41" s="13">
        <v>0.64583333333333337</v>
      </c>
      <c r="H41" s="2" t="s">
        <v>58</v>
      </c>
      <c r="I41" s="2" t="s">
        <v>42</v>
      </c>
      <c r="J41" s="2">
        <v>24</v>
      </c>
      <c r="K41" s="14">
        <f>VLOOKUP($C41,Sheet1!$A$2:$D$10,4,0)</f>
        <v>2</v>
      </c>
      <c r="L41" s="14" t="str">
        <f>VLOOKUP($C41,Sheet1!$A$2:$E$10,5,0)</f>
        <v>Bin</v>
      </c>
      <c r="M41" s="14">
        <f t="shared" ref="M41:M42" si="7">J41/K41</f>
        <v>12</v>
      </c>
      <c r="N41" s="2"/>
      <c r="O41" s="2" t="s">
        <v>111</v>
      </c>
      <c r="P41" s="2" t="s">
        <v>209</v>
      </c>
    </row>
    <row r="42" spans="1:16" x14ac:dyDescent="0.25">
      <c r="A42" s="15" t="s">
        <v>329</v>
      </c>
      <c r="B42" s="18" t="s">
        <v>295</v>
      </c>
      <c r="C42" s="2" t="s">
        <v>20</v>
      </c>
      <c r="D42" s="2" t="str">
        <f>VLOOKUP($C42,Sheet1!$A$2:$B$10,2,0)</f>
        <v>141150-91211</v>
      </c>
      <c r="E42" s="8" t="s">
        <v>64</v>
      </c>
      <c r="F42" s="12">
        <v>45996</v>
      </c>
      <c r="G42" s="13">
        <v>0.64583333333333337</v>
      </c>
      <c r="H42" s="2" t="s">
        <v>58</v>
      </c>
      <c r="I42" s="2" t="s">
        <v>42</v>
      </c>
      <c r="J42" s="2">
        <v>24</v>
      </c>
      <c r="K42" s="14">
        <f>VLOOKUP($C42,Sheet1!$A$2:$D$10,4,0)</f>
        <v>2</v>
      </c>
      <c r="L42" s="14" t="str">
        <f>VLOOKUP($C42,Sheet1!$A$2:$E$10,5,0)</f>
        <v>Bin</v>
      </c>
      <c r="M42" s="14">
        <f t="shared" si="7"/>
        <v>12</v>
      </c>
      <c r="N42" s="2"/>
      <c r="O42" s="2" t="s">
        <v>111</v>
      </c>
      <c r="P42" s="2" t="s">
        <v>209</v>
      </c>
    </row>
    <row r="43" spans="1:16" x14ac:dyDescent="0.25">
      <c r="A43" s="15" t="s">
        <v>329</v>
      </c>
      <c r="B43" s="18" t="s">
        <v>300</v>
      </c>
      <c r="C43" s="2" t="s">
        <v>23</v>
      </c>
      <c r="D43" s="2" t="str">
        <f>VLOOKUP($C43,Sheet1!$A$2:$B$10,2,0)</f>
        <v>141186-74360</v>
      </c>
      <c r="E43" s="8" t="s">
        <v>70</v>
      </c>
      <c r="F43" s="12">
        <v>45996</v>
      </c>
      <c r="G43" s="13">
        <v>0.64583333333333337</v>
      </c>
      <c r="H43" s="2" t="s">
        <v>58</v>
      </c>
      <c r="I43" s="2" t="s">
        <v>42</v>
      </c>
      <c r="J43" s="2">
        <v>40</v>
      </c>
      <c r="K43" s="14">
        <f>VLOOKUP($C43,Sheet1!$A$2:$D$10,4,0)</f>
        <v>40</v>
      </c>
      <c r="L43" s="14" t="str">
        <f>VLOOKUP($C43,Sheet1!$A$2:$E$10,5,0)</f>
        <v>Trolley</v>
      </c>
      <c r="M43" s="14"/>
      <c r="N43" s="2">
        <f>J43/K43</f>
        <v>1</v>
      </c>
      <c r="O43" s="2" t="s">
        <v>111</v>
      </c>
      <c r="P43" s="2">
        <v>910101143</v>
      </c>
    </row>
    <row r="44" spans="1:16" x14ac:dyDescent="0.25">
      <c r="A44" s="15" t="s">
        <v>330</v>
      </c>
      <c r="B44" s="18" t="s">
        <v>305</v>
      </c>
      <c r="C44" s="2" t="s">
        <v>26</v>
      </c>
      <c r="D44" s="2" t="str">
        <f>VLOOKUP($C44,Sheet1!$A$2:$B$10,2,0)</f>
        <v>116040-92240</v>
      </c>
      <c r="E44" s="8" t="s">
        <v>75</v>
      </c>
      <c r="F44" s="12">
        <v>45996</v>
      </c>
      <c r="G44" s="13">
        <v>0.64583333333333337</v>
      </c>
      <c r="H44" s="2" t="s">
        <v>76</v>
      </c>
      <c r="I44" s="2" t="s">
        <v>42</v>
      </c>
      <c r="J44" s="2">
        <v>24</v>
      </c>
      <c r="K44" s="14">
        <f>VLOOKUP($C44,Sheet1!$A$2:$D$10,4,0)</f>
        <v>6</v>
      </c>
      <c r="L44" s="14" t="str">
        <f>VLOOKUP($C44,Sheet1!$A$2:$E$10,5,0)</f>
        <v>Bin</v>
      </c>
      <c r="M44" s="14">
        <f t="shared" ref="M44:M46" si="8">J44/K44</f>
        <v>4</v>
      </c>
      <c r="N44" s="2"/>
      <c r="O44" s="2" t="s">
        <v>111</v>
      </c>
      <c r="P44" s="2" t="s">
        <v>169</v>
      </c>
    </row>
    <row r="45" spans="1:16" x14ac:dyDescent="0.25">
      <c r="A45" s="15" t="s">
        <v>330</v>
      </c>
      <c r="B45" s="18" t="s">
        <v>310</v>
      </c>
      <c r="C45" s="2" t="s">
        <v>32</v>
      </c>
      <c r="D45" s="2" t="str">
        <f>VLOOKUP($C45,Sheet1!$A$2:$B$10,2,0)</f>
        <v>114010-50820</v>
      </c>
      <c r="E45" s="8" t="s">
        <v>82</v>
      </c>
      <c r="F45" s="12">
        <v>45996</v>
      </c>
      <c r="G45" s="13">
        <v>0.64583333333333337</v>
      </c>
      <c r="H45" s="2" t="s">
        <v>76</v>
      </c>
      <c r="I45" s="2" t="s">
        <v>42</v>
      </c>
      <c r="J45" s="2">
        <v>5</v>
      </c>
      <c r="K45" s="14">
        <f>VLOOKUP($C45,Sheet1!$A$2:$D$10,4,0)</f>
        <v>1</v>
      </c>
      <c r="L45" s="14" t="str">
        <f>VLOOKUP($C45,Sheet1!$A$2:$E$10,5,0)</f>
        <v>Bin</v>
      </c>
      <c r="M45" s="14">
        <f t="shared" si="8"/>
        <v>5</v>
      </c>
      <c r="N45" s="2"/>
      <c r="O45" s="2" t="s">
        <v>111</v>
      </c>
      <c r="P45" s="2" t="s">
        <v>398</v>
      </c>
    </row>
    <row r="46" spans="1:16" ht="15.75" thickBot="1" x14ac:dyDescent="0.3">
      <c r="A46" s="15" t="s">
        <v>330</v>
      </c>
      <c r="B46" s="18" t="s">
        <v>315</v>
      </c>
      <c r="C46" s="2" t="s">
        <v>29</v>
      </c>
      <c r="D46" s="2" t="str">
        <f>VLOOKUP($C46,Sheet1!$A$2:$B$10,2,0)</f>
        <v>114010-50830</v>
      </c>
      <c r="E46" s="8" t="s">
        <v>82</v>
      </c>
      <c r="F46" s="12">
        <v>45996</v>
      </c>
      <c r="G46" s="22">
        <v>0.64583333333333337</v>
      </c>
      <c r="H46" s="2" t="s">
        <v>76</v>
      </c>
      <c r="I46" s="2" t="s">
        <v>42</v>
      </c>
      <c r="J46" s="2">
        <v>20</v>
      </c>
      <c r="K46" s="14">
        <f>VLOOKUP($C46,Sheet1!$A$2:$D$10,4,0)</f>
        <v>1</v>
      </c>
      <c r="L46" s="14" t="str">
        <f>VLOOKUP($C46,Sheet1!$A$2:$E$10,5,0)</f>
        <v>Bin</v>
      </c>
      <c r="M46" s="14">
        <f t="shared" si="8"/>
        <v>20</v>
      </c>
      <c r="N46" s="2"/>
      <c r="O46" s="2" t="s">
        <v>111</v>
      </c>
      <c r="P46" s="2" t="s">
        <v>171</v>
      </c>
    </row>
    <row r="47" spans="1:16" ht="15.75" thickTop="1" x14ac:dyDescent="0.25">
      <c r="A47" s="15" t="s">
        <v>340</v>
      </c>
      <c r="B47" s="18" t="s">
        <v>331</v>
      </c>
      <c r="C47" s="2" t="s">
        <v>5</v>
      </c>
      <c r="D47" s="2" t="str">
        <f>VLOOKUP($C47,Sheet1!$A$2:$B$10,2,0)</f>
        <v>141110-14600</v>
      </c>
      <c r="E47" s="8" t="s">
        <v>40</v>
      </c>
      <c r="F47" s="12">
        <v>45996</v>
      </c>
      <c r="G47" s="23">
        <v>0.69791666666666663</v>
      </c>
      <c r="H47" s="2" t="s">
        <v>41</v>
      </c>
      <c r="I47" s="2" t="s">
        <v>42</v>
      </c>
      <c r="J47" s="2">
        <v>18</v>
      </c>
      <c r="K47" s="14">
        <f>VLOOKUP($C47,Sheet1!$A$2:$D$10,4,0)</f>
        <v>18</v>
      </c>
      <c r="L47" s="14" t="str">
        <f>VLOOKUP($C47,Sheet1!$A$2:$E$10,5,0)</f>
        <v>Trolley (H)</v>
      </c>
      <c r="M47" s="14"/>
      <c r="N47" s="51">
        <v>1</v>
      </c>
      <c r="O47" s="2" t="s">
        <v>111</v>
      </c>
      <c r="P47" s="2" t="s">
        <v>167</v>
      </c>
    </row>
    <row r="48" spans="1:16" x14ac:dyDescent="0.25">
      <c r="A48" s="15" t="s">
        <v>340</v>
      </c>
      <c r="B48" s="18" t="s">
        <v>332</v>
      </c>
      <c r="C48" s="2" t="s">
        <v>9</v>
      </c>
      <c r="D48" s="2" t="str">
        <f>VLOOKUP($C48,Sheet1!$A$2:$B$10,2,0)</f>
        <v>141120-14600</v>
      </c>
      <c r="E48" s="8" t="s">
        <v>47</v>
      </c>
      <c r="F48" s="12">
        <v>45996</v>
      </c>
      <c r="G48" s="13">
        <v>0.69791666666666663</v>
      </c>
      <c r="H48" s="2" t="s">
        <v>41</v>
      </c>
      <c r="I48" s="2" t="s">
        <v>42</v>
      </c>
      <c r="J48" s="2">
        <v>18</v>
      </c>
      <c r="K48" s="14">
        <f>VLOOKUP($C48,Sheet1!$A$2:$D$10,4,0)</f>
        <v>18</v>
      </c>
      <c r="L48" s="14" t="str">
        <f>VLOOKUP($C48,Sheet1!$A$2:$E$10,5,0)</f>
        <v>Trolley (H)</v>
      </c>
      <c r="M48" s="14"/>
      <c r="N48" s="52"/>
      <c r="O48" s="2" t="s">
        <v>111</v>
      </c>
      <c r="P48" s="2" t="s">
        <v>167</v>
      </c>
    </row>
    <row r="49" spans="1:17" x14ac:dyDescent="0.25">
      <c r="A49" s="15" t="s">
        <v>340</v>
      </c>
      <c r="B49" s="18" t="s">
        <v>333</v>
      </c>
      <c r="C49" s="2" t="s">
        <v>12</v>
      </c>
      <c r="D49" s="2" t="str">
        <f>VLOOKUP($C49,Sheet1!$A$2:$B$10,2,0)</f>
        <v>141185-74670</v>
      </c>
      <c r="E49" s="8" t="s">
        <v>52</v>
      </c>
      <c r="F49" s="12">
        <v>45996</v>
      </c>
      <c r="G49" s="13">
        <v>0.69791666666666663</v>
      </c>
      <c r="H49" s="2" t="s">
        <v>41</v>
      </c>
      <c r="I49" s="2" t="s">
        <v>42</v>
      </c>
      <c r="J49" s="2">
        <v>40</v>
      </c>
      <c r="K49" s="14">
        <f>VLOOKUP($C49,Sheet1!$A$2:$D$10,4,0)</f>
        <v>40</v>
      </c>
      <c r="L49" s="14" t="str">
        <f>VLOOKUP($C49,Sheet1!$A$2:$E$10,5,0)</f>
        <v>Trolley</v>
      </c>
      <c r="M49" s="14"/>
      <c r="N49" s="2">
        <v>1</v>
      </c>
      <c r="O49" s="2" t="s">
        <v>111</v>
      </c>
      <c r="P49" s="2">
        <v>910102786</v>
      </c>
    </row>
    <row r="50" spans="1:17" x14ac:dyDescent="0.25">
      <c r="A50" s="15" t="s">
        <v>340</v>
      </c>
      <c r="B50" s="18" t="s">
        <v>334</v>
      </c>
      <c r="C50" s="2" t="s">
        <v>16</v>
      </c>
      <c r="D50" s="2" t="str">
        <f>VLOOKUP($C50,Sheet1!$A$2:$B$10,2,0)</f>
        <v>141140-91211</v>
      </c>
      <c r="E50" s="8" t="s">
        <v>57</v>
      </c>
      <c r="F50" s="12">
        <v>45996</v>
      </c>
      <c r="G50" s="13">
        <v>0.69791666666666663</v>
      </c>
      <c r="H50" s="2" t="s">
        <v>58</v>
      </c>
      <c r="I50" s="2" t="s">
        <v>42</v>
      </c>
      <c r="J50" s="2">
        <v>20</v>
      </c>
      <c r="K50" s="14">
        <f>VLOOKUP($C50,Sheet1!$A$2:$D$10,4,0)</f>
        <v>2</v>
      </c>
      <c r="L50" s="14" t="str">
        <f>VLOOKUP($C50,Sheet1!$A$2:$E$10,5,0)</f>
        <v>Bin</v>
      </c>
      <c r="M50" s="14">
        <f>J50/K50</f>
        <v>10</v>
      </c>
      <c r="N50" s="2"/>
      <c r="O50" s="2" t="s">
        <v>111</v>
      </c>
      <c r="P50" s="2" t="s">
        <v>209</v>
      </c>
    </row>
    <row r="51" spans="1:17" x14ac:dyDescent="0.25">
      <c r="A51" s="15" t="s">
        <v>340</v>
      </c>
      <c r="B51" s="18" t="s">
        <v>335</v>
      </c>
      <c r="C51" s="2" t="s">
        <v>20</v>
      </c>
      <c r="D51" s="2" t="str">
        <f>VLOOKUP($C51,Sheet1!$A$2:$B$10,2,0)</f>
        <v>141150-91211</v>
      </c>
      <c r="E51" s="8" t="s">
        <v>64</v>
      </c>
      <c r="F51" s="12">
        <v>45996</v>
      </c>
      <c r="G51" s="13">
        <v>0.69791666666666663</v>
      </c>
      <c r="H51" s="2" t="s">
        <v>58</v>
      </c>
      <c r="I51" s="2" t="s">
        <v>42</v>
      </c>
      <c r="J51" s="2">
        <v>20</v>
      </c>
      <c r="K51" s="14">
        <f>VLOOKUP($C51,Sheet1!$A$2:$D$10,4,0)</f>
        <v>2</v>
      </c>
      <c r="L51" s="14" t="str">
        <f>VLOOKUP($C51,Sheet1!$A$2:$E$10,5,0)</f>
        <v>Bin</v>
      </c>
      <c r="M51" s="14">
        <f>J51/K51</f>
        <v>10</v>
      </c>
      <c r="N51" s="2"/>
      <c r="O51" s="2" t="s">
        <v>111</v>
      </c>
      <c r="P51" s="2" t="s">
        <v>209</v>
      </c>
    </row>
    <row r="52" spans="1:17" x14ac:dyDescent="0.25">
      <c r="A52" s="15" t="s">
        <v>340</v>
      </c>
      <c r="B52" s="18" t="s">
        <v>336</v>
      </c>
      <c r="C52" s="2" t="s">
        <v>23</v>
      </c>
      <c r="D52" s="2" t="str">
        <f>VLOOKUP($C52,Sheet1!$A$2:$B$10,2,0)</f>
        <v>141186-74360</v>
      </c>
      <c r="E52" s="8" t="s">
        <v>70</v>
      </c>
      <c r="F52" s="12">
        <v>45996</v>
      </c>
      <c r="G52" s="13">
        <v>0.69791666666666663</v>
      </c>
      <c r="H52" s="2" t="s">
        <v>58</v>
      </c>
      <c r="I52" s="2" t="s">
        <v>42</v>
      </c>
      <c r="J52" s="2">
        <v>40</v>
      </c>
      <c r="K52" s="14">
        <f>VLOOKUP($C52,Sheet1!$A$2:$D$10,4,0)</f>
        <v>40</v>
      </c>
      <c r="L52" s="14" t="str">
        <f>VLOOKUP($C52,Sheet1!$A$2:$E$10,5,0)</f>
        <v>Trolley</v>
      </c>
      <c r="M52" s="14"/>
      <c r="N52" s="2">
        <v>1</v>
      </c>
      <c r="O52" s="2" t="s">
        <v>111</v>
      </c>
      <c r="P52" s="2">
        <v>910101143</v>
      </c>
    </row>
    <row r="53" spans="1:17" x14ac:dyDescent="0.25">
      <c r="A53" s="15" t="s">
        <v>341</v>
      </c>
      <c r="B53" s="18" t="s">
        <v>337</v>
      </c>
      <c r="C53" s="2" t="s">
        <v>26</v>
      </c>
      <c r="D53" s="2" t="str">
        <f>VLOOKUP($C53,Sheet1!$A$2:$B$10,2,0)</f>
        <v>116040-92240</v>
      </c>
      <c r="E53" s="8" t="s">
        <v>75</v>
      </c>
      <c r="F53" s="12">
        <v>45996</v>
      </c>
      <c r="G53" s="13">
        <v>0.69791666666666663</v>
      </c>
      <c r="H53" s="2" t="s">
        <v>76</v>
      </c>
      <c r="I53" s="2" t="s">
        <v>42</v>
      </c>
      <c r="J53" s="2">
        <v>18</v>
      </c>
      <c r="K53" s="14">
        <f>VLOOKUP($C53,Sheet1!$A$2:$D$10,4,0)</f>
        <v>6</v>
      </c>
      <c r="L53" s="14" t="str">
        <f>VLOOKUP($C53,Sheet1!$A$2:$E$10,5,0)</f>
        <v>Bin</v>
      </c>
      <c r="M53" s="14">
        <f>J53/K53</f>
        <v>3</v>
      </c>
      <c r="N53" s="2"/>
      <c r="O53" s="2" t="s">
        <v>111</v>
      </c>
      <c r="P53" s="2" t="s">
        <v>169</v>
      </c>
    </row>
    <row r="54" spans="1:17" x14ac:dyDescent="0.25">
      <c r="A54" s="15" t="s">
        <v>341</v>
      </c>
      <c r="B54" s="18" t="s">
        <v>338</v>
      </c>
      <c r="C54" s="2" t="s">
        <v>32</v>
      </c>
      <c r="D54" s="2" t="str">
        <f>VLOOKUP($C54,Sheet1!$A$2:$B$10,2,0)</f>
        <v>114010-50820</v>
      </c>
      <c r="E54" s="8" t="s">
        <v>82</v>
      </c>
      <c r="F54" s="12">
        <v>45996</v>
      </c>
      <c r="G54" s="13">
        <v>0.69791666666666663</v>
      </c>
      <c r="H54" s="2" t="s">
        <v>76</v>
      </c>
      <c r="I54" s="2" t="s">
        <v>42</v>
      </c>
      <c r="J54" s="2">
        <v>12</v>
      </c>
      <c r="K54" s="14">
        <f>VLOOKUP($C54,Sheet1!$A$2:$D$10,4,0)</f>
        <v>1</v>
      </c>
      <c r="L54" s="14" t="str">
        <f>VLOOKUP($C54,Sheet1!$A$2:$E$10,5,0)</f>
        <v>Bin</v>
      </c>
      <c r="M54" s="14">
        <f t="shared" ref="M54:M55" si="9">J54/K54</f>
        <v>12</v>
      </c>
      <c r="N54" s="2"/>
      <c r="O54" s="2" t="s">
        <v>111</v>
      </c>
      <c r="P54" s="2" t="s">
        <v>398</v>
      </c>
      <c r="Q54">
        <f>50*10</f>
        <v>500</v>
      </c>
    </row>
    <row r="55" spans="1:17" x14ac:dyDescent="0.25">
      <c r="A55" s="15" t="s">
        <v>341</v>
      </c>
      <c r="B55" s="18" t="s">
        <v>339</v>
      </c>
      <c r="C55" s="2" t="s">
        <v>29</v>
      </c>
      <c r="D55" s="2" t="str">
        <f>VLOOKUP($C55,Sheet1!$A$2:$B$10,2,0)</f>
        <v>114010-50830</v>
      </c>
      <c r="E55" s="8" t="s">
        <v>82</v>
      </c>
      <c r="F55" s="12">
        <v>45996</v>
      </c>
      <c r="G55" s="13">
        <v>0.69791666666666663</v>
      </c>
      <c r="H55" s="2" t="s">
        <v>76</v>
      </c>
      <c r="I55" s="2" t="s">
        <v>42</v>
      </c>
      <c r="J55" s="2">
        <v>8</v>
      </c>
      <c r="K55" s="14">
        <f>VLOOKUP($C55,Sheet1!$A$2:$D$10,4,0)</f>
        <v>1</v>
      </c>
      <c r="L55" s="14" t="str">
        <f>VLOOKUP($C55,Sheet1!$A$2:$E$10,5,0)</f>
        <v>Bin</v>
      </c>
      <c r="M55" s="14">
        <f t="shared" si="9"/>
        <v>8</v>
      </c>
      <c r="N55" s="2"/>
      <c r="O55" s="2" t="s">
        <v>111</v>
      </c>
      <c r="P55" s="2" t="s">
        <v>171</v>
      </c>
    </row>
    <row r="56" spans="1:17" s="11" customForma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>
        <v>96</v>
      </c>
      <c r="N56" s="10">
        <v>5</v>
      </c>
      <c r="O56" s="10"/>
      <c r="P56" s="10"/>
    </row>
    <row r="66" spans="1:16" x14ac:dyDescent="0.25">
      <c r="A66" s="2"/>
      <c r="B66" s="2" t="s">
        <v>316</v>
      </c>
      <c r="C66" s="2"/>
      <c r="D66" s="2"/>
      <c r="E66" s="8"/>
      <c r="F66" s="12"/>
      <c r="G66" s="13"/>
      <c r="H66" s="2"/>
      <c r="I66" s="2"/>
      <c r="J66" s="2"/>
      <c r="K66" s="14"/>
      <c r="L66" s="14"/>
      <c r="M66" s="14"/>
      <c r="N66" s="2"/>
      <c r="O66" s="2"/>
      <c r="P66" s="2"/>
    </row>
  </sheetData>
  <mergeCells count="7">
    <mergeCell ref="N47:N48"/>
    <mergeCell ref="N30:N31"/>
    <mergeCell ref="A1:F1"/>
    <mergeCell ref="J1:N1"/>
    <mergeCell ref="L2:N2"/>
    <mergeCell ref="N4:N5"/>
    <mergeCell ref="N20:N21"/>
  </mergeCells>
  <conditionalFormatting sqref="B2">
    <cfRule type="duplicateValues" dxfId="105" priority="2"/>
    <cfRule type="duplicateValues" dxfId="104" priority="3"/>
  </conditionalFormatting>
  <conditionalFormatting sqref="B66 B20:B28 B30:B38 B40:B55 B4:B18">
    <cfRule type="duplicateValues" dxfId="103" priority="1"/>
  </conditionalFormatting>
  <conditionalFormatting sqref="C2:D2">
    <cfRule type="duplicateValues" dxfId="102" priority="4"/>
    <cfRule type="duplicateValues" dxfId="101" priority="5"/>
  </conditionalFormatting>
  <hyperlinks>
    <hyperlink ref="B66" r:id="rId1" display="http://192.168.1.248/downloads/temp/X539_eNagare_2025124.log" xr:uid="{00000000-0004-0000-0500-000000000000}"/>
  </hyperlinks>
  <pageMargins left="0.17" right="0.17" top="0.17" bottom="0.17" header="0.17" footer="0.3"/>
  <pageSetup paperSize="9" scale="48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52"/>
  <sheetViews>
    <sheetView topLeftCell="A24" workbookViewId="0">
      <selection activeCell="A4" sqref="A4:XFD51"/>
    </sheetView>
  </sheetViews>
  <sheetFormatPr defaultColWidth="84.28515625" defaultRowHeight="15" x14ac:dyDescent="0.25"/>
  <cols>
    <col min="1" max="1" width="15.140625" bestFit="1" customWidth="1"/>
    <col min="2" max="2" width="16.5703125" bestFit="1" customWidth="1"/>
    <col min="3" max="3" width="14.140625" bestFit="1" customWidth="1"/>
    <col min="4" max="4" width="14.140625" customWidth="1"/>
    <col min="5" max="5" width="32.5703125" bestFit="1" customWidth="1"/>
    <col min="6" max="6" width="10" customWidth="1"/>
    <col min="7" max="7" width="8.140625" customWidth="1"/>
    <col min="8" max="8" width="11.7109375" customWidth="1"/>
    <col min="9" max="9" width="4.7109375" bestFit="1" customWidth="1"/>
    <col min="10" max="10" width="8" bestFit="1" customWidth="1"/>
    <col min="11" max="11" width="10.42578125" customWidth="1"/>
    <col min="12" max="12" width="10.28515625" customWidth="1"/>
    <col min="13" max="13" width="7.140625" bestFit="1" customWidth="1"/>
    <col min="14" max="14" width="7.85546875" bestFit="1" customWidth="1"/>
    <col min="15" max="15" width="10.7109375" customWidth="1"/>
    <col min="16" max="16" width="41.28515625" bestFit="1" customWidth="1"/>
  </cols>
  <sheetData>
    <row r="1" spans="1:16" ht="23.25" x14ac:dyDescent="0.25">
      <c r="A1" s="53" t="s">
        <v>93</v>
      </c>
      <c r="B1" s="53"/>
      <c r="C1" s="53"/>
      <c r="D1" s="53"/>
      <c r="E1" s="53"/>
      <c r="F1" s="53"/>
      <c r="G1" s="2"/>
      <c r="H1" s="2"/>
      <c r="I1" s="2"/>
      <c r="J1" s="54" t="s">
        <v>94</v>
      </c>
      <c r="K1" s="55"/>
      <c r="L1" s="55"/>
      <c r="M1" s="55"/>
      <c r="N1" s="55"/>
      <c r="O1" s="3"/>
      <c r="P1" s="4"/>
    </row>
    <row r="2" spans="1:16" ht="15.75" x14ac:dyDescent="0.25">
      <c r="A2" s="5" t="s">
        <v>95</v>
      </c>
      <c r="B2" s="6">
        <v>45997</v>
      </c>
      <c r="C2" s="7"/>
      <c r="D2" s="7"/>
      <c r="E2" s="2"/>
      <c r="F2" s="8"/>
      <c r="G2" s="2"/>
      <c r="H2" s="2"/>
      <c r="I2" s="2"/>
      <c r="J2" s="2"/>
      <c r="K2" s="2"/>
      <c r="L2" s="56" t="s">
        <v>96</v>
      </c>
      <c r="M2" s="57"/>
      <c r="N2" s="58"/>
      <c r="O2" s="2"/>
      <c r="P2" s="2"/>
    </row>
    <row r="3" spans="1:16" s="11" customFormat="1" ht="30" x14ac:dyDescent="0.25">
      <c r="A3" s="10" t="s">
        <v>97</v>
      </c>
      <c r="B3" s="10" t="s">
        <v>35</v>
      </c>
      <c r="C3" s="10" t="s">
        <v>0</v>
      </c>
      <c r="D3" s="10" t="s">
        <v>98</v>
      </c>
      <c r="E3" s="10" t="s">
        <v>2</v>
      </c>
      <c r="F3" s="10" t="s">
        <v>36</v>
      </c>
      <c r="G3" s="10" t="s">
        <v>37</v>
      </c>
      <c r="H3" s="10" t="s">
        <v>38</v>
      </c>
      <c r="I3" s="10" t="s">
        <v>99</v>
      </c>
      <c r="J3" s="10" t="s">
        <v>100</v>
      </c>
      <c r="K3" s="10" t="s">
        <v>101</v>
      </c>
      <c r="L3" s="10" t="s">
        <v>102</v>
      </c>
      <c r="M3" s="10" t="s">
        <v>103</v>
      </c>
      <c r="N3" s="10" t="s">
        <v>104</v>
      </c>
      <c r="O3" s="10" t="s">
        <v>96</v>
      </c>
      <c r="P3" s="10" t="s">
        <v>105</v>
      </c>
    </row>
    <row r="4" spans="1:16" x14ac:dyDescent="0.25">
      <c r="A4" s="15" t="s">
        <v>387</v>
      </c>
      <c r="B4" s="18" t="s">
        <v>342</v>
      </c>
      <c r="C4" s="2" t="s">
        <v>5</v>
      </c>
      <c r="D4" s="2" t="str">
        <f>VLOOKUP($C4,Sheet1!$A$2:$B$10,2,0)</f>
        <v>141110-14600</v>
      </c>
      <c r="E4" s="8" t="s">
        <v>40</v>
      </c>
      <c r="F4" s="12">
        <v>45997</v>
      </c>
      <c r="G4" s="13">
        <v>0.27083333333333331</v>
      </c>
      <c r="H4" s="2" t="s">
        <v>41</v>
      </c>
      <c r="I4" s="2" t="s">
        <v>42</v>
      </c>
      <c r="J4" s="2">
        <v>36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1">
        <v>2</v>
      </c>
      <c r="O4" s="2" t="s">
        <v>113</v>
      </c>
      <c r="P4" s="2" t="s">
        <v>167</v>
      </c>
    </row>
    <row r="5" spans="1:16" x14ac:dyDescent="0.25">
      <c r="A5" s="15" t="s">
        <v>387</v>
      </c>
      <c r="B5" s="18" t="s">
        <v>347</v>
      </c>
      <c r="C5" s="2" t="s">
        <v>9</v>
      </c>
      <c r="D5" s="2" t="str">
        <f>VLOOKUP($C5,Sheet1!$A$2:$B$10,2,0)</f>
        <v>141120-14600</v>
      </c>
      <c r="E5" s="8" t="s">
        <v>47</v>
      </c>
      <c r="F5" s="12">
        <v>45997</v>
      </c>
      <c r="G5" s="13">
        <v>0.27083333333333331</v>
      </c>
      <c r="H5" s="2" t="s">
        <v>41</v>
      </c>
      <c r="I5" s="2" t="s">
        <v>42</v>
      </c>
      <c r="J5" s="2">
        <v>36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2"/>
      <c r="O5" s="2" t="s">
        <v>113</v>
      </c>
      <c r="P5" s="2" t="s">
        <v>167</v>
      </c>
    </row>
    <row r="6" spans="1:16" x14ac:dyDescent="0.25">
      <c r="A6" s="15" t="s">
        <v>387</v>
      </c>
      <c r="B6" s="18" t="s">
        <v>343</v>
      </c>
      <c r="C6" s="2" t="s">
        <v>5</v>
      </c>
      <c r="D6" s="2" t="str">
        <f>VLOOKUP($C6,Sheet1!$A$2:$B$10,2,0)</f>
        <v>141110-14600</v>
      </c>
      <c r="E6" s="8" t="s">
        <v>40</v>
      </c>
      <c r="F6" s="12">
        <v>45997</v>
      </c>
      <c r="G6" s="13">
        <v>0.27083333333333331</v>
      </c>
      <c r="H6" s="2" t="s">
        <v>41</v>
      </c>
      <c r="I6" s="2" t="s">
        <v>42</v>
      </c>
      <c r="J6" s="2">
        <v>18</v>
      </c>
      <c r="K6" s="14">
        <f>VLOOKUP($C6,Sheet1!$A$2:$D$10,4,0)</f>
        <v>18</v>
      </c>
      <c r="L6" s="14" t="str">
        <f>VLOOKUP($C6,Sheet1!$A$2:$E$10,5,0)</f>
        <v>Trolley (H)</v>
      </c>
      <c r="M6" s="14"/>
      <c r="N6" s="51">
        <v>1</v>
      </c>
      <c r="O6" s="2" t="s">
        <v>113</v>
      </c>
      <c r="P6" s="2" t="s">
        <v>167</v>
      </c>
    </row>
    <row r="7" spans="1:16" x14ac:dyDescent="0.25">
      <c r="A7" s="15" t="s">
        <v>387</v>
      </c>
      <c r="B7" s="18" t="s">
        <v>348</v>
      </c>
      <c r="C7" s="2" t="s">
        <v>9</v>
      </c>
      <c r="D7" s="2" t="str">
        <f>VLOOKUP($C7,Sheet1!$A$2:$B$10,2,0)</f>
        <v>141120-14600</v>
      </c>
      <c r="E7" s="8" t="s">
        <v>47</v>
      </c>
      <c r="F7" s="12">
        <v>45997</v>
      </c>
      <c r="G7" s="13">
        <v>0.27083333333333331</v>
      </c>
      <c r="H7" s="2" t="s">
        <v>41</v>
      </c>
      <c r="I7" s="2" t="s">
        <v>42</v>
      </c>
      <c r="J7" s="2">
        <v>18</v>
      </c>
      <c r="K7" s="14">
        <f>VLOOKUP($C7,Sheet1!$A$2:$D$10,4,0)</f>
        <v>18</v>
      </c>
      <c r="L7" s="14" t="str">
        <f>VLOOKUP($C7,Sheet1!$A$2:$E$10,5,0)</f>
        <v>Trolley (H)</v>
      </c>
      <c r="M7" s="14"/>
      <c r="N7" s="52"/>
      <c r="O7" s="2" t="s">
        <v>113</v>
      </c>
      <c r="P7" s="2" t="s">
        <v>167</v>
      </c>
    </row>
    <row r="8" spans="1:16" x14ac:dyDescent="0.25">
      <c r="A8" s="15" t="s">
        <v>387</v>
      </c>
      <c r="B8" s="18" t="s">
        <v>352</v>
      </c>
      <c r="C8" s="2" t="s">
        <v>12</v>
      </c>
      <c r="D8" s="2" t="str">
        <f>VLOOKUP($C8,Sheet1!$A$2:$B$10,2,0)</f>
        <v>141185-74670</v>
      </c>
      <c r="E8" s="8" t="s">
        <v>52</v>
      </c>
      <c r="F8" s="12">
        <v>45997</v>
      </c>
      <c r="G8" s="13">
        <v>0.27083333333333331</v>
      </c>
      <c r="H8" s="2" t="s">
        <v>41</v>
      </c>
      <c r="I8" s="2" t="s">
        <v>42</v>
      </c>
      <c r="J8" s="2">
        <v>120</v>
      </c>
      <c r="K8" s="14">
        <f>VLOOKUP($C8,Sheet1!$A$2:$D$10,4,0)</f>
        <v>40</v>
      </c>
      <c r="L8" s="14" t="str">
        <f>VLOOKUP($C8,Sheet1!$A$2:$E$10,5,0)</f>
        <v>Trolley</v>
      </c>
      <c r="M8" s="14"/>
      <c r="N8" s="2">
        <f>J8/K8</f>
        <v>3</v>
      </c>
      <c r="O8" s="2" t="s">
        <v>113</v>
      </c>
      <c r="P8" s="2" t="s">
        <v>452</v>
      </c>
    </row>
    <row r="9" spans="1:16" x14ac:dyDescent="0.25">
      <c r="A9" s="15" t="s">
        <v>387</v>
      </c>
      <c r="B9" s="18" t="s">
        <v>356</v>
      </c>
      <c r="C9" s="2" t="s">
        <v>16</v>
      </c>
      <c r="D9" s="2" t="str">
        <f>VLOOKUP($C9,Sheet1!$A$2:$B$10,2,0)</f>
        <v>141140-91211</v>
      </c>
      <c r="E9" s="8" t="s">
        <v>57</v>
      </c>
      <c r="F9" s="12">
        <v>45997</v>
      </c>
      <c r="G9" s="13">
        <v>0.27083333333333331</v>
      </c>
      <c r="H9" s="2" t="s">
        <v>58</v>
      </c>
      <c r="I9" s="2" t="s">
        <v>42</v>
      </c>
      <c r="J9" s="2">
        <v>30</v>
      </c>
      <c r="K9" s="14">
        <f>VLOOKUP($C9,Sheet1!$A$2:$D$10,4,0)</f>
        <v>2</v>
      </c>
      <c r="L9" s="14" t="str">
        <f>VLOOKUP($C9,Sheet1!$A$2:$E$10,5,0)</f>
        <v>Bin</v>
      </c>
      <c r="M9" s="14">
        <f t="shared" ref="M9:M18" si="0">J9/K9</f>
        <v>15</v>
      </c>
      <c r="N9" s="2"/>
      <c r="O9" s="2" t="s">
        <v>113</v>
      </c>
      <c r="P9" s="2" t="s">
        <v>209</v>
      </c>
    </row>
    <row r="10" spans="1:16" x14ac:dyDescent="0.25">
      <c r="A10" s="15" t="s">
        <v>387</v>
      </c>
      <c r="B10" s="18" t="s">
        <v>357</v>
      </c>
      <c r="C10" s="2" t="s">
        <v>16</v>
      </c>
      <c r="D10" s="2" t="str">
        <f>VLOOKUP($C10,Sheet1!$A$2:$B$10,2,0)</f>
        <v>141140-91211</v>
      </c>
      <c r="E10" s="8" t="s">
        <v>57</v>
      </c>
      <c r="F10" s="12">
        <v>45997</v>
      </c>
      <c r="G10" s="13">
        <v>0.27083333333333331</v>
      </c>
      <c r="H10" s="2" t="s">
        <v>58</v>
      </c>
      <c r="I10" s="2" t="s">
        <v>42</v>
      </c>
      <c r="J10" s="2">
        <v>18</v>
      </c>
      <c r="K10" s="14">
        <f>VLOOKUP($C10,Sheet1!$A$2:$D$10,4,0)</f>
        <v>2</v>
      </c>
      <c r="L10" s="14" t="str">
        <f>VLOOKUP($C10,Sheet1!$A$2:$E$10,5,0)</f>
        <v>Bin</v>
      </c>
      <c r="M10" s="14">
        <f t="shared" si="0"/>
        <v>9</v>
      </c>
      <c r="N10" s="2"/>
      <c r="O10" s="2" t="s">
        <v>113</v>
      </c>
      <c r="P10" s="2" t="s">
        <v>209</v>
      </c>
    </row>
    <row r="11" spans="1:16" x14ac:dyDescent="0.25">
      <c r="A11" s="15" t="s">
        <v>387</v>
      </c>
      <c r="B11" s="18" t="s">
        <v>361</v>
      </c>
      <c r="C11" s="2" t="s">
        <v>20</v>
      </c>
      <c r="D11" s="2" t="str">
        <f>VLOOKUP($C11,Sheet1!$A$2:$B$10,2,0)</f>
        <v>141150-91211</v>
      </c>
      <c r="E11" s="8" t="s">
        <v>64</v>
      </c>
      <c r="F11" s="12">
        <v>45997</v>
      </c>
      <c r="G11" s="13">
        <v>0.27083333333333331</v>
      </c>
      <c r="H11" s="2" t="s">
        <v>58</v>
      </c>
      <c r="I11" s="2" t="s">
        <v>42</v>
      </c>
      <c r="J11" s="2">
        <v>30</v>
      </c>
      <c r="K11" s="14">
        <f>VLOOKUP($C11,Sheet1!$A$2:$D$10,4,0)</f>
        <v>2</v>
      </c>
      <c r="L11" s="14" t="str">
        <f>VLOOKUP($C11,Sheet1!$A$2:$E$10,5,0)</f>
        <v>Bin</v>
      </c>
      <c r="M11" s="14">
        <f t="shared" si="0"/>
        <v>15</v>
      </c>
      <c r="N11" s="2"/>
      <c r="O11" s="2" t="s">
        <v>113</v>
      </c>
      <c r="P11" s="2" t="s">
        <v>209</v>
      </c>
    </row>
    <row r="12" spans="1:16" x14ac:dyDescent="0.25">
      <c r="A12" s="15" t="s">
        <v>387</v>
      </c>
      <c r="B12" s="18" t="s">
        <v>362</v>
      </c>
      <c r="C12" s="2" t="s">
        <v>20</v>
      </c>
      <c r="D12" s="2" t="str">
        <f>VLOOKUP($C12,Sheet1!$A$2:$B$10,2,0)</f>
        <v>141150-91211</v>
      </c>
      <c r="E12" s="8" t="s">
        <v>64</v>
      </c>
      <c r="F12" s="12">
        <v>45997</v>
      </c>
      <c r="G12" s="13">
        <v>0.27083333333333331</v>
      </c>
      <c r="H12" s="2" t="s">
        <v>58</v>
      </c>
      <c r="I12" s="2" t="s">
        <v>42</v>
      </c>
      <c r="J12" s="2">
        <v>18</v>
      </c>
      <c r="K12" s="14">
        <f>VLOOKUP($C12,Sheet1!$A$2:$D$10,4,0)</f>
        <v>2</v>
      </c>
      <c r="L12" s="14" t="str">
        <f>VLOOKUP($C12,Sheet1!$A$2:$E$10,5,0)</f>
        <v>Bin</v>
      </c>
      <c r="M12" s="14">
        <f t="shared" si="0"/>
        <v>9</v>
      </c>
      <c r="N12" s="2"/>
      <c r="O12" s="2" t="s">
        <v>113</v>
      </c>
      <c r="P12" s="2" t="s">
        <v>209</v>
      </c>
    </row>
    <row r="13" spans="1:16" x14ac:dyDescent="0.25">
      <c r="A13" s="15" t="s">
        <v>389</v>
      </c>
      <c r="B13" s="18" t="s">
        <v>371</v>
      </c>
      <c r="C13" s="2" t="s">
        <v>26</v>
      </c>
      <c r="D13" s="2" t="str">
        <f>VLOOKUP($C13,Sheet1!$A$2:$B$10,2,0)</f>
        <v>116040-92240</v>
      </c>
      <c r="E13" s="8" t="s">
        <v>75</v>
      </c>
      <c r="F13" s="12">
        <v>45997</v>
      </c>
      <c r="G13" s="13">
        <v>0.27083333333333331</v>
      </c>
      <c r="H13" s="2" t="s">
        <v>76</v>
      </c>
      <c r="I13" s="2" t="s">
        <v>42</v>
      </c>
      <c r="J13" s="2">
        <v>30</v>
      </c>
      <c r="K13" s="14">
        <f>VLOOKUP($C13,Sheet1!$A$2:$D$10,4,0)</f>
        <v>6</v>
      </c>
      <c r="L13" s="14" t="str">
        <f>VLOOKUP($C13,Sheet1!$A$2:$E$10,5,0)</f>
        <v>Bin</v>
      </c>
      <c r="M13" s="14">
        <f t="shared" si="0"/>
        <v>5</v>
      </c>
      <c r="N13" s="2"/>
      <c r="O13" s="2" t="s">
        <v>113</v>
      </c>
      <c r="P13" s="2" t="s">
        <v>169</v>
      </c>
    </row>
    <row r="14" spans="1:16" x14ac:dyDescent="0.25">
      <c r="A14" s="15" t="s">
        <v>389</v>
      </c>
      <c r="B14" s="18" t="s">
        <v>372</v>
      </c>
      <c r="C14" s="2" t="s">
        <v>26</v>
      </c>
      <c r="D14" s="2" t="str">
        <f>VLOOKUP($C14,Sheet1!$A$2:$B$10,2,0)</f>
        <v>116040-92240</v>
      </c>
      <c r="E14" s="8" t="s">
        <v>75</v>
      </c>
      <c r="F14" s="12">
        <v>45997</v>
      </c>
      <c r="G14" s="13">
        <v>0.27083333333333331</v>
      </c>
      <c r="H14" s="2" t="s">
        <v>76</v>
      </c>
      <c r="I14" s="2" t="s">
        <v>42</v>
      </c>
      <c r="J14" s="2">
        <v>18</v>
      </c>
      <c r="K14" s="14">
        <f>VLOOKUP($C14,Sheet1!$A$2:$D$10,4,0)</f>
        <v>6</v>
      </c>
      <c r="L14" s="14" t="str">
        <f>VLOOKUP($C14,Sheet1!$A$2:$E$10,5,0)</f>
        <v>Bin</v>
      </c>
      <c r="M14" s="14">
        <f t="shared" si="0"/>
        <v>3</v>
      </c>
      <c r="N14" s="2"/>
      <c r="O14" s="2" t="s">
        <v>113</v>
      </c>
      <c r="P14" s="2" t="s">
        <v>169</v>
      </c>
    </row>
    <row r="15" spans="1:16" x14ac:dyDescent="0.25">
      <c r="A15" s="15" t="s">
        <v>389</v>
      </c>
      <c r="B15" s="18" t="s">
        <v>376</v>
      </c>
      <c r="C15" s="2" t="s">
        <v>32</v>
      </c>
      <c r="D15" s="2" t="str">
        <f>VLOOKUP($C15,Sheet1!$A$2:$B$10,2,0)</f>
        <v>114010-50820</v>
      </c>
      <c r="E15" s="8" t="s">
        <v>82</v>
      </c>
      <c r="F15" s="12">
        <v>45997</v>
      </c>
      <c r="G15" s="13">
        <v>0.27083333333333331</v>
      </c>
      <c r="H15" s="2" t="s">
        <v>76</v>
      </c>
      <c r="I15" s="2" t="s">
        <v>42</v>
      </c>
      <c r="J15" s="2">
        <v>13</v>
      </c>
      <c r="K15" s="14">
        <f>VLOOKUP($C15,Sheet1!$A$2:$D$10,4,0)</f>
        <v>1</v>
      </c>
      <c r="L15" s="14" t="str">
        <f>VLOOKUP($C15,Sheet1!$A$2:$E$10,5,0)</f>
        <v>Bin</v>
      </c>
      <c r="M15" s="14">
        <f t="shared" si="0"/>
        <v>13</v>
      </c>
      <c r="N15" s="2"/>
      <c r="O15" s="2" t="s">
        <v>113</v>
      </c>
      <c r="P15" s="2" t="s">
        <v>398</v>
      </c>
    </row>
    <row r="16" spans="1:16" x14ac:dyDescent="0.25">
      <c r="A16" s="15" t="s">
        <v>389</v>
      </c>
      <c r="B16" s="18" t="s">
        <v>377</v>
      </c>
      <c r="C16" s="2" t="s">
        <v>32</v>
      </c>
      <c r="D16" s="2" t="str">
        <f>VLOOKUP($C16,Sheet1!$A$2:$B$10,2,0)</f>
        <v>114010-50820</v>
      </c>
      <c r="E16" s="8" t="s">
        <v>82</v>
      </c>
      <c r="F16" s="12">
        <v>45997</v>
      </c>
      <c r="G16" s="13">
        <v>0.27083333333333331</v>
      </c>
      <c r="H16" s="2" t="s">
        <v>76</v>
      </c>
      <c r="I16" s="2" t="s">
        <v>42</v>
      </c>
      <c r="J16" s="2">
        <v>3</v>
      </c>
      <c r="K16" s="14">
        <f>VLOOKUP($C16,Sheet1!$A$2:$D$10,4,0)</f>
        <v>1</v>
      </c>
      <c r="L16" s="14" t="str">
        <f>VLOOKUP($C16,Sheet1!$A$2:$E$10,5,0)</f>
        <v>Bin</v>
      </c>
      <c r="M16" s="14">
        <f t="shared" si="0"/>
        <v>3</v>
      </c>
      <c r="N16" s="2"/>
      <c r="O16" s="2" t="s">
        <v>113</v>
      </c>
      <c r="P16" s="2" t="s">
        <v>398</v>
      </c>
    </row>
    <row r="17" spans="1:17" x14ac:dyDescent="0.25">
      <c r="A17" s="15" t="s">
        <v>389</v>
      </c>
      <c r="B17" s="18" t="s">
        <v>381</v>
      </c>
      <c r="C17" s="2" t="s">
        <v>29</v>
      </c>
      <c r="D17" s="2" t="str">
        <f>VLOOKUP($C17,Sheet1!$A$2:$B$10,2,0)</f>
        <v>114010-50830</v>
      </c>
      <c r="E17" s="8" t="s">
        <v>82</v>
      </c>
      <c r="F17" s="12">
        <v>45997</v>
      </c>
      <c r="G17" s="13">
        <v>0.27083333333333331</v>
      </c>
      <c r="H17" s="2" t="s">
        <v>76</v>
      </c>
      <c r="I17" s="2" t="s">
        <v>42</v>
      </c>
      <c r="J17" s="2">
        <v>17</v>
      </c>
      <c r="K17" s="14">
        <f>VLOOKUP($C17,Sheet1!$A$2:$D$10,4,0)</f>
        <v>1</v>
      </c>
      <c r="L17" s="14" t="str">
        <f>VLOOKUP($C17,Sheet1!$A$2:$E$10,5,0)</f>
        <v>Bin</v>
      </c>
      <c r="M17" s="14">
        <f t="shared" si="0"/>
        <v>17</v>
      </c>
      <c r="N17" s="2"/>
      <c r="O17" s="2" t="s">
        <v>113</v>
      </c>
      <c r="P17" s="2" t="s">
        <v>453</v>
      </c>
    </row>
    <row r="18" spans="1:17" x14ac:dyDescent="0.25">
      <c r="A18" s="15" t="s">
        <v>389</v>
      </c>
      <c r="B18" s="18" t="s">
        <v>382</v>
      </c>
      <c r="C18" s="2" t="s">
        <v>29</v>
      </c>
      <c r="D18" s="2" t="str">
        <f>VLOOKUP($C18,Sheet1!$A$2:$B$10,2,0)</f>
        <v>114010-50830</v>
      </c>
      <c r="E18" s="8" t="s">
        <v>82</v>
      </c>
      <c r="F18" s="12">
        <v>45997</v>
      </c>
      <c r="G18" s="13">
        <v>0.27083333333333331</v>
      </c>
      <c r="H18" s="2" t="s">
        <v>76</v>
      </c>
      <c r="I18" s="2" t="s">
        <v>42</v>
      </c>
      <c r="J18" s="2">
        <v>15</v>
      </c>
      <c r="K18" s="14">
        <f>VLOOKUP($C18,Sheet1!$A$2:$D$10,4,0)</f>
        <v>1</v>
      </c>
      <c r="L18" s="14" t="str">
        <f>VLOOKUP($C18,Sheet1!$A$2:$E$10,5,0)</f>
        <v>Bin</v>
      </c>
      <c r="M18" s="14">
        <f t="shared" si="0"/>
        <v>15</v>
      </c>
      <c r="N18" s="2"/>
      <c r="O18" s="2" t="s">
        <v>113</v>
      </c>
      <c r="P18" s="2" t="s">
        <v>454</v>
      </c>
    </row>
    <row r="19" spans="1:17" s="11" customFormat="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>
        <v>104</v>
      </c>
      <c r="N19" s="10">
        <v>6</v>
      </c>
      <c r="O19" s="10"/>
      <c r="P19" s="10"/>
    </row>
    <row r="20" spans="1:17" x14ac:dyDescent="0.25">
      <c r="A20" s="15" t="s">
        <v>388</v>
      </c>
      <c r="B20" s="18" t="s">
        <v>366</v>
      </c>
      <c r="C20" s="2" t="s">
        <v>23</v>
      </c>
      <c r="D20" s="2" t="str">
        <f>VLOOKUP($C20,Sheet1!$A$2:$B$10,2,0)</f>
        <v>141186-74360</v>
      </c>
      <c r="E20" s="8" t="s">
        <v>70</v>
      </c>
      <c r="F20" s="12">
        <v>45997</v>
      </c>
      <c r="G20" s="21">
        <v>0.27083333333333331</v>
      </c>
      <c r="H20" s="2" t="s">
        <v>58</v>
      </c>
      <c r="I20" s="2" t="s">
        <v>42</v>
      </c>
      <c r="J20" s="2">
        <v>80</v>
      </c>
      <c r="K20" s="14">
        <f>VLOOKUP($C20,Sheet1!$A$2:$D$10,4,0)</f>
        <v>40</v>
      </c>
      <c r="L20" s="14" t="str">
        <f>VLOOKUP($C20,Sheet1!$A$2:$E$10,5,0)</f>
        <v>Trolley</v>
      </c>
      <c r="M20" s="14"/>
      <c r="N20" s="2">
        <f>J20/K20</f>
        <v>2</v>
      </c>
      <c r="O20" s="2" t="s">
        <v>110</v>
      </c>
      <c r="P20" s="2">
        <v>910101143</v>
      </c>
    </row>
    <row r="21" spans="1:17" ht="15.75" thickBot="1" x14ac:dyDescent="0.3">
      <c r="A21" s="15" t="s">
        <v>388</v>
      </c>
      <c r="B21" s="18" t="s">
        <v>367</v>
      </c>
      <c r="C21" s="2" t="s">
        <v>23</v>
      </c>
      <c r="D21" s="2" t="str">
        <f>VLOOKUP($C21,Sheet1!$A$2:$B$10,2,0)</f>
        <v>141186-74360</v>
      </c>
      <c r="E21" s="8" t="s">
        <v>70</v>
      </c>
      <c r="F21" s="12">
        <v>45997</v>
      </c>
      <c r="G21" s="24">
        <v>0.27083333333333331</v>
      </c>
      <c r="H21" s="2" t="s">
        <v>58</v>
      </c>
      <c r="I21" s="2" t="s">
        <v>42</v>
      </c>
      <c r="J21" s="2">
        <v>40</v>
      </c>
      <c r="K21" s="14">
        <f>VLOOKUP($C21,Sheet1!$A$2:$D$10,4,0)</f>
        <v>40</v>
      </c>
      <c r="L21" s="14" t="str">
        <f>VLOOKUP($C21,Sheet1!$A$2:$E$10,5,0)</f>
        <v>Trolley</v>
      </c>
      <c r="M21" s="14"/>
      <c r="N21" s="2">
        <f>J21/K21</f>
        <v>1</v>
      </c>
      <c r="O21" s="2" t="s">
        <v>110</v>
      </c>
      <c r="P21" s="2">
        <v>910101143</v>
      </c>
    </row>
    <row r="22" spans="1:17" ht="15.75" thickTop="1" x14ac:dyDescent="0.25">
      <c r="A22" s="15" t="s">
        <v>390</v>
      </c>
      <c r="B22" s="18" t="s">
        <v>344</v>
      </c>
      <c r="C22" s="2" t="s">
        <v>5</v>
      </c>
      <c r="D22" s="2" t="str">
        <f>VLOOKUP($C22,Sheet1!$A$2:$B$10,2,0)</f>
        <v>141110-14600</v>
      </c>
      <c r="E22" s="8" t="s">
        <v>40</v>
      </c>
      <c r="F22" s="12">
        <v>45997</v>
      </c>
      <c r="G22" s="16">
        <v>0.3125</v>
      </c>
      <c r="H22" s="2" t="s">
        <v>41</v>
      </c>
      <c r="I22" s="2" t="s">
        <v>42</v>
      </c>
      <c r="J22" s="2">
        <v>36</v>
      </c>
      <c r="K22" s="14">
        <f>VLOOKUP($C22,Sheet1!$A$2:$D$10,4,0)</f>
        <v>18</v>
      </c>
      <c r="L22" s="14" t="str">
        <f>VLOOKUP($C22,Sheet1!$A$2:$E$10,5,0)</f>
        <v>Trolley (H)</v>
      </c>
      <c r="M22" s="14"/>
      <c r="N22" s="51">
        <v>2</v>
      </c>
      <c r="O22" s="2" t="s">
        <v>110</v>
      </c>
      <c r="P22" s="2" t="s">
        <v>456</v>
      </c>
    </row>
    <row r="23" spans="1:17" x14ac:dyDescent="0.25">
      <c r="A23" s="15" t="s">
        <v>390</v>
      </c>
      <c r="B23" s="18" t="s">
        <v>349</v>
      </c>
      <c r="C23" s="2" t="s">
        <v>9</v>
      </c>
      <c r="D23" s="2" t="str">
        <f>VLOOKUP($C23,Sheet1!$A$2:$B$10,2,0)</f>
        <v>141120-14600</v>
      </c>
      <c r="E23" s="8" t="s">
        <v>47</v>
      </c>
      <c r="F23" s="12">
        <v>45997</v>
      </c>
      <c r="G23" s="13">
        <v>0.3125</v>
      </c>
      <c r="H23" s="2" t="s">
        <v>41</v>
      </c>
      <c r="I23" s="2" t="s">
        <v>42</v>
      </c>
      <c r="J23" s="2">
        <v>36</v>
      </c>
      <c r="K23" s="14">
        <f>VLOOKUP($C23,Sheet1!$A$2:$D$10,4,0)</f>
        <v>18</v>
      </c>
      <c r="L23" s="14" t="str">
        <f>VLOOKUP($C23,Sheet1!$A$2:$E$10,5,0)</f>
        <v>Trolley (H)</v>
      </c>
      <c r="M23" s="14"/>
      <c r="N23" s="52"/>
      <c r="O23" s="2" t="s">
        <v>110</v>
      </c>
      <c r="P23" s="2" t="s">
        <v>167</v>
      </c>
    </row>
    <row r="24" spans="1:17" x14ac:dyDescent="0.25">
      <c r="A24" s="15" t="s">
        <v>390</v>
      </c>
      <c r="B24" s="18" t="s">
        <v>353</v>
      </c>
      <c r="C24" s="2" t="s">
        <v>12</v>
      </c>
      <c r="D24" s="2" t="str">
        <f>VLOOKUP($C24,Sheet1!$A$2:$B$10,2,0)</f>
        <v>141185-74670</v>
      </c>
      <c r="E24" s="8" t="s">
        <v>52</v>
      </c>
      <c r="F24" s="12">
        <v>45997</v>
      </c>
      <c r="G24" s="13">
        <v>0.3125</v>
      </c>
      <c r="H24" s="2" t="s">
        <v>41</v>
      </c>
      <c r="I24" s="2" t="s">
        <v>42</v>
      </c>
      <c r="J24" s="2">
        <v>40</v>
      </c>
      <c r="K24" s="14">
        <f>VLOOKUP($C24,Sheet1!$A$2:$D$10,4,0)</f>
        <v>40</v>
      </c>
      <c r="L24" s="14" t="str">
        <f>VLOOKUP($C24,Sheet1!$A$2:$E$10,5,0)</f>
        <v>Trolley</v>
      </c>
      <c r="M24" s="14"/>
      <c r="N24" s="2">
        <f>J24/K24</f>
        <v>1</v>
      </c>
      <c r="O24" s="2" t="s">
        <v>110</v>
      </c>
      <c r="P24" s="2">
        <v>910102786</v>
      </c>
    </row>
    <row r="25" spans="1:17" x14ac:dyDescent="0.25">
      <c r="A25" s="15" t="s">
        <v>390</v>
      </c>
      <c r="B25" s="18" t="s">
        <v>358</v>
      </c>
      <c r="C25" s="2" t="s">
        <v>16</v>
      </c>
      <c r="D25" s="2" t="str">
        <f>VLOOKUP($C25,Sheet1!$A$2:$B$10,2,0)</f>
        <v>141140-91211</v>
      </c>
      <c r="E25" s="8" t="s">
        <v>57</v>
      </c>
      <c r="F25" s="12">
        <v>45997</v>
      </c>
      <c r="G25" s="13">
        <v>0.3125</v>
      </c>
      <c r="H25" s="2" t="s">
        <v>58</v>
      </c>
      <c r="I25" s="2" t="s">
        <v>42</v>
      </c>
      <c r="J25" s="2">
        <v>20</v>
      </c>
      <c r="K25" s="14">
        <f>VLOOKUP($C25,Sheet1!$A$2:$D$10,4,0)</f>
        <v>2</v>
      </c>
      <c r="L25" s="14" t="str">
        <f>VLOOKUP($C25,Sheet1!$A$2:$E$10,5,0)</f>
        <v>Bin</v>
      </c>
      <c r="M25" s="14">
        <f>J25/K25</f>
        <v>10</v>
      </c>
      <c r="N25" s="2"/>
      <c r="O25" s="2" t="s">
        <v>110</v>
      </c>
      <c r="P25" s="2" t="s">
        <v>209</v>
      </c>
    </row>
    <row r="26" spans="1:17" x14ac:dyDescent="0.25">
      <c r="A26" s="15" t="s">
        <v>390</v>
      </c>
      <c r="B26" s="18" t="s">
        <v>363</v>
      </c>
      <c r="C26" s="2" t="s">
        <v>20</v>
      </c>
      <c r="D26" s="2" t="str">
        <f>VLOOKUP($C26,Sheet1!$A$2:$B$10,2,0)</f>
        <v>141150-91211</v>
      </c>
      <c r="E26" s="8" t="s">
        <v>64</v>
      </c>
      <c r="F26" s="12">
        <v>45997</v>
      </c>
      <c r="G26" s="13">
        <v>0.3125</v>
      </c>
      <c r="H26" s="2" t="s">
        <v>58</v>
      </c>
      <c r="I26" s="2" t="s">
        <v>42</v>
      </c>
      <c r="J26" s="2">
        <v>20</v>
      </c>
      <c r="K26" s="14">
        <f>VLOOKUP($C26,Sheet1!$A$2:$D$10,4,0)</f>
        <v>2</v>
      </c>
      <c r="L26" s="14" t="str">
        <f>VLOOKUP($C26,Sheet1!$A$2:$E$10,5,0)</f>
        <v>Bin</v>
      </c>
      <c r="M26" s="14">
        <f>J26/K26</f>
        <v>10</v>
      </c>
      <c r="N26" s="2"/>
      <c r="O26" s="2" t="s">
        <v>110</v>
      </c>
      <c r="P26" s="2" t="s">
        <v>209</v>
      </c>
    </row>
    <row r="27" spans="1:17" x14ac:dyDescent="0.25">
      <c r="A27" s="15" t="s">
        <v>390</v>
      </c>
      <c r="B27" s="18" t="s">
        <v>368</v>
      </c>
      <c r="C27" s="2" t="s">
        <v>23</v>
      </c>
      <c r="D27" s="2" t="str">
        <f>VLOOKUP($C27,Sheet1!$A$2:$B$10,2,0)</f>
        <v>141186-74360</v>
      </c>
      <c r="E27" s="8" t="s">
        <v>70</v>
      </c>
      <c r="F27" s="12">
        <v>45997</v>
      </c>
      <c r="G27" s="13">
        <v>0.3125</v>
      </c>
      <c r="H27" s="2" t="s">
        <v>58</v>
      </c>
      <c r="I27" s="2" t="s">
        <v>42</v>
      </c>
      <c r="J27" s="2">
        <v>40</v>
      </c>
      <c r="K27" s="14">
        <f>VLOOKUP($C27,Sheet1!$A$2:$D$10,4,0)</f>
        <v>40</v>
      </c>
      <c r="L27" s="14" t="str">
        <f>VLOOKUP($C27,Sheet1!$A$2:$E$10,5,0)</f>
        <v>Trolley</v>
      </c>
      <c r="M27" s="14"/>
      <c r="N27" s="2">
        <f>J27/K27</f>
        <v>1</v>
      </c>
      <c r="O27" s="2" t="s">
        <v>110</v>
      </c>
      <c r="P27" s="2">
        <v>910101143</v>
      </c>
      <c r="Q27" t="s">
        <v>533</v>
      </c>
    </row>
    <row r="28" spans="1:17" x14ac:dyDescent="0.25">
      <c r="A28" s="15" t="s">
        <v>391</v>
      </c>
      <c r="B28" s="18" t="s">
        <v>373</v>
      </c>
      <c r="C28" s="2" t="s">
        <v>26</v>
      </c>
      <c r="D28" s="2" t="str">
        <f>VLOOKUP($C28,Sheet1!$A$2:$B$10,2,0)</f>
        <v>116040-92240</v>
      </c>
      <c r="E28" s="8" t="s">
        <v>75</v>
      </c>
      <c r="F28" s="12">
        <v>45997</v>
      </c>
      <c r="G28" s="13">
        <v>0.3125</v>
      </c>
      <c r="H28" s="2" t="s">
        <v>76</v>
      </c>
      <c r="I28" s="2" t="s">
        <v>42</v>
      </c>
      <c r="J28" s="2">
        <v>24</v>
      </c>
      <c r="K28" s="14">
        <f>VLOOKUP($C28,Sheet1!$A$2:$D$10,4,0)</f>
        <v>6</v>
      </c>
      <c r="L28" s="14" t="str">
        <f>VLOOKUP($C28,Sheet1!$A$2:$E$10,5,0)</f>
        <v>Bin</v>
      </c>
      <c r="M28" s="14">
        <f>J28/K28</f>
        <v>4</v>
      </c>
      <c r="N28" s="2"/>
      <c r="O28" s="2" t="s">
        <v>110</v>
      </c>
      <c r="P28" s="2" t="s">
        <v>169</v>
      </c>
    </row>
    <row r="29" spans="1:17" x14ac:dyDescent="0.25">
      <c r="A29" s="15" t="s">
        <v>391</v>
      </c>
      <c r="B29" s="18" t="s">
        <v>378</v>
      </c>
      <c r="C29" s="2" t="s">
        <v>32</v>
      </c>
      <c r="D29" s="2" t="str">
        <f>VLOOKUP($C29,Sheet1!$A$2:$B$10,2,0)</f>
        <v>114010-50820</v>
      </c>
      <c r="E29" s="8" t="s">
        <v>82</v>
      </c>
      <c r="F29" s="12">
        <v>45997</v>
      </c>
      <c r="G29" s="13">
        <v>0.3125</v>
      </c>
      <c r="H29" s="2" t="s">
        <v>76</v>
      </c>
      <c r="I29" s="2" t="s">
        <v>42</v>
      </c>
      <c r="J29" s="2">
        <v>10</v>
      </c>
      <c r="K29" s="14">
        <f>VLOOKUP($C29,Sheet1!$A$2:$D$10,4,0)</f>
        <v>1</v>
      </c>
      <c r="L29" s="14" t="str">
        <f>VLOOKUP($C29,Sheet1!$A$2:$E$10,5,0)</f>
        <v>Bin</v>
      </c>
      <c r="M29" s="14">
        <f>J29/K29</f>
        <v>10</v>
      </c>
      <c r="N29" s="2"/>
      <c r="O29" s="2" t="s">
        <v>110</v>
      </c>
      <c r="P29" s="2" t="s">
        <v>398</v>
      </c>
    </row>
    <row r="30" spans="1:17" x14ac:dyDescent="0.25">
      <c r="A30" s="15" t="s">
        <v>391</v>
      </c>
      <c r="B30" s="18" t="s">
        <v>383</v>
      </c>
      <c r="C30" s="2" t="s">
        <v>29</v>
      </c>
      <c r="D30" s="2" t="str">
        <f>VLOOKUP($C30,Sheet1!$A$2:$B$10,2,0)</f>
        <v>114010-50830</v>
      </c>
      <c r="E30" s="8" t="s">
        <v>82</v>
      </c>
      <c r="F30" s="12">
        <v>45997</v>
      </c>
      <c r="G30" s="13">
        <v>0.3125</v>
      </c>
      <c r="H30" s="2" t="s">
        <v>76</v>
      </c>
      <c r="I30" s="2" t="s">
        <v>42</v>
      </c>
      <c r="J30" s="2">
        <v>10</v>
      </c>
      <c r="K30" s="14">
        <f>VLOOKUP($C30,Sheet1!$A$2:$D$10,4,0)</f>
        <v>1</v>
      </c>
      <c r="L30" s="14" t="str">
        <f>VLOOKUP($C30,Sheet1!$A$2:$E$10,5,0)</f>
        <v>Bin</v>
      </c>
      <c r="M30" s="14">
        <f>J30/K30</f>
        <v>10</v>
      </c>
      <c r="N30" s="2"/>
      <c r="O30" s="2" t="s">
        <v>110</v>
      </c>
      <c r="P30" s="2" t="s">
        <v>453</v>
      </c>
    </row>
    <row r="31" spans="1:17" s="11" customForma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>
        <v>44</v>
      </c>
      <c r="N31" s="10">
        <v>7</v>
      </c>
      <c r="O31" s="10"/>
      <c r="P31" s="10"/>
    </row>
    <row r="32" spans="1:17" x14ac:dyDescent="0.25">
      <c r="A32" s="15" t="s">
        <v>392</v>
      </c>
      <c r="B32" s="18" t="s">
        <v>345</v>
      </c>
      <c r="C32" s="2" t="s">
        <v>5</v>
      </c>
      <c r="D32" s="2" t="str">
        <f>VLOOKUP($C32,Sheet1!$A$2:$B$10,2,0)</f>
        <v>141110-14600</v>
      </c>
      <c r="E32" s="8" t="s">
        <v>40</v>
      </c>
      <c r="F32" s="12">
        <v>45997</v>
      </c>
      <c r="G32" s="13">
        <v>0.5625</v>
      </c>
      <c r="H32" s="2" t="s">
        <v>41</v>
      </c>
      <c r="I32" s="2" t="s">
        <v>42</v>
      </c>
      <c r="J32" s="2">
        <v>18</v>
      </c>
      <c r="K32" s="14">
        <f>VLOOKUP($C32,Sheet1!$A$2:$D$10,4,0)</f>
        <v>18</v>
      </c>
      <c r="L32" s="14" t="str">
        <f>VLOOKUP($C32,Sheet1!$A$2:$E$10,5,0)</f>
        <v>Trolley (H)</v>
      </c>
      <c r="M32" s="14"/>
      <c r="N32" s="51">
        <v>1</v>
      </c>
      <c r="O32" s="2" t="s">
        <v>157</v>
      </c>
      <c r="P32" s="2" t="s">
        <v>455</v>
      </c>
    </row>
    <row r="33" spans="1:16" x14ac:dyDescent="0.25">
      <c r="A33" s="15" t="s">
        <v>392</v>
      </c>
      <c r="B33" s="18" t="s">
        <v>350</v>
      </c>
      <c r="C33" s="2" t="s">
        <v>9</v>
      </c>
      <c r="D33" s="2" t="str">
        <f>VLOOKUP($C33,Sheet1!$A$2:$B$10,2,0)</f>
        <v>141120-14600</v>
      </c>
      <c r="E33" s="8" t="s">
        <v>47</v>
      </c>
      <c r="F33" s="12">
        <v>45997</v>
      </c>
      <c r="G33" s="13">
        <v>0.5625</v>
      </c>
      <c r="H33" s="2" t="s">
        <v>41</v>
      </c>
      <c r="I33" s="2" t="s">
        <v>42</v>
      </c>
      <c r="J33" s="2">
        <v>18</v>
      </c>
      <c r="K33" s="14">
        <f>VLOOKUP($C33,Sheet1!$A$2:$D$10,4,0)</f>
        <v>18</v>
      </c>
      <c r="L33" s="14" t="str">
        <f>VLOOKUP($C33,Sheet1!$A$2:$E$10,5,0)</f>
        <v>Trolley (H)</v>
      </c>
      <c r="M33" s="14"/>
      <c r="N33" s="52"/>
      <c r="O33" s="2" t="s">
        <v>157</v>
      </c>
      <c r="P33" s="2" t="s">
        <v>167</v>
      </c>
    </row>
    <row r="34" spans="1:16" x14ac:dyDescent="0.25">
      <c r="A34" s="15" t="s">
        <v>392</v>
      </c>
      <c r="B34" s="18" t="s">
        <v>354</v>
      </c>
      <c r="C34" s="2" t="s">
        <v>12</v>
      </c>
      <c r="D34" s="2" t="str">
        <f>VLOOKUP($C34,Sheet1!$A$2:$B$10,2,0)</f>
        <v>141185-74670</v>
      </c>
      <c r="E34" s="8" t="s">
        <v>52</v>
      </c>
      <c r="F34" s="12">
        <v>45997</v>
      </c>
      <c r="G34" s="13">
        <v>0.5625</v>
      </c>
      <c r="H34" s="2" t="s">
        <v>41</v>
      </c>
      <c r="I34" s="2" t="s">
        <v>42</v>
      </c>
      <c r="J34" s="2">
        <v>40</v>
      </c>
      <c r="K34" s="14">
        <f>VLOOKUP($C34,Sheet1!$A$2:$D$10,4,0)</f>
        <v>40</v>
      </c>
      <c r="L34" s="14" t="str">
        <f>VLOOKUP($C34,Sheet1!$A$2:$E$10,5,0)</f>
        <v>Trolley</v>
      </c>
      <c r="M34" s="14"/>
      <c r="N34" s="2">
        <f>J34/K34</f>
        <v>1</v>
      </c>
      <c r="O34" s="2" t="s">
        <v>157</v>
      </c>
      <c r="P34" s="2">
        <v>910102863</v>
      </c>
    </row>
    <row r="35" spans="1:16" x14ac:dyDescent="0.25">
      <c r="A35" s="15" t="s">
        <v>392</v>
      </c>
      <c r="B35" s="18" t="s">
        <v>359</v>
      </c>
      <c r="C35" s="2" t="s">
        <v>16</v>
      </c>
      <c r="D35" s="2" t="str">
        <f>VLOOKUP($C35,Sheet1!$A$2:$B$10,2,0)</f>
        <v>141140-91211</v>
      </c>
      <c r="E35" s="8" t="s">
        <v>57</v>
      </c>
      <c r="F35" s="12">
        <v>45997</v>
      </c>
      <c r="G35" s="13">
        <v>0.5625</v>
      </c>
      <c r="H35" s="2" t="s">
        <v>58</v>
      </c>
      <c r="I35" s="2" t="s">
        <v>42</v>
      </c>
      <c r="J35" s="2">
        <v>20</v>
      </c>
      <c r="K35" s="14">
        <f>VLOOKUP($C35,Sheet1!$A$2:$D$10,4,0)</f>
        <v>2</v>
      </c>
      <c r="L35" s="14" t="str">
        <f>VLOOKUP($C35,Sheet1!$A$2:$E$10,5,0)</f>
        <v>Bin</v>
      </c>
      <c r="M35" s="14">
        <f>J35/K35</f>
        <v>10</v>
      </c>
      <c r="N35" s="2"/>
      <c r="O35" s="2" t="s">
        <v>157</v>
      </c>
      <c r="P35" s="2" t="s">
        <v>209</v>
      </c>
    </row>
    <row r="36" spans="1:16" x14ac:dyDescent="0.25">
      <c r="A36" s="15" t="s">
        <v>392</v>
      </c>
      <c r="B36" s="18" t="s">
        <v>364</v>
      </c>
      <c r="C36" s="2" t="s">
        <v>20</v>
      </c>
      <c r="D36" s="2" t="str">
        <f>VLOOKUP($C36,Sheet1!$A$2:$B$10,2,0)</f>
        <v>141150-91211</v>
      </c>
      <c r="E36" s="8" t="s">
        <v>64</v>
      </c>
      <c r="F36" s="12">
        <v>45997</v>
      </c>
      <c r="G36" s="13">
        <v>0.5625</v>
      </c>
      <c r="H36" s="2" t="s">
        <v>58</v>
      </c>
      <c r="I36" s="2" t="s">
        <v>42</v>
      </c>
      <c r="J36" s="2">
        <v>20</v>
      </c>
      <c r="K36" s="14">
        <f>VLOOKUP($C36,Sheet1!$A$2:$D$10,4,0)</f>
        <v>2</v>
      </c>
      <c r="L36" s="14" t="str">
        <f>VLOOKUP($C36,Sheet1!$A$2:$E$10,5,0)</f>
        <v>Bin</v>
      </c>
      <c r="M36" s="14">
        <f>J36/K36</f>
        <v>10</v>
      </c>
      <c r="N36" s="2"/>
      <c r="O36" s="2" t="s">
        <v>157</v>
      </c>
      <c r="P36" s="2" t="s">
        <v>209</v>
      </c>
    </row>
    <row r="37" spans="1:16" x14ac:dyDescent="0.25">
      <c r="A37" s="15" t="s">
        <v>392</v>
      </c>
      <c r="B37" s="18" t="s">
        <v>369</v>
      </c>
      <c r="C37" s="2" t="s">
        <v>23</v>
      </c>
      <c r="D37" s="2" t="str">
        <f>VLOOKUP($C37,Sheet1!$A$2:$B$10,2,0)</f>
        <v>141186-74360</v>
      </c>
      <c r="E37" s="8" t="s">
        <v>70</v>
      </c>
      <c r="F37" s="12">
        <v>45997</v>
      </c>
      <c r="G37" s="13">
        <v>0.5625</v>
      </c>
      <c r="H37" s="2" t="s">
        <v>58</v>
      </c>
      <c r="I37" s="2" t="s">
        <v>42</v>
      </c>
      <c r="J37" s="2">
        <v>40</v>
      </c>
      <c r="K37" s="14">
        <f>VLOOKUP($C37,Sheet1!$A$2:$D$10,4,0)</f>
        <v>40</v>
      </c>
      <c r="L37" s="14" t="str">
        <f>VLOOKUP($C37,Sheet1!$A$2:$E$10,5,0)</f>
        <v>Trolley</v>
      </c>
      <c r="M37" s="14"/>
      <c r="N37" s="2">
        <f>J37/K37</f>
        <v>1</v>
      </c>
      <c r="O37" s="2" t="s">
        <v>157</v>
      </c>
      <c r="P37" s="2">
        <v>910101143</v>
      </c>
    </row>
    <row r="38" spans="1:16" x14ac:dyDescent="0.25">
      <c r="A38" s="15" t="s">
        <v>393</v>
      </c>
      <c r="B38" s="18" t="s">
        <v>374</v>
      </c>
      <c r="C38" s="2" t="s">
        <v>26</v>
      </c>
      <c r="D38" s="2" t="str">
        <f>VLOOKUP($C38,Sheet1!$A$2:$B$10,2,0)</f>
        <v>116040-92240</v>
      </c>
      <c r="E38" s="8" t="s">
        <v>75</v>
      </c>
      <c r="F38" s="12">
        <v>45997</v>
      </c>
      <c r="G38" s="13">
        <v>0.5625</v>
      </c>
      <c r="H38" s="2" t="s">
        <v>76</v>
      </c>
      <c r="I38" s="2" t="s">
        <v>42</v>
      </c>
      <c r="J38" s="2">
        <v>18</v>
      </c>
      <c r="K38" s="14">
        <f>VLOOKUP($C38,Sheet1!$A$2:$D$10,4,0)</f>
        <v>6</v>
      </c>
      <c r="L38" s="14" t="str">
        <f>VLOOKUP($C38,Sheet1!$A$2:$E$10,5,0)</f>
        <v>Bin</v>
      </c>
      <c r="M38" s="14">
        <f>J38/K38</f>
        <v>3</v>
      </c>
      <c r="N38" s="2"/>
      <c r="O38" s="2" t="s">
        <v>157</v>
      </c>
      <c r="P38" s="2" t="s">
        <v>169</v>
      </c>
    </row>
    <row r="39" spans="1:16" x14ac:dyDescent="0.25">
      <c r="A39" s="15" t="s">
        <v>393</v>
      </c>
      <c r="B39" s="18" t="s">
        <v>379</v>
      </c>
      <c r="C39" s="2" t="s">
        <v>32</v>
      </c>
      <c r="D39" s="2" t="str">
        <f>VLOOKUP($C39,Sheet1!$A$2:$B$10,2,0)</f>
        <v>114010-50820</v>
      </c>
      <c r="E39" s="8" t="s">
        <v>82</v>
      </c>
      <c r="F39" s="12">
        <v>45997</v>
      </c>
      <c r="G39" s="13">
        <v>0.5625</v>
      </c>
      <c r="H39" s="2" t="s">
        <v>76</v>
      </c>
      <c r="I39" s="2" t="s">
        <v>42</v>
      </c>
      <c r="J39" s="2">
        <v>10</v>
      </c>
      <c r="K39" s="14">
        <f>VLOOKUP($C39,Sheet1!$A$2:$D$10,4,0)</f>
        <v>1</v>
      </c>
      <c r="L39" s="14" t="str">
        <f>VLOOKUP($C39,Sheet1!$A$2:$E$10,5,0)</f>
        <v>Bin</v>
      </c>
      <c r="M39" s="14">
        <f>J39/K39</f>
        <v>10</v>
      </c>
      <c r="N39" s="2"/>
      <c r="O39" s="2" t="s">
        <v>157</v>
      </c>
      <c r="P39" s="2" t="s">
        <v>398</v>
      </c>
    </row>
    <row r="40" spans="1:16" x14ac:dyDescent="0.25">
      <c r="A40" s="15" t="s">
        <v>393</v>
      </c>
      <c r="B40" s="18" t="s">
        <v>384</v>
      </c>
      <c r="C40" s="2" t="s">
        <v>29</v>
      </c>
      <c r="D40" s="2" t="str">
        <f>VLOOKUP($C40,Sheet1!$A$2:$B$10,2,0)</f>
        <v>114010-50830</v>
      </c>
      <c r="E40" s="8" t="s">
        <v>82</v>
      </c>
      <c r="F40" s="12">
        <v>45997</v>
      </c>
      <c r="G40" s="13">
        <v>0.5625</v>
      </c>
      <c r="H40" s="2" t="s">
        <v>76</v>
      </c>
      <c r="I40" s="2" t="s">
        <v>42</v>
      </c>
      <c r="J40" s="2">
        <v>10</v>
      </c>
      <c r="K40" s="14">
        <f>VLOOKUP($C40,Sheet1!$A$2:$D$10,4,0)</f>
        <v>1</v>
      </c>
      <c r="L40" s="14" t="str">
        <f>VLOOKUP($C40,Sheet1!$A$2:$E$10,5,0)</f>
        <v>Bin</v>
      </c>
      <c r="M40" s="14">
        <f>J40/K40</f>
        <v>10</v>
      </c>
      <c r="N40" s="2"/>
      <c r="O40" s="2" t="s">
        <v>157</v>
      </c>
      <c r="P40" s="2" t="s">
        <v>453</v>
      </c>
    </row>
    <row r="41" spans="1:16" s="11" customForma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>
        <v>43</v>
      </c>
      <c r="N41" s="10">
        <v>3</v>
      </c>
      <c r="O41" s="10"/>
      <c r="P41" s="10"/>
    </row>
    <row r="42" spans="1:16" x14ac:dyDescent="0.25">
      <c r="A42" s="15" t="s">
        <v>394</v>
      </c>
      <c r="B42" s="18" t="s">
        <v>346</v>
      </c>
      <c r="C42" s="2" t="s">
        <v>5</v>
      </c>
      <c r="D42" s="2" t="str">
        <f>VLOOKUP($C42,Sheet1!$A$2:$B$10,2,0)</f>
        <v>141110-14600</v>
      </c>
      <c r="E42" s="8" t="s">
        <v>40</v>
      </c>
      <c r="F42" s="12">
        <v>45997</v>
      </c>
      <c r="G42" s="13">
        <v>0.60416666666666663</v>
      </c>
      <c r="H42" s="2" t="s">
        <v>41</v>
      </c>
      <c r="I42" s="2" t="s">
        <v>42</v>
      </c>
      <c r="J42" s="2">
        <v>18</v>
      </c>
      <c r="K42" s="14">
        <f>VLOOKUP($C42,Sheet1!$A$2:$D$10,4,0)</f>
        <v>18</v>
      </c>
      <c r="L42" s="14" t="str">
        <f>VLOOKUP($C42,Sheet1!$A$2:$E$10,5,0)</f>
        <v>Trolley (H)</v>
      </c>
      <c r="M42" s="14"/>
      <c r="N42" s="51">
        <v>1</v>
      </c>
      <c r="O42" s="2" t="s">
        <v>112</v>
      </c>
      <c r="P42" s="2" t="s">
        <v>455</v>
      </c>
    </row>
    <row r="43" spans="1:16" x14ac:dyDescent="0.25">
      <c r="A43" s="15" t="s">
        <v>394</v>
      </c>
      <c r="B43" s="18" t="s">
        <v>351</v>
      </c>
      <c r="C43" s="2" t="s">
        <v>9</v>
      </c>
      <c r="D43" s="2" t="str">
        <f>VLOOKUP($C43,Sheet1!$A$2:$B$10,2,0)</f>
        <v>141120-14600</v>
      </c>
      <c r="E43" s="8" t="s">
        <v>47</v>
      </c>
      <c r="F43" s="12">
        <v>45997</v>
      </c>
      <c r="G43" s="13">
        <v>0.60416666666666663</v>
      </c>
      <c r="H43" s="2" t="s">
        <v>41</v>
      </c>
      <c r="I43" s="2" t="s">
        <v>42</v>
      </c>
      <c r="J43" s="2">
        <v>18</v>
      </c>
      <c r="K43" s="14">
        <f>VLOOKUP($C43,Sheet1!$A$2:$D$10,4,0)</f>
        <v>18</v>
      </c>
      <c r="L43" s="14" t="str">
        <f>VLOOKUP($C43,Sheet1!$A$2:$E$10,5,0)</f>
        <v>Trolley (H)</v>
      </c>
      <c r="M43" s="14"/>
      <c r="N43" s="52"/>
      <c r="O43" s="2" t="s">
        <v>112</v>
      </c>
      <c r="P43" s="2" t="s">
        <v>167</v>
      </c>
    </row>
    <row r="44" spans="1:16" x14ac:dyDescent="0.25">
      <c r="A44" s="15" t="s">
        <v>394</v>
      </c>
      <c r="B44" s="18" t="s">
        <v>355</v>
      </c>
      <c r="C44" s="2" t="s">
        <v>12</v>
      </c>
      <c r="D44" s="2" t="str">
        <f>VLOOKUP($C44,Sheet1!$A$2:$B$10,2,0)</f>
        <v>141185-74670</v>
      </c>
      <c r="E44" s="8" t="s">
        <v>52</v>
      </c>
      <c r="F44" s="12">
        <v>45997</v>
      </c>
      <c r="G44" s="13">
        <v>0.60416666666666663</v>
      </c>
      <c r="H44" s="2" t="s">
        <v>41</v>
      </c>
      <c r="I44" s="2" t="s">
        <v>42</v>
      </c>
      <c r="J44" s="2">
        <v>40</v>
      </c>
      <c r="K44" s="14">
        <f>VLOOKUP($C44,Sheet1!$A$2:$D$10,4,0)</f>
        <v>40</v>
      </c>
      <c r="L44" s="14" t="str">
        <f>VLOOKUP($C44,Sheet1!$A$2:$E$10,5,0)</f>
        <v>Trolley</v>
      </c>
      <c r="M44" s="14"/>
      <c r="N44" s="2">
        <f>J44/K44</f>
        <v>1</v>
      </c>
      <c r="O44" s="2" t="s">
        <v>112</v>
      </c>
      <c r="P44" s="2">
        <v>910102863</v>
      </c>
    </row>
    <row r="45" spans="1:16" x14ac:dyDescent="0.25">
      <c r="A45" s="15" t="s">
        <v>394</v>
      </c>
      <c r="B45" s="18" t="s">
        <v>360</v>
      </c>
      <c r="C45" s="2" t="s">
        <v>16</v>
      </c>
      <c r="D45" s="2" t="str">
        <f>VLOOKUP($C45,Sheet1!$A$2:$B$10,2,0)</f>
        <v>141140-91211</v>
      </c>
      <c r="E45" s="8" t="s">
        <v>57</v>
      </c>
      <c r="F45" s="12">
        <v>45997</v>
      </c>
      <c r="G45" s="13">
        <v>0.60416666666666663</v>
      </c>
      <c r="H45" s="2" t="s">
        <v>58</v>
      </c>
      <c r="I45" s="2" t="s">
        <v>42</v>
      </c>
      <c r="J45" s="2">
        <v>34</v>
      </c>
      <c r="K45" s="14">
        <f>VLOOKUP($C45,Sheet1!$A$2:$D$10,4,0)</f>
        <v>2</v>
      </c>
      <c r="L45" s="14" t="str">
        <f>VLOOKUP($C45,Sheet1!$A$2:$E$10,5,0)</f>
        <v>Bin</v>
      </c>
      <c r="M45" s="14">
        <f>J45/K45</f>
        <v>17</v>
      </c>
      <c r="N45" s="2"/>
      <c r="O45" s="2" t="s">
        <v>112</v>
      </c>
      <c r="P45" s="2" t="s">
        <v>209</v>
      </c>
    </row>
    <row r="46" spans="1:16" x14ac:dyDescent="0.25">
      <c r="A46" s="15" t="s">
        <v>394</v>
      </c>
      <c r="B46" s="18" t="s">
        <v>365</v>
      </c>
      <c r="C46" s="2" t="s">
        <v>20</v>
      </c>
      <c r="D46" s="2" t="str">
        <f>VLOOKUP($C46,Sheet1!$A$2:$B$10,2,0)</f>
        <v>141150-91211</v>
      </c>
      <c r="E46" s="8" t="s">
        <v>64</v>
      </c>
      <c r="F46" s="12">
        <v>45997</v>
      </c>
      <c r="G46" s="13">
        <v>0.60416666666666663</v>
      </c>
      <c r="H46" s="2" t="s">
        <v>58</v>
      </c>
      <c r="I46" s="2" t="s">
        <v>42</v>
      </c>
      <c r="J46" s="2">
        <v>34</v>
      </c>
      <c r="K46" s="14">
        <f>VLOOKUP($C46,Sheet1!$A$2:$D$10,4,0)</f>
        <v>2</v>
      </c>
      <c r="L46" s="14" t="str">
        <f>VLOOKUP($C46,Sheet1!$A$2:$E$10,5,0)</f>
        <v>Bin</v>
      </c>
      <c r="M46" s="14">
        <f>J46/K46</f>
        <v>17</v>
      </c>
      <c r="N46" s="2"/>
      <c r="O46" s="2" t="s">
        <v>112</v>
      </c>
      <c r="P46" s="2" t="s">
        <v>209</v>
      </c>
    </row>
    <row r="47" spans="1:16" x14ac:dyDescent="0.25">
      <c r="A47" s="15" t="s">
        <v>394</v>
      </c>
      <c r="B47" s="18" t="s">
        <v>370</v>
      </c>
      <c r="C47" s="2" t="s">
        <v>23</v>
      </c>
      <c r="D47" s="2" t="str">
        <f>VLOOKUP($C47,Sheet1!$A$2:$B$10,2,0)</f>
        <v>141186-74360</v>
      </c>
      <c r="E47" s="8" t="s">
        <v>70</v>
      </c>
      <c r="F47" s="12">
        <v>45997</v>
      </c>
      <c r="G47" s="13">
        <v>0.60416666666666663</v>
      </c>
      <c r="H47" s="2" t="s">
        <v>58</v>
      </c>
      <c r="I47" s="2" t="s">
        <v>42</v>
      </c>
      <c r="J47" s="2">
        <v>40</v>
      </c>
      <c r="K47" s="14">
        <f>VLOOKUP($C47,Sheet1!$A$2:$D$10,4,0)</f>
        <v>40</v>
      </c>
      <c r="L47" s="14" t="str">
        <f>VLOOKUP($C47,Sheet1!$A$2:$E$10,5,0)</f>
        <v>Trolley</v>
      </c>
      <c r="M47" s="14"/>
      <c r="N47" s="2">
        <f>J47/K47</f>
        <v>1</v>
      </c>
      <c r="O47" s="2" t="s">
        <v>112</v>
      </c>
      <c r="P47" s="2">
        <v>910101143</v>
      </c>
    </row>
    <row r="48" spans="1:16" x14ac:dyDescent="0.25">
      <c r="A48" s="15" t="s">
        <v>395</v>
      </c>
      <c r="B48" s="18" t="s">
        <v>375</v>
      </c>
      <c r="C48" s="2" t="s">
        <v>26</v>
      </c>
      <c r="D48" s="2" t="str">
        <f>VLOOKUP($C48,Sheet1!$A$2:$B$10,2,0)</f>
        <v>116040-92240</v>
      </c>
      <c r="E48" s="8" t="s">
        <v>75</v>
      </c>
      <c r="F48" s="12">
        <v>45997</v>
      </c>
      <c r="G48" s="13">
        <v>0.60416666666666663</v>
      </c>
      <c r="H48" s="2" t="s">
        <v>76</v>
      </c>
      <c r="I48" s="2" t="s">
        <v>42</v>
      </c>
      <c r="J48" s="2">
        <v>36</v>
      </c>
      <c r="K48" s="14">
        <f>VLOOKUP($C48,Sheet1!$A$2:$D$10,4,0)</f>
        <v>6</v>
      </c>
      <c r="L48" s="14" t="str">
        <f>VLOOKUP($C48,Sheet1!$A$2:$E$10,5,0)</f>
        <v>Bin</v>
      </c>
      <c r="M48" s="14">
        <f>J48/K48</f>
        <v>6</v>
      </c>
      <c r="N48" s="2"/>
      <c r="O48" s="2" t="s">
        <v>112</v>
      </c>
      <c r="P48" s="2" t="s">
        <v>169</v>
      </c>
    </row>
    <row r="49" spans="1:16" x14ac:dyDescent="0.25">
      <c r="A49" s="15" t="s">
        <v>395</v>
      </c>
      <c r="B49" s="18" t="s">
        <v>380</v>
      </c>
      <c r="C49" s="2" t="s">
        <v>32</v>
      </c>
      <c r="D49" s="2" t="str">
        <f>VLOOKUP($C49,Sheet1!$A$2:$B$10,2,0)</f>
        <v>114010-50820</v>
      </c>
      <c r="E49" s="8" t="s">
        <v>82</v>
      </c>
      <c r="F49" s="12">
        <v>45997</v>
      </c>
      <c r="G49" s="13">
        <v>0.60416666666666663</v>
      </c>
      <c r="H49" s="2" t="s">
        <v>76</v>
      </c>
      <c r="I49" s="2" t="s">
        <v>42</v>
      </c>
      <c r="J49" s="2">
        <v>18</v>
      </c>
      <c r="K49" s="14">
        <f>VLOOKUP($C49,Sheet1!$A$2:$D$10,4,0)</f>
        <v>1</v>
      </c>
      <c r="L49" s="14" t="str">
        <f>VLOOKUP($C49,Sheet1!$A$2:$E$10,5,0)</f>
        <v>Bin</v>
      </c>
      <c r="M49" s="14">
        <f>J49/K49</f>
        <v>18</v>
      </c>
      <c r="N49" s="2"/>
      <c r="O49" s="2" t="s">
        <v>112</v>
      </c>
      <c r="P49" s="2" t="s">
        <v>398</v>
      </c>
    </row>
    <row r="50" spans="1:16" x14ac:dyDescent="0.25">
      <c r="A50" s="15" t="s">
        <v>395</v>
      </c>
      <c r="B50" s="18" t="s">
        <v>385</v>
      </c>
      <c r="C50" s="2" t="s">
        <v>29</v>
      </c>
      <c r="D50" s="2" t="str">
        <f>VLOOKUP($C50,Sheet1!$A$2:$B$10,2,0)</f>
        <v>114010-50830</v>
      </c>
      <c r="E50" s="8" t="s">
        <v>82</v>
      </c>
      <c r="F50" s="12">
        <v>45997</v>
      </c>
      <c r="G50" s="13">
        <v>0.60416666666666663</v>
      </c>
      <c r="H50" s="2" t="s">
        <v>76</v>
      </c>
      <c r="I50" s="2" t="s">
        <v>42</v>
      </c>
      <c r="J50" s="2">
        <v>17</v>
      </c>
      <c r="K50" s="14">
        <f>VLOOKUP($C50,Sheet1!$A$2:$D$10,4,0)</f>
        <v>1</v>
      </c>
      <c r="L50" s="14" t="str">
        <f>VLOOKUP($C50,Sheet1!$A$2:$E$10,5,0)</f>
        <v>Bin</v>
      </c>
      <c r="M50" s="14">
        <f>J50/K50</f>
        <v>17</v>
      </c>
      <c r="N50" s="2"/>
      <c r="O50" s="2" t="s">
        <v>112</v>
      </c>
      <c r="P50" s="2" t="s">
        <v>453</v>
      </c>
    </row>
    <row r="51" spans="1:16" s="11" customForma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>
        <v>75</v>
      </c>
      <c r="N51" s="10">
        <v>3</v>
      </c>
      <c r="O51" s="10"/>
      <c r="P51" s="10"/>
    </row>
    <row r="52" spans="1:16" x14ac:dyDescent="0.25">
      <c r="B52" t="s">
        <v>386</v>
      </c>
    </row>
  </sheetData>
  <mergeCells count="8">
    <mergeCell ref="N42:N43"/>
    <mergeCell ref="A1:F1"/>
    <mergeCell ref="J1:N1"/>
    <mergeCell ref="L2:N2"/>
    <mergeCell ref="N4:N5"/>
    <mergeCell ref="N6:N7"/>
    <mergeCell ref="N22:N23"/>
    <mergeCell ref="N32:N33"/>
  </mergeCells>
  <conditionalFormatting sqref="B2">
    <cfRule type="duplicateValues" dxfId="100" priority="2"/>
    <cfRule type="duplicateValues" dxfId="99" priority="3"/>
  </conditionalFormatting>
  <conditionalFormatting sqref="B4:B18 B32:B40 B42:B50 B20:B30">
    <cfRule type="duplicateValues" dxfId="98" priority="12"/>
  </conditionalFormatting>
  <conditionalFormatting sqref="C2:D2">
    <cfRule type="duplicateValues" dxfId="97" priority="4"/>
    <cfRule type="duplicateValues" dxfId="96" priority="5"/>
  </conditionalFormatting>
  <hyperlinks>
    <hyperlink ref="B52" r:id="rId1" display="http://192.168.1.248/downloads/temp/X539_eNagare_2025125.log" xr:uid="{00000000-0004-0000-0600-000000000000}"/>
  </hyperlinks>
  <pageMargins left="0.17" right="0.17" top="0.28000000000000003" bottom="0.17" header="0.3" footer="0.17"/>
  <pageSetup paperSize="9" scale="47" orientation="landscape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P51"/>
  <sheetViews>
    <sheetView topLeftCell="A31" workbookViewId="0">
      <selection activeCell="A4" sqref="A4:XFD51"/>
    </sheetView>
  </sheetViews>
  <sheetFormatPr defaultColWidth="3.42578125" defaultRowHeight="15" x14ac:dyDescent="0.25"/>
  <cols>
    <col min="1" max="1" width="15.140625" bestFit="1" customWidth="1"/>
    <col min="2" max="2" width="18.5703125" customWidth="1"/>
    <col min="3" max="3" width="15.5703125" customWidth="1"/>
    <col min="4" max="4" width="14.140625" customWidth="1"/>
    <col min="5" max="5" width="30.28515625" customWidth="1"/>
    <col min="6" max="6" width="9.7109375" bestFit="1" customWidth="1"/>
    <col min="7" max="7" width="7.7109375" bestFit="1" customWidth="1"/>
    <col min="8" max="8" width="10" customWidth="1"/>
    <col min="9" max="9" width="5.42578125" bestFit="1" customWidth="1"/>
    <col min="10" max="10" width="6.7109375" customWidth="1"/>
    <col min="11" max="11" width="9" customWidth="1"/>
    <col min="12" max="12" width="11.140625" customWidth="1"/>
    <col min="13" max="13" width="7.140625" bestFit="1" customWidth="1"/>
    <col min="14" max="14" width="7.85546875" bestFit="1" customWidth="1"/>
    <col min="15" max="15" width="11.42578125" bestFit="1" customWidth="1"/>
    <col min="16" max="16" width="41" customWidth="1"/>
    <col min="17" max="17" width="13" customWidth="1"/>
  </cols>
  <sheetData>
    <row r="1" spans="1:16" ht="23.25" x14ac:dyDescent="0.25">
      <c r="A1" s="53" t="s">
        <v>93</v>
      </c>
      <c r="B1" s="53"/>
      <c r="C1" s="53"/>
      <c r="D1" s="53"/>
      <c r="E1" s="53"/>
      <c r="F1" s="53"/>
      <c r="G1" s="2"/>
      <c r="H1" s="2"/>
      <c r="I1" s="2"/>
      <c r="J1" s="54" t="s">
        <v>94</v>
      </c>
      <c r="K1" s="55"/>
      <c r="L1" s="55"/>
      <c r="M1" s="55"/>
      <c r="N1" s="55"/>
      <c r="O1" s="3"/>
      <c r="P1" s="4"/>
    </row>
    <row r="2" spans="1:16" ht="15.75" x14ac:dyDescent="0.25">
      <c r="A2" s="5" t="s">
        <v>95</v>
      </c>
      <c r="B2" s="6">
        <v>45999</v>
      </c>
      <c r="C2" s="7"/>
      <c r="D2" s="7"/>
      <c r="E2" s="2"/>
      <c r="F2" s="8"/>
      <c r="G2" s="2"/>
      <c r="H2" s="2"/>
      <c r="I2" s="2"/>
      <c r="J2" s="2"/>
      <c r="K2" s="2"/>
      <c r="L2" s="56" t="s">
        <v>96</v>
      </c>
      <c r="M2" s="57"/>
      <c r="N2" s="58"/>
      <c r="O2" s="2"/>
      <c r="P2" s="2"/>
    </row>
    <row r="3" spans="1:16" s="11" customFormat="1" ht="30" x14ac:dyDescent="0.25">
      <c r="A3" s="10" t="s">
        <v>97</v>
      </c>
      <c r="B3" s="10" t="s">
        <v>35</v>
      </c>
      <c r="C3" s="10" t="s">
        <v>0</v>
      </c>
      <c r="D3" s="10" t="s">
        <v>98</v>
      </c>
      <c r="E3" s="10" t="s">
        <v>2</v>
      </c>
      <c r="F3" s="10" t="s">
        <v>36</v>
      </c>
      <c r="G3" s="10" t="s">
        <v>37</v>
      </c>
      <c r="H3" s="10" t="s">
        <v>38</v>
      </c>
      <c r="I3" s="10" t="s">
        <v>99</v>
      </c>
      <c r="J3" s="10" t="s">
        <v>100</v>
      </c>
      <c r="K3" s="10" t="s">
        <v>101</v>
      </c>
      <c r="L3" s="10" t="s">
        <v>102</v>
      </c>
      <c r="M3" s="10" t="s">
        <v>103</v>
      </c>
      <c r="N3" s="10" t="s">
        <v>104</v>
      </c>
      <c r="O3" s="10" t="s">
        <v>96</v>
      </c>
      <c r="P3" s="10" t="s">
        <v>105</v>
      </c>
    </row>
    <row r="4" spans="1:16" x14ac:dyDescent="0.25">
      <c r="A4" s="15" t="s">
        <v>443</v>
      </c>
      <c r="B4" s="18" t="s">
        <v>399</v>
      </c>
      <c r="C4" s="2" t="s">
        <v>5</v>
      </c>
      <c r="D4" s="2" t="str">
        <f>VLOOKUP($C4,Sheet1!$A$2:$B$10,2,0)</f>
        <v>141110-14600</v>
      </c>
      <c r="E4" s="8" t="s">
        <v>40</v>
      </c>
      <c r="F4" s="12">
        <v>45999</v>
      </c>
      <c r="G4" s="13">
        <v>0.27083333333333331</v>
      </c>
      <c r="H4" s="2" t="s">
        <v>41</v>
      </c>
      <c r="I4" s="2" t="s">
        <v>42</v>
      </c>
      <c r="J4" s="2">
        <v>36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1">
        <v>2</v>
      </c>
      <c r="O4" s="2" t="s">
        <v>113</v>
      </c>
      <c r="P4" s="2" t="s">
        <v>456</v>
      </c>
    </row>
    <row r="5" spans="1:16" x14ac:dyDescent="0.25">
      <c r="A5" s="15" t="s">
        <v>443</v>
      </c>
      <c r="B5" s="18" t="s">
        <v>404</v>
      </c>
      <c r="C5" s="2" t="s">
        <v>9</v>
      </c>
      <c r="D5" s="2" t="str">
        <f>VLOOKUP($C5,Sheet1!$A$2:$B$10,2,0)</f>
        <v>141120-14600</v>
      </c>
      <c r="E5" s="8" t="s">
        <v>47</v>
      </c>
      <c r="F5" s="12">
        <v>45999</v>
      </c>
      <c r="G5" s="13">
        <v>0.27083333333333331</v>
      </c>
      <c r="H5" s="2" t="s">
        <v>41</v>
      </c>
      <c r="I5" s="2" t="s">
        <v>42</v>
      </c>
      <c r="J5" s="2">
        <v>36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2"/>
      <c r="O5" s="2" t="s">
        <v>113</v>
      </c>
      <c r="P5" s="2" t="s">
        <v>167</v>
      </c>
    </row>
    <row r="6" spans="1:16" x14ac:dyDescent="0.25">
      <c r="A6" s="15" t="s">
        <v>443</v>
      </c>
      <c r="B6" s="18" t="s">
        <v>400</v>
      </c>
      <c r="C6" s="2" t="s">
        <v>5</v>
      </c>
      <c r="D6" s="2" t="str">
        <f>VLOOKUP($C6,Sheet1!$A$2:$B$10,2,0)</f>
        <v>141110-14600</v>
      </c>
      <c r="E6" s="8" t="s">
        <v>40</v>
      </c>
      <c r="F6" s="12">
        <v>45999</v>
      </c>
      <c r="G6" s="13">
        <v>0.27083333333333331</v>
      </c>
      <c r="H6" s="2" t="s">
        <v>41</v>
      </c>
      <c r="I6" s="2" t="s">
        <v>42</v>
      </c>
      <c r="J6" s="2">
        <v>18</v>
      </c>
      <c r="K6" s="14">
        <f>VLOOKUP($C6,Sheet1!$A$2:$D$10,4,0)</f>
        <v>18</v>
      </c>
      <c r="L6" s="14" t="str">
        <f>VLOOKUP($C6,Sheet1!$A$2:$E$10,5,0)</f>
        <v>Trolley (H)</v>
      </c>
      <c r="M6" s="14"/>
      <c r="N6" s="51">
        <v>1</v>
      </c>
      <c r="O6" s="2" t="s">
        <v>113</v>
      </c>
      <c r="P6" s="2" t="s">
        <v>456</v>
      </c>
    </row>
    <row r="7" spans="1:16" x14ac:dyDescent="0.25">
      <c r="A7" s="15" t="s">
        <v>443</v>
      </c>
      <c r="B7" s="18" t="s">
        <v>405</v>
      </c>
      <c r="C7" s="2" t="s">
        <v>9</v>
      </c>
      <c r="D7" s="2" t="str">
        <f>VLOOKUP($C7,Sheet1!$A$2:$B$10,2,0)</f>
        <v>141120-14600</v>
      </c>
      <c r="E7" s="8" t="s">
        <v>47</v>
      </c>
      <c r="F7" s="12">
        <v>45999</v>
      </c>
      <c r="G7" s="13">
        <v>0.27083333333333331</v>
      </c>
      <c r="H7" s="2" t="s">
        <v>41</v>
      </c>
      <c r="I7" s="2" t="s">
        <v>42</v>
      </c>
      <c r="J7" s="2">
        <v>18</v>
      </c>
      <c r="K7" s="14">
        <f>VLOOKUP($C7,Sheet1!$A$2:$D$10,4,0)</f>
        <v>18</v>
      </c>
      <c r="L7" s="14" t="str">
        <f>VLOOKUP($C7,Sheet1!$A$2:$E$10,5,0)</f>
        <v>Trolley (H)</v>
      </c>
      <c r="M7" s="14"/>
      <c r="N7" s="52"/>
      <c r="O7" s="2" t="s">
        <v>113</v>
      </c>
      <c r="P7" s="2" t="s">
        <v>167</v>
      </c>
    </row>
    <row r="8" spans="1:16" x14ac:dyDescent="0.25">
      <c r="A8" s="15" t="s">
        <v>443</v>
      </c>
      <c r="B8" s="18" t="s">
        <v>409</v>
      </c>
      <c r="C8" s="2" t="s">
        <v>12</v>
      </c>
      <c r="D8" s="2" t="str">
        <f>VLOOKUP($C8,Sheet1!$A$2:$B$10,2,0)</f>
        <v>141185-74670</v>
      </c>
      <c r="E8" s="8" t="s">
        <v>52</v>
      </c>
      <c r="F8" s="12">
        <v>45999</v>
      </c>
      <c r="G8" s="13">
        <v>0.27083333333333331</v>
      </c>
      <c r="H8" s="2" t="s">
        <v>41</v>
      </c>
      <c r="I8" s="2" t="s">
        <v>42</v>
      </c>
      <c r="J8" s="2">
        <v>80</v>
      </c>
      <c r="K8" s="14">
        <f>VLOOKUP($C8,Sheet1!$A$2:$D$10,4,0)</f>
        <v>40</v>
      </c>
      <c r="L8" s="14" t="str">
        <f>VLOOKUP($C8,Sheet1!$A$2:$E$10,5,0)</f>
        <v>Trolley</v>
      </c>
      <c r="M8" s="14"/>
      <c r="N8" s="2">
        <f>J8/K8</f>
        <v>2</v>
      </c>
      <c r="O8" s="2" t="s">
        <v>113</v>
      </c>
      <c r="P8" s="2">
        <v>910102863</v>
      </c>
    </row>
    <row r="9" spans="1:16" x14ac:dyDescent="0.25">
      <c r="A9" s="15" t="s">
        <v>443</v>
      </c>
      <c r="B9" s="18" t="s">
        <v>413</v>
      </c>
      <c r="C9" s="2" t="s">
        <v>16</v>
      </c>
      <c r="D9" s="2" t="str">
        <f>VLOOKUP($C9,Sheet1!$A$2:$B$10,2,0)</f>
        <v>141140-91211</v>
      </c>
      <c r="E9" s="8" t="s">
        <v>57</v>
      </c>
      <c r="F9" s="12">
        <v>45999</v>
      </c>
      <c r="G9" s="13">
        <v>0.27083333333333331</v>
      </c>
      <c r="H9" s="2" t="s">
        <v>58</v>
      </c>
      <c r="I9" s="2" t="s">
        <v>42</v>
      </c>
      <c r="J9" s="2">
        <v>30</v>
      </c>
      <c r="K9" s="14">
        <f>VLOOKUP($C9,Sheet1!$A$2:$D$10,4,0)</f>
        <v>2</v>
      </c>
      <c r="L9" s="14" t="str">
        <f>VLOOKUP($C9,Sheet1!$A$2:$E$10,5,0)</f>
        <v>Bin</v>
      </c>
      <c r="M9" s="14">
        <f>J9/K9</f>
        <v>15</v>
      </c>
      <c r="N9" s="2"/>
      <c r="O9" s="2" t="s">
        <v>113</v>
      </c>
      <c r="P9" s="2" t="s">
        <v>209</v>
      </c>
    </row>
    <row r="10" spans="1:16" x14ac:dyDescent="0.25">
      <c r="A10" s="15" t="s">
        <v>443</v>
      </c>
      <c r="B10" s="18" t="s">
        <v>414</v>
      </c>
      <c r="C10" s="2" t="s">
        <v>16</v>
      </c>
      <c r="D10" s="2" t="str">
        <f>VLOOKUP($C10,Sheet1!$A$2:$B$10,2,0)</f>
        <v>141140-91211</v>
      </c>
      <c r="E10" s="8" t="s">
        <v>57</v>
      </c>
      <c r="F10" s="12">
        <v>45999</v>
      </c>
      <c r="G10" s="13">
        <v>0.27083333333333331</v>
      </c>
      <c r="H10" s="2" t="s">
        <v>58</v>
      </c>
      <c r="I10" s="2" t="s">
        <v>42</v>
      </c>
      <c r="J10" s="2">
        <v>16</v>
      </c>
      <c r="K10" s="14">
        <f>VLOOKUP($C10,Sheet1!$A$2:$D$10,4,0)</f>
        <v>2</v>
      </c>
      <c r="L10" s="14" t="str">
        <f>VLOOKUP($C10,Sheet1!$A$2:$E$10,5,0)</f>
        <v>Bin</v>
      </c>
      <c r="M10" s="14">
        <f t="shared" ref="M10:M12" si="0">J10/K10</f>
        <v>8</v>
      </c>
      <c r="N10" s="2"/>
      <c r="O10" s="2" t="s">
        <v>113</v>
      </c>
      <c r="P10" s="2" t="s">
        <v>209</v>
      </c>
    </row>
    <row r="11" spans="1:16" x14ac:dyDescent="0.25">
      <c r="A11" s="15" t="s">
        <v>443</v>
      </c>
      <c r="B11" s="18" t="s">
        <v>418</v>
      </c>
      <c r="C11" s="2" t="s">
        <v>20</v>
      </c>
      <c r="D11" s="2" t="str">
        <f>VLOOKUP($C11,Sheet1!$A$2:$B$10,2,0)</f>
        <v>141150-91211</v>
      </c>
      <c r="E11" s="8" t="s">
        <v>64</v>
      </c>
      <c r="F11" s="12">
        <v>45999</v>
      </c>
      <c r="G11" s="13">
        <v>0.27083333333333331</v>
      </c>
      <c r="H11" s="2" t="s">
        <v>58</v>
      </c>
      <c r="I11" s="2" t="s">
        <v>42</v>
      </c>
      <c r="J11" s="2">
        <v>30</v>
      </c>
      <c r="K11" s="14">
        <f>VLOOKUP($C11,Sheet1!$A$2:$D$10,4,0)</f>
        <v>2</v>
      </c>
      <c r="L11" s="14" t="str">
        <f>VLOOKUP($C11,Sheet1!$A$2:$E$10,5,0)</f>
        <v>Bin</v>
      </c>
      <c r="M11" s="14">
        <f t="shared" si="0"/>
        <v>15</v>
      </c>
      <c r="N11" s="2"/>
      <c r="O11" s="2" t="s">
        <v>113</v>
      </c>
      <c r="P11" s="2" t="s">
        <v>209</v>
      </c>
    </row>
    <row r="12" spans="1:16" x14ac:dyDescent="0.25">
      <c r="A12" s="15" t="s">
        <v>443</v>
      </c>
      <c r="B12" s="18" t="s">
        <v>419</v>
      </c>
      <c r="C12" s="2" t="s">
        <v>20</v>
      </c>
      <c r="D12" s="2" t="str">
        <f>VLOOKUP($C12,Sheet1!$A$2:$B$10,2,0)</f>
        <v>141150-91211</v>
      </c>
      <c r="E12" s="8" t="s">
        <v>64</v>
      </c>
      <c r="F12" s="12">
        <v>45999</v>
      </c>
      <c r="G12" s="13">
        <v>0.27083333333333331</v>
      </c>
      <c r="H12" s="2" t="s">
        <v>58</v>
      </c>
      <c r="I12" s="2" t="s">
        <v>42</v>
      </c>
      <c r="J12" s="2">
        <v>16</v>
      </c>
      <c r="K12" s="14">
        <f>VLOOKUP($C12,Sheet1!$A$2:$D$10,4,0)</f>
        <v>2</v>
      </c>
      <c r="L12" s="14" t="str">
        <f>VLOOKUP($C12,Sheet1!$A$2:$E$10,5,0)</f>
        <v>Bin</v>
      </c>
      <c r="M12" s="14">
        <f t="shared" si="0"/>
        <v>8</v>
      </c>
      <c r="N12" s="2"/>
      <c r="O12" s="2" t="s">
        <v>113</v>
      </c>
      <c r="P12" s="2" t="s">
        <v>209</v>
      </c>
    </row>
    <row r="13" spans="1:16" x14ac:dyDescent="0.25">
      <c r="A13" s="15" t="s">
        <v>443</v>
      </c>
      <c r="B13" s="18" t="s">
        <v>423</v>
      </c>
      <c r="C13" s="2" t="s">
        <v>23</v>
      </c>
      <c r="D13" s="2" t="str">
        <f>VLOOKUP($C13,Sheet1!$A$2:$B$10,2,0)</f>
        <v>141186-74360</v>
      </c>
      <c r="E13" s="8" t="s">
        <v>70</v>
      </c>
      <c r="F13" s="12">
        <v>45999</v>
      </c>
      <c r="G13" s="13">
        <v>0.27083333333333331</v>
      </c>
      <c r="H13" s="2" t="s">
        <v>58</v>
      </c>
      <c r="I13" s="2" t="s">
        <v>42</v>
      </c>
      <c r="J13" s="2">
        <v>40</v>
      </c>
      <c r="K13" s="14">
        <f>VLOOKUP($C13,Sheet1!$A$2:$D$10,4,0)</f>
        <v>40</v>
      </c>
      <c r="L13" s="14" t="str">
        <f>VLOOKUP($C13,Sheet1!$A$2:$E$10,5,0)</f>
        <v>Trolley</v>
      </c>
      <c r="M13" s="14"/>
      <c r="N13" s="2">
        <f t="shared" ref="N13:N14" si="1">J13/K13</f>
        <v>1</v>
      </c>
      <c r="O13" s="2" t="s">
        <v>113</v>
      </c>
      <c r="P13" s="2">
        <v>910101143</v>
      </c>
    </row>
    <row r="14" spans="1:16" x14ac:dyDescent="0.25">
      <c r="A14" s="15" t="s">
        <v>443</v>
      </c>
      <c r="B14" s="18" t="s">
        <v>424</v>
      </c>
      <c r="C14" s="2" t="s">
        <v>23</v>
      </c>
      <c r="D14" s="2" t="str">
        <f>VLOOKUP($C14,Sheet1!$A$2:$B$10,2,0)</f>
        <v>141186-74360</v>
      </c>
      <c r="E14" s="8" t="s">
        <v>70</v>
      </c>
      <c r="F14" s="12">
        <v>45999</v>
      </c>
      <c r="G14" s="13">
        <v>0.27083333333333331</v>
      </c>
      <c r="H14" s="2" t="s">
        <v>58</v>
      </c>
      <c r="I14" s="2" t="s">
        <v>42</v>
      </c>
      <c r="J14" s="2">
        <v>40</v>
      </c>
      <c r="K14" s="14">
        <f>VLOOKUP($C14,Sheet1!$A$2:$D$10,4,0)</f>
        <v>40</v>
      </c>
      <c r="L14" s="14" t="str">
        <f>VLOOKUP($C14,Sheet1!$A$2:$E$10,5,0)</f>
        <v>Trolley</v>
      </c>
      <c r="M14" s="14"/>
      <c r="N14" s="2">
        <f t="shared" si="1"/>
        <v>1</v>
      </c>
      <c r="O14" s="2" t="s">
        <v>113</v>
      </c>
      <c r="P14" s="2">
        <v>910101143</v>
      </c>
    </row>
    <row r="15" spans="1:16" x14ac:dyDescent="0.25">
      <c r="A15" s="15" t="s">
        <v>444</v>
      </c>
      <c r="B15" s="18" t="s">
        <v>428</v>
      </c>
      <c r="C15" s="2" t="s">
        <v>26</v>
      </c>
      <c r="D15" s="2" t="str">
        <f>VLOOKUP($C15,Sheet1!$A$2:$B$10,2,0)</f>
        <v>116040-92240</v>
      </c>
      <c r="E15" s="8" t="s">
        <v>75</v>
      </c>
      <c r="F15" s="12">
        <v>45999</v>
      </c>
      <c r="G15" s="13">
        <v>0.27083333333333331</v>
      </c>
      <c r="H15" s="2" t="s">
        <v>76</v>
      </c>
      <c r="I15" s="2" t="s">
        <v>42</v>
      </c>
      <c r="J15" s="2">
        <v>30</v>
      </c>
      <c r="K15" s="14">
        <f>VLOOKUP($C15,Sheet1!$A$2:$D$10,4,0)</f>
        <v>6</v>
      </c>
      <c r="L15" s="14" t="str">
        <f>VLOOKUP($C15,Sheet1!$A$2:$E$10,5,0)</f>
        <v>Bin</v>
      </c>
      <c r="M15" s="14">
        <f t="shared" ref="M15:M20" si="2">J15/K15</f>
        <v>5</v>
      </c>
      <c r="N15" s="2"/>
      <c r="O15" s="2" t="s">
        <v>113</v>
      </c>
      <c r="P15" s="2" t="s">
        <v>169</v>
      </c>
    </row>
    <row r="16" spans="1:16" x14ac:dyDescent="0.25">
      <c r="A16" s="15" t="s">
        <v>444</v>
      </c>
      <c r="B16" s="18" t="s">
        <v>429</v>
      </c>
      <c r="C16" s="2" t="s">
        <v>26</v>
      </c>
      <c r="D16" s="2" t="str">
        <f>VLOOKUP($C16,Sheet1!$A$2:$B$10,2,0)</f>
        <v>116040-92240</v>
      </c>
      <c r="E16" s="8" t="s">
        <v>75</v>
      </c>
      <c r="F16" s="12">
        <v>45999</v>
      </c>
      <c r="G16" s="13">
        <v>0.27083333333333331</v>
      </c>
      <c r="H16" s="2" t="s">
        <v>76</v>
      </c>
      <c r="I16" s="2" t="s">
        <v>42</v>
      </c>
      <c r="J16" s="2">
        <v>12</v>
      </c>
      <c r="K16" s="14">
        <f>VLOOKUP($C16,Sheet1!$A$2:$D$10,4,0)</f>
        <v>6</v>
      </c>
      <c r="L16" s="14" t="str">
        <f>VLOOKUP($C16,Sheet1!$A$2:$E$10,5,0)</f>
        <v>Bin</v>
      </c>
      <c r="M16" s="14">
        <f t="shared" si="2"/>
        <v>2</v>
      </c>
      <c r="N16" s="2"/>
      <c r="O16" s="2" t="s">
        <v>113</v>
      </c>
      <c r="P16" s="2" t="s">
        <v>169</v>
      </c>
    </row>
    <row r="17" spans="1:16" x14ac:dyDescent="0.25">
      <c r="A17" s="15" t="s">
        <v>444</v>
      </c>
      <c r="B17" s="18" t="s">
        <v>433</v>
      </c>
      <c r="C17" s="2" t="s">
        <v>32</v>
      </c>
      <c r="D17" s="2" t="str">
        <f>VLOOKUP($C17,Sheet1!$A$2:$B$10,2,0)</f>
        <v>114010-50820</v>
      </c>
      <c r="E17" s="8" t="s">
        <v>82</v>
      </c>
      <c r="F17" s="12">
        <v>45999</v>
      </c>
      <c r="G17" s="13">
        <v>0.27083333333333331</v>
      </c>
      <c r="H17" s="2" t="s">
        <v>76</v>
      </c>
      <c r="I17" s="2" t="s">
        <v>42</v>
      </c>
      <c r="J17" s="2">
        <v>13</v>
      </c>
      <c r="K17" s="14">
        <f>VLOOKUP($C17,Sheet1!$A$2:$D$10,4,0)</f>
        <v>1</v>
      </c>
      <c r="L17" s="14" t="str">
        <f>VLOOKUP($C17,Sheet1!$A$2:$E$10,5,0)</f>
        <v>Bin</v>
      </c>
      <c r="M17" s="14">
        <f t="shared" si="2"/>
        <v>13</v>
      </c>
      <c r="N17" s="2"/>
      <c r="O17" s="2" t="s">
        <v>113</v>
      </c>
      <c r="P17" s="2" t="s">
        <v>398</v>
      </c>
    </row>
    <row r="18" spans="1:16" x14ac:dyDescent="0.25">
      <c r="A18" s="15" t="s">
        <v>444</v>
      </c>
      <c r="B18" s="18" t="s">
        <v>434</v>
      </c>
      <c r="C18" s="2" t="s">
        <v>32</v>
      </c>
      <c r="D18" s="2" t="str">
        <f>VLOOKUP($C18,Sheet1!$A$2:$B$10,2,0)</f>
        <v>114010-50820</v>
      </c>
      <c r="E18" s="8" t="s">
        <v>82</v>
      </c>
      <c r="F18" s="12">
        <v>45999</v>
      </c>
      <c r="G18" s="13">
        <v>0.27083333333333331</v>
      </c>
      <c r="H18" s="2" t="s">
        <v>76</v>
      </c>
      <c r="I18" s="2" t="s">
        <v>42</v>
      </c>
      <c r="J18" s="2">
        <v>10</v>
      </c>
      <c r="K18" s="14">
        <f>VLOOKUP($C18,Sheet1!$A$2:$D$10,4,0)</f>
        <v>1</v>
      </c>
      <c r="L18" s="14" t="str">
        <f>VLOOKUP($C18,Sheet1!$A$2:$E$10,5,0)</f>
        <v>Bin</v>
      </c>
      <c r="M18" s="14">
        <f t="shared" si="2"/>
        <v>10</v>
      </c>
      <c r="N18" s="2"/>
      <c r="O18" s="2" t="s">
        <v>113</v>
      </c>
      <c r="P18" s="2" t="s">
        <v>398</v>
      </c>
    </row>
    <row r="19" spans="1:16" x14ac:dyDescent="0.25">
      <c r="A19" s="15" t="s">
        <v>444</v>
      </c>
      <c r="B19" s="18" t="s">
        <v>438</v>
      </c>
      <c r="C19" s="2" t="s">
        <v>29</v>
      </c>
      <c r="D19" s="2" t="str">
        <f>VLOOKUP($C19,Sheet1!$A$2:$B$10,2,0)</f>
        <v>114010-50830</v>
      </c>
      <c r="E19" s="8" t="s">
        <v>82</v>
      </c>
      <c r="F19" s="12">
        <v>45999</v>
      </c>
      <c r="G19" s="13">
        <v>0.27083333333333331</v>
      </c>
      <c r="H19" s="2" t="s">
        <v>76</v>
      </c>
      <c r="I19" s="2" t="s">
        <v>42</v>
      </c>
      <c r="J19" s="2">
        <v>17</v>
      </c>
      <c r="K19" s="14">
        <f>VLOOKUP($C19,Sheet1!$A$2:$D$10,4,0)</f>
        <v>1</v>
      </c>
      <c r="L19" s="14" t="str">
        <f>VLOOKUP($C19,Sheet1!$A$2:$E$10,5,0)</f>
        <v>Bin</v>
      </c>
      <c r="M19" s="14">
        <f t="shared" si="2"/>
        <v>17</v>
      </c>
      <c r="N19" s="2"/>
      <c r="O19" s="2" t="s">
        <v>113</v>
      </c>
      <c r="P19" s="2" t="s">
        <v>453</v>
      </c>
    </row>
    <row r="20" spans="1:16" x14ac:dyDescent="0.25">
      <c r="A20" s="15" t="s">
        <v>444</v>
      </c>
      <c r="B20" s="18" t="s">
        <v>439</v>
      </c>
      <c r="C20" s="2" t="s">
        <v>29</v>
      </c>
      <c r="D20" s="2" t="str">
        <f>VLOOKUP($C20,Sheet1!$A$2:$B$10,2,0)</f>
        <v>114010-50830</v>
      </c>
      <c r="E20" s="8" t="s">
        <v>82</v>
      </c>
      <c r="F20" s="12">
        <v>45999</v>
      </c>
      <c r="G20" s="13">
        <v>0.27083333333333331</v>
      </c>
      <c r="H20" s="2" t="s">
        <v>76</v>
      </c>
      <c r="I20" s="2" t="s">
        <v>42</v>
      </c>
      <c r="J20" s="2">
        <v>5</v>
      </c>
      <c r="K20" s="14">
        <f>VLOOKUP($C20,Sheet1!$A$2:$D$10,4,0)</f>
        <v>1</v>
      </c>
      <c r="L20" s="14" t="str">
        <f>VLOOKUP($C20,Sheet1!$A$2:$E$10,5,0)</f>
        <v>Bin</v>
      </c>
      <c r="M20" s="14">
        <f t="shared" si="2"/>
        <v>5</v>
      </c>
      <c r="N20" s="2"/>
      <c r="O20" s="2" t="s">
        <v>113</v>
      </c>
      <c r="P20" s="2" t="s">
        <v>453</v>
      </c>
    </row>
    <row r="21" spans="1:16" s="11" customForma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>
        <v>98</v>
      </c>
      <c r="N21" s="10">
        <v>7</v>
      </c>
      <c r="O21" s="10"/>
      <c r="P21" s="10"/>
    </row>
    <row r="22" spans="1:16" x14ac:dyDescent="0.25">
      <c r="A22" s="15" t="s">
        <v>445</v>
      </c>
      <c r="B22" s="18" t="s">
        <v>401</v>
      </c>
      <c r="C22" s="2" t="s">
        <v>5</v>
      </c>
      <c r="D22" s="2" t="str">
        <f>VLOOKUP($C22,Sheet1!$A$2:$B$10,2,0)</f>
        <v>141110-14600</v>
      </c>
      <c r="E22" s="8" t="s">
        <v>40</v>
      </c>
      <c r="F22" s="12">
        <v>45999</v>
      </c>
      <c r="G22" s="13">
        <v>0.3125</v>
      </c>
      <c r="H22" s="2" t="s">
        <v>41</v>
      </c>
      <c r="I22" s="2" t="s">
        <v>42</v>
      </c>
      <c r="J22" s="2">
        <v>18</v>
      </c>
      <c r="K22" s="14">
        <f>VLOOKUP($C22,Sheet1!$A$2:$D$10,4,0)</f>
        <v>18</v>
      </c>
      <c r="L22" s="14" t="str">
        <f>VLOOKUP($C22,Sheet1!$A$2:$E$10,5,0)</f>
        <v>Trolley (H)</v>
      </c>
      <c r="M22" s="14"/>
      <c r="N22" s="51">
        <v>1</v>
      </c>
      <c r="O22" s="2" t="s">
        <v>451</v>
      </c>
      <c r="P22" s="2" t="s">
        <v>652</v>
      </c>
    </row>
    <row r="23" spans="1:16" x14ac:dyDescent="0.25">
      <c r="A23" s="15" t="s">
        <v>445</v>
      </c>
      <c r="B23" s="18" t="s">
        <v>406</v>
      </c>
      <c r="C23" s="2" t="s">
        <v>9</v>
      </c>
      <c r="D23" s="2" t="str">
        <f>VLOOKUP($C23,Sheet1!$A$2:$B$10,2,0)</f>
        <v>141120-14600</v>
      </c>
      <c r="E23" s="8" t="s">
        <v>47</v>
      </c>
      <c r="F23" s="12">
        <v>45999</v>
      </c>
      <c r="G23" s="13">
        <v>0.3125</v>
      </c>
      <c r="H23" s="2" t="s">
        <v>41</v>
      </c>
      <c r="I23" s="2" t="s">
        <v>42</v>
      </c>
      <c r="J23" s="2">
        <v>18</v>
      </c>
      <c r="K23" s="14">
        <f>VLOOKUP($C23,Sheet1!$A$2:$D$10,4,0)</f>
        <v>18</v>
      </c>
      <c r="L23" s="14" t="str">
        <f>VLOOKUP($C23,Sheet1!$A$2:$E$10,5,0)</f>
        <v>Trolley (H)</v>
      </c>
      <c r="M23" s="14"/>
      <c r="N23" s="52"/>
      <c r="O23" s="2" t="s">
        <v>451</v>
      </c>
      <c r="P23" s="2" t="s">
        <v>653</v>
      </c>
    </row>
    <row r="24" spans="1:16" x14ac:dyDescent="0.25">
      <c r="A24" s="15" t="s">
        <v>445</v>
      </c>
      <c r="B24" s="18" t="s">
        <v>410</v>
      </c>
      <c r="C24" s="2" t="s">
        <v>12</v>
      </c>
      <c r="D24" s="2" t="str">
        <f>VLOOKUP($C24,Sheet1!$A$2:$B$10,2,0)</f>
        <v>141185-74670</v>
      </c>
      <c r="E24" s="8" t="s">
        <v>52</v>
      </c>
      <c r="F24" s="12">
        <v>45999</v>
      </c>
      <c r="G24" s="13">
        <v>0.3125</v>
      </c>
      <c r="H24" s="2" t="s">
        <v>41</v>
      </c>
      <c r="I24" s="2" t="s">
        <v>42</v>
      </c>
      <c r="J24" s="2">
        <v>40</v>
      </c>
      <c r="K24" s="14">
        <f>VLOOKUP($C24,Sheet1!$A$2:$D$10,4,0)</f>
        <v>40</v>
      </c>
      <c r="L24" s="14" t="str">
        <f>VLOOKUP($C24,Sheet1!$A$2:$E$10,5,0)</f>
        <v>Trolley</v>
      </c>
      <c r="M24" s="14"/>
      <c r="N24" s="2">
        <f>J24/K24</f>
        <v>1</v>
      </c>
      <c r="O24" s="2" t="s">
        <v>451</v>
      </c>
      <c r="P24" s="2">
        <v>910102863</v>
      </c>
    </row>
    <row r="25" spans="1:16" x14ac:dyDescent="0.25">
      <c r="A25" s="15" t="s">
        <v>445</v>
      </c>
      <c r="B25" s="18" t="s">
        <v>415</v>
      </c>
      <c r="C25" s="2" t="s">
        <v>16</v>
      </c>
      <c r="D25" s="2" t="str">
        <f>VLOOKUP($C25,Sheet1!$A$2:$B$10,2,0)</f>
        <v>141140-91211</v>
      </c>
      <c r="E25" s="8" t="s">
        <v>57</v>
      </c>
      <c r="F25" s="12">
        <v>45999</v>
      </c>
      <c r="G25" s="13">
        <v>0.3125</v>
      </c>
      <c r="H25" s="2" t="s">
        <v>58</v>
      </c>
      <c r="I25" s="2" t="s">
        <v>42</v>
      </c>
      <c r="J25" s="2">
        <v>30</v>
      </c>
      <c r="K25" s="14">
        <f>VLOOKUP($C25,Sheet1!$A$2:$D$10,4,0)</f>
        <v>2</v>
      </c>
      <c r="L25" s="14" t="str">
        <f>VLOOKUP($C25,Sheet1!$A$2:$E$10,5,0)</f>
        <v>Bin</v>
      </c>
      <c r="M25" s="14">
        <f t="shared" ref="M25:M26" si="3">J25/K25</f>
        <v>15</v>
      </c>
      <c r="N25" s="2"/>
      <c r="O25" s="2" t="s">
        <v>451</v>
      </c>
      <c r="P25" s="2" t="s">
        <v>209</v>
      </c>
    </row>
    <row r="26" spans="1:16" x14ac:dyDescent="0.25">
      <c r="A26" s="15" t="s">
        <v>445</v>
      </c>
      <c r="B26" s="18" t="s">
        <v>420</v>
      </c>
      <c r="C26" s="2" t="s">
        <v>20</v>
      </c>
      <c r="D26" s="2" t="str">
        <f>VLOOKUP($C26,Sheet1!$A$2:$B$10,2,0)</f>
        <v>141150-91211</v>
      </c>
      <c r="E26" s="8" t="s">
        <v>64</v>
      </c>
      <c r="F26" s="12">
        <v>45999</v>
      </c>
      <c r="G26" s="13">
        <v>0.3125</v>
      </c>
      <c r="H26" s="2" t="s">
        <v>58</v>
      </c>
      <c r="I26" s="2" t="s">
        <v>42</v>
      </c>
      <c r="J26" s="2">
        <v>30</v>
      </c>
      <c r="K26" s="14">
        <f>VLOOKUP($C26,Sheet1!$A$2:$D$10,4,0)</f>
        <v>2</v>
      </c>
      <c r="L26" s="14" t="str">
        <f>VLOOKUP($C26,Sheet1!$A$2:$E$10,5,0)</f>
        <v>Bin</v>
      </c>
      <c r="M26" s="14">
        <f t="shared" si="3"/>
        <v>15</v>
      </c>
      <c r="N26" s="2"/>
      <c r="O26" s="2" t="s">
        <v>451</v>
      </c>
      <c r="P26" s="2" t="s">
        <v>209</v>
      </c>
    </row>
    <row r="27" spans="1:16" x14ac:dyDescent="0.25">
      <c r="A27" s="15" t="s">
        <v>445</v>
      </c>
      <c r="B27" s="18" t="s">
        <v>425</v>
      </c>
      <c r="C27" s="2" t="s">
        <v>23</v>
      </c>
      <c r="D27" s="2" t="str">
        <f>VLOOKUP($C27,Sheet1!$A$2:$B$10,2,0)</f>
        <v>141186-74360</v>
      </c>
      <c r="E27" s="8" t="s">
        <v>70</v>
      </c>
      <c r="F27" s="12">
        <v>45999</v>
      </c>
      <c r="G27" s="13">
        <v>0.3125</v>
      </c>
      <c r="H27" s="2" t="s">
        <v>58</v>
      </c>
      <c r="I27" s="2" t="s">
        <v>42</v>
      </c>
      <c r="J27" s="2">
        <v>80</v>
      </c>
      <c r="K27" s="14">
        <f>VLOOKUP($C27,Sheet1!$A$2:$D$10,4,0)</f>
        <v>40</v>
      </c>
      <c r="L27" s="14" t="str">
        <f>VLOOKUP($C27,Sheet1!$A$2:$E$10,5,0)</f>
        <v>Trolley</v>
      </c>
      <c r="M27" s="14"/>
      <c r="N27" s="2">
        <f>J27/K27</f>
        <v>2</v>
      </c>
      <c r="O27" s="2" t="s">
        <v>451</v>
      </c>
      <c r="P27" s="2">
        <v>910101143</v>
      </c>
    </row>
    <row r="28" spans="1:16" x14ac:dyDescent="0.25">
      <c r="A28" s="15" t="s">
        <v>446</v>
      </c>
      <c r="B28" s="18" t="s">
        <v>430</v>
      </c>
      <c r="C28" s="2" t="s">
        <v>26</v>
      </c>
      <c r="D28" s="2" t="str">
        <f>VLOOKUP($C28,Sheet1!$A$2:$B$10,2,0)</f>
        <v>116040-92240</v>
      </c>
      <c r="E28" s="8" t="s">
        <v>75</v>
      </c>
      <c r="F28" s="12">
        <v>45999</v>
      </c>
      <c r="G28" s="13">
        <v>0.3125</v>
      </c>
      <c r="H28" s="2" t="s">
        <v>76</v>
      </c>
      <c r="I28" s="2" t="s">
        <v>42</v>
      </c>
      <c r="J28" s="2">
        <v>30</v>
      </c>
      <c r="K28" s="14">
        <f>VLOOKUP($C28,Sheet1!$A$2:$D$10,4,0)</f>
        <v>6</v>
      </c>
      <c r="L28" s="14" t="str">
        <f>VLOOKUP($C28,Sheet1!$A$2:$E$10,5,0)</f>
        <v>Bin</v>
      </c>
      <c r="M28" s="14">
        <f t="shared" ref="M28:M30" si="4">J28/K28</f>
        <v>5</v>
      </c>
      <c r="N28" s="2"/>
      <c r="O28" s="2" t="s">
        <v>451</v>
      </c>
      <c r="P28" s="2" t="s">
        <v>169</v>
      </c>
    </row>
    <row r="29" spans="1:16" x14ac:dyDescent="0.25">
      <c r="A29" s="15" t="s">
        <v>446</v>
      </c>
      <c r="B29" s="18" t="s">
        <v>435</v>
      </c>
      <c r="C29" s="2" t="s">
        <v>32</v>
      </c>
      <c r="D29" s="2" t="str">
        <f>VLOOKUP($C29,Sheet1!$A$2:$B$10,2,0)</f>
        <v>114010-50820</v>
      </c>
      <c r="E29" s="8" t="s">
        <v>82</v>
      </c>
      <c r="F29" s="12">
        <v>45999</v>
      </c>
      <c r="G29" s="13">
        <v>0.3125</v>
      </c>
      <c r="H29" s="2" t="s">
        <v>76</v>
      </c>
      <c r="I29" s="2" t="s">
        <v>42</v>
      </c>
      <c r="J29" s="2">
        <v>15</v>
      </c>
      <c r="K29" s="14">
        <f>VLOOKUP($C29,Sheet1!$A$2:$D$10,4,0)</f>
        <v>1</v>
      </c>
      <c r="L29" s="14" t="str">
        <f>VLOOKUP($C29,Sheet1!$A$2:$E$10,5,0)</f>
        <v>Bin</v>
      </c>
      <c r="M29" s="14">
        <f t="shared" si="4"/>
        <v>15</v>
      </c>
      <c r="N29" s="2"/>
      <c r="O29" s="2" t="s">
        <v>451</v>
      </c>
      <c r="P29" s="2" t="s">
        <v>398</v>
      </c>
    </row>
    <row r="30" spans="1:16" x14ac:dyDescent="0.25">
      <c r="A30" s="15" t="s">
        <v>446</v>
      </c>
      <c r="B30" s="18" t="s">
        <v>440</v>
      </c>
      <c r="C30" s="2" t="s">
        <v>29</v>
      </c>
      <c r="D30" s="2" t="str">
        <f>VLOOKUP($C30,Sheet1!$A$2:$B$10,2,0)</f>
        <v>114010-50830</v>
      </c>
      <c r="E30" s="8" t="s">
        <v>82</v>
      </c>
      <c r="F30" s="12">
        <v>45999</v>
      </c>
      <c r="G30" s="13">
        <v>0.3125</v>
      </c>
      <c r="H30" s="2" t="s">
        <v>76</v>
      </c>
      <c r="I30" s="2" t="s">
        <v>42</v>
      </c>
      <c r="J30" s="2">
        <v>15</v>
      </c>
      <c r="K30" s="14">
        <f>VLOOKUP($C30,Sheet1!$A$2:$D$10,4,0)</f>
        <v>1</v>
      </c>
      <c r="L30" s="14" t="str">
        <f>VLOOKUP($C30,Sheet1!$A$2:$E$10,5,0)</f>
        <v>Bin</v>
      </c>
      <c r="M30" s="14">
        <f t="shared" si="4"/>
        <v>15</v>
      </c>
      <c r="N30" s="2"/>
      <c r="O30" s="2" t="s">
        <v>451</v>
      </c>
      <c r="P30" s="2" t="s">
        <v>169</v>
      </c>
    </row>
    <row r="31" spans="1:16" s="11" customForma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>
        <v>65</v>
      </c>
      <c r="N31" s="10">
        <v>4</v>
      </c>
      <c r="O31" s="10"/>
      <c r="P31" s="10"/>
    </row>
    <row r="32" spans="1:16" x14ac:dyDescent="0.25">
      <c r="A32" s="15" t="s">
        <v>447</v>
      </c>
      <c r="B32" s="18" t="s">
        <v>402</v>
      </c>
      <c r="C32" s="2" t="s">
        <v>5</v>
      </c>
      <c r="D32" s="2" t="str">
        <f>VLOOKUP($C32,Sheet1!$A$2:$B$10,2,0)</f>
        <v>141110-14600</v>
      </c>
      <c r="E32" s="8" t="s">
        <v>40</v>
      </c>
      <c r="F32" s="12">
        <v>45999</v>
      </c>
      <c r="G32" s="13">
        <v>0.5625</v>
      </c>
      <c r="H32" s="2" t="s">
        <v>41</v>
      </c>
      <c r="I32" s="2" t="s">
        <v>42</v>
      </c>
      <c r="J32" s="2">
        <v>36</v>
      </c>
      <c r="K32" s="14">
        <f>VLOOKUP($C32,Sheet1!$A$2:$D$10,4,0)</f>
        <v>18</v>
      </c>
      <c r="L32" s="14" t="str">
        <f>VLOOKUP($C32,Sheet1!$A$2:$E$10,5,0)</f>
        <v>Trolley (H)</v>
      </c>
      <c r="M32" s="14"/>
      <c r="N32" s="51">
        <v>2</v>
      </c>
      <c r="O32" s="2" t="s">
        <v>111</v>
      </c>
      <c r="P32" s="2" t="s">
        <v>654</v>
      </c>
    </row>
    <row r="33" spans="1:16" x14ac:dyDescent="0.25">
      <c r="A33" s="15" t="s">
        <v>447</v>
      </c>
      <c r="B33" s="18" t="s">
        <v>407</v>
      </c>
      <c r="C33" s="2" t="s">
        <v>9</v>
      </c>
      <c r="D33" s="2" t="str">
        <f>VLOOKUP($C33,Sheet1!$A$2:$B$10,2,0)</f>
        <v>141120-14600</v>
      </c>
      <c r="E33" s="8" t="s">
        <v>47</v>
      </c>
      <c r="F33" s="12">
        <v>45999</v>
      </c>
      <c r="G33" s="13">
        <v>0.5625</v>
      </c>
      <c r="H33" s="2" t="s">
        <v>41</v>
      </c>
      <c r="I33" s="2" t="s">
        <v>42</v>
      </c>
      <c r="J33" s="2">
        <v>36</v>
      </c>
      <c r="K33" s="14">
        <f>VLOOKUP($C33,Sheet1!$A$2:$D$10,4,0)</f>
        <v>18</v>
      </c>
      <c r="L33" s="14" t="str">
        <f>VLOOKUP($C33,Sheet1!$A$2:$E$10,5,0)</f>
        <v>Trolley (H)</v>
      </c>
      <c r="M33" s="14"/>
      <c r="N33" s="52"/>
      <c r="O33" s="2" t="s">
        <v>111</v>
      </c>
      <c r="P33" s="2" t="s">
        <v>655</v>
      </c>
    </row>
    <row r="34" spans="1:16" x14ac:dyDescent="0.25">
      <c r="A34" s="15" t="s">
        <v>447</v>
      </c>
      <c r="B34" s="18" t="s">
        <v>411</v>
      </c>
      <c r="C34" s="2" t="s">
        <v>12</v>
      </c>
      <c r="D34" s="2" t="str">
        <f>VLOOKUP($C34,Sheet1!$A$2:$B$10,2,0)</f>
        <v>141185-74670</v>
      </c>
      <c r="E34" s="8" t="s">
        <v>52</v>
      </c>
      <c r="F34" s="12">
        <v>45999</v>
      </c>
      <c r="G34" s="13">
        <v>0.5625</v>
      </c>
      <c r="H34" s="2" t="s">
        <v>41</v>
      </c>
      <c r="I34" s="2" t="s">
        <v>42</v>
      </c>
      <c r="J34" s="2">
        <v>40</v>
      </c>
      <c r="K34" s="14">
        <f>VLOOKUP($C34,Sheet1!$A$2:$D$10,4,0)</f>
        <v>40</v>
      </c>
      <c r="L34" s="14" t="str">
        <f>VLOOKUP($C34,Sheet1!$A$2:$E$10,5,0)</f>
        <v>Trolley</v>
      </c>
      <c r="M34" s="14"/>
      <c r="N34" s="2">
        <f>J34/K34</f>
        <v>1</v>
      </c>
      <c r="O34" s="2" t="s">
        <v>111</v>
      </c>
      <c r="P34" s="2">
        <v>910102863</v>
      </c>
    </row>
    <row r="35" spans="1:16" x14ac:dyDescent="0.25">
      <c r="A35" s="15" t="s">
        <v>447</v>
      </c>
      <c r="B35" s="18" t="s">
        <v>416</v>
      </c>
      <c r="C35" s="2" t="s">
        <v>16</v>
      </c>
      <c r="D35" s="2" t="str">
        <f>VLOOKUP($C35,Sheet1!$A$2:$B$10,2,0)</f>
        <v>141140-91211</v>
      </c>
      <c r="E35" s="8" t="s">
        <v>57</v>
      </c>
      <c r="F35" s="12">
        <v>45999</v>
      </c>
      <c r="G35" s="13">
        <v>0.5625</v>
      </c>
      <c r="H35" s="2" t="s">
        <v>58</v>
      </c>
      <c r="I35" s="2" t="s">
        <v>42</v>
      </c>
      <c r="J35" s="2">
        <v>26</v>
      </c>
      <c r="K35" s="14">
        <f>VLOOKUP($C35,Sheet1!$A$2:$D$10,4,0)</f>
        <v>2</v>
      </c>
      <c r="L35" s="14" t="str">
        <f>VLOOKUP($C35,Sheet1!$A$2:$E$10,5,0)</f>
        <v>Bin</v>
      </c>
      <c r="M35" s="14">
        <f t="shared" ref="M35:M36" si="5">J35/K35</f>
        <v>13</v>
      </c>
      <c r="N35" s="2"/>
      <c r="O35" s="2" t="s">
        <v>111</v>
      </c>
      <c r="P35" s="2" t="s">
        <v>209</v>
      </c>
    </row>
    <row r="36" spans="1:16" x14ac:dyDescent="0.25">
      <c r="A36" s="15" t="s">
        <v>447</v>
      </c>
      <c r="B36" s="18" t="s">
        <v>421</v>
      </c>
      <c r="C36" s="2" t="s">
        <v>20</v>
      </c>
      <c r="D36" s="2" t="str">
        <f>VLOOKUP($C36,Sheet1!$A$2:$B$10,2,0)</f>
        <v>141150-91211</v>
      </c>
      <c r="E36" s="8" t="s">
        <v>64</v>
      </c>
      <c r="F36" s="12">
        <v>45999</v>
      </c>
      <c r="G36" s="13">
        <v>0.5625</v>
      </c>
      <c r="H36" s="2" t="s">
        <v>58</v>
      </c>
      <c r="I36" s="2" t="s">
        <v>42</v>
      </c>
      <c r="J36" s="2">
        <v>26</v>
      </c>
      <c r="K36" s="14">
        <f>VLOOKUP($C36,Sheet1!$A$2:$D$10,4,0)</f>
        <v>2</v>
      </c>
      <c r="L36" s="14" t="str">
        <f>VLOOKUP($C36,Sheet1!$A$2:$E$10,5,0)</f>
        <v>Bin</v>
      </c>
      <c r="M36" s="14">
        <f t="shared" si="5"/>
        <v>13</v>
      </c>
      <c r="N36" s="2"/>
      <c r="O36" s="2" t="s">
        <v>111</v>
      </c>
      <c r="P36" s="2" t="s">
        <v>656</v>
      </c>
    </row>
    <row r="37" spans="1:16" x14ac:dyDescent="0.25">
      <c r="A37" s="15" t="s">
        <v>447</v>
      </c>
      <c r="B37" s="18" t="s">
        <v>426</v>
      </c>
      <c r="C37" s="2" t="s">
        <v>23</v>
      </c>
      <c r="D37" s="2" t="str">
        <f>VLOOKUP($C37,Sheet1!$A$2:$B$10,2,0)</f>
        <v>141186-74360</v>
      </c>
      <c r="E37" s="8" t="s">
        <v>70</v>
      </c>
      <c r="F37" s="12">
        <v>45999</v>
      </c>
      <c r="G37" s="13">
        <v>0.5625</v>
      </c>
      <c r="H37" s="2" t="s">
        <v>58</v>
      </c>
      <c r="I37" s="2" t="s">
        <v>42</v>
      </c>
      <c r="J37" s="2">
        <v>40</v>
      </c>
      <c r="K37" s="14">
        <f>VLOOKUP($C37,Sheet1!$A$2:$D$10,4,0)</f>
        <v>40</v>
      </c>
      <c r="L37" s="14" t="str">
        <f>VLOOKUP($C37,Sheet1!$A$2:$E$10,5,0)</f>
        <v>Trolley</v>
      </c>
      <c r="M37" s="14"/>
      <c r="N37" s="2">
        <f>J37/K37</f>
        <v>1</v>
      </c>
      <c r="O37" s="2" t="s">
        <v>111</v>
      </c>
      <c r="P37" s="2">
        <v>910101143</v>
      </c>
    </row>
    <row r="38" spans="1:16" x14ac:dyDescent="0.25">
      <c r="A38" s="15" t="s">
        <v>448</v>
      </c>
      <c r="B38" s="18" t="s">
        <v>431</v>
      </c>
      <c r="C38" s="2" t="s">
        <v>26</v>
      </c>
      <c r="D38" s="2" t="str">
        <f>VLOOKUP($C38,Sheet1!$A$2:$B$10,2,0)</f>
        <v>116040-92240</v>
      </c>
      <c r="E38" s="8" t="s">
        <v>75</v>
      </c>
      <c r="F38" s="12">
        <v>45999</v>
      </c>
      <c r="G38" s="13">
        <v>0.5625</v>
      </c>
      <c r="H38" s="2" t="s">
        <v>76</v>
      </c>
      <c r="I38" s="2" t="s">
        <v>42</v>
      </c>
      <c r="J38" s="2">
        <v>24</v>
      </c>
      <c r="K38" s="14">
        <f>VLOOKUP($C38,Sheet1!$A$2:$D$10,4,0)</f>
        <v>6</v>
      </c>
      <c r="L38" s="14" t="str">
        <f>VLOOKUP($C38,Sheet1!$A$2:$E$10,5,0)</f>
        <v>Bin</v>
      </c>
      <c r="M38" s="14">
        <f t="shared" ref="M38:M40" si="6">J38/K38</f>
        <v>4</v>
      </c>
      <c r="N38" s="2"/>
      <c r="O38" s="2" t="s">
        <v>111</v>
      </c>
      <c r="P38" s="2" t="s">
        <v>169</v>
      </c>
    </row>
    <row r="39" spans="1:16" x14ac:dyDescent="0.25">
      <c r="A39" s="15" t="s">
        <v>448</v>
      </c>
      <c r="B39" s="18" t="s">
        <v>436</v>
      </c>
      <c r="C39" s="2" t="s">
        <v>32</v>
      </c>
      <c r="D39" s="2" t="str">
        <f>VLOOKUP($C39,Sheet1!$A$2:$B$10,2,0)</f>
        <v>114010-50820</v>
      </c>
      <c r="E39" s="8" t="s">
        <v>82</v>
      </c>
      <c r="F39" s="12">
        <v>45999</v>
      </c>
      <c r="G39" s="13">
        <v>0.5625</v>
      </c>
      <c r="H39" s="2" t="s">
        <v>76</v>
      </c>
      <c r="I39" s="2" t="s">
        <v>42</v>
      </c>
      <c r="J39" s="2">
        <v>1</v>
      </c>
      <c r="K39" s="14">
        <f>VLOOKUP($C39,Sheet1!$A$2:$D$10,4,0)</f>
        <v>1</v>
      </c>
      <c r="L39" s="14" t="str">
        <f>VLOOKUP($C39,Sheet1!$A$2:$E$10,5,0)</f>
        <v>Bin</v>
      </c>
      <c r="M39" s="14">
        <f t="shared" si="6"/>
        <v>1</v>
      </c>
      <c r="N39" s="2"/>
      <c r="O39" s="2" t="s">
        <v>111</v>
      </c>
      <c r="P39" s="2" t="s">
        <v>398</v>
      </c>
    </row>
    <row r="40" spans="1:16" x14ac:dyDescent="0.25">
      <c r="A40" s="15" t="s">
        <v>448</v>
      </c>
      <c r="B40" s="18" t="s">
        <v>441</v>
      </c>
      <c r="C40" s="2" t="s">
        <v>29</v>
      </c>
      <c r="D40" s="2" t="str">
        <f>VLOOKUP($C40,Sheet1!$A$2:$B$10,2,0)</f>
        <v>114010-50830</v>
      </c>
      <c r="E40" s="8" t="s">
        <v>82</v>
      </c>
      <c r="F40" s="12">
        <v>45999</v>
      </c>
      <c r="G40" s="13">
        <v>0.5625</v>
      </c>
      <c r="H40" s="2" t="s">
        <v>76</v>
      </c>
      <c r="I40" s="2" t="s">
        <v>42</v>
      </c>
      <c r="J40" s="2">
        <v>15</v>
      </c>
      <c r="K40" s="14">
        <f>VLOOKUP($C40,Sheet1!$A$2:$D$10,4,0)</f>
        <v>1</v>
      </c>
      <c r="L40" s="14" t="str">
        <f>VLOOKUP($C40,Sheet1!$A$2:$E$10,5,0)</f>
        <v>Bin</v>
      </c>
      <c r="M40" s="14">
        <f t="shared" si="6"/>
        <v>15</v>
      </c>
      <c r="N40" s="2"/>
      <c r="O40" s="2" t="s">
        <v>111</v>
      </c>
      <c r="P40" s="2" t="s">
        <v>169</v>
      </c>
    </row>
    <row r="41" spans="1:16" s="11" customForma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>
        <v>46</v>
      </c>
      <c r="N41" s="10">
        <v>4</v>
      </c>
      <c r="O41" s="10"/>
      <c r="P41" s="10"/>
    </row>
    <row r="42" spans="1:16" x14ac:dyDescent="0.25">
      <c r="A42" s="15" t="s">
        <v>449</v>
      </c>
      <c r="B42" s="18" t="s">
        <v>403</v>
      </c>
      <c r="C42" s="2" t="s">
        <v>5</v>
      </c>
      <c r="D42" s="2" t="str">
        <f>VLOOKUP($C42,Sheet1!$A$2:$B$10,2,0)</f>
        <v>141110-14600</v>
      </c>
      <c r="E42" s="8" t="s">
        <v>40</v>
      </c>
      <c r="F42" s="12">
        <v>45999</v>
      </c>
      <c r="G42" s="13">
        <v>0.60416666666666663</v>
      </c>
      <c r="H42" s="2" t="s">
        <v>41</v>
      </c>
      <c r="I42" s="2" t="s">
        <v>42</v>
      </c>
      <c r="J42" s="2">
        <v>18</v>
      </c>
      <c r="K42" s="14">
        <f>VLOOKUP($C42,Sheet1!$A$2:$D$10,4,0)</f>
        <v>18</v>
      </c>
      <c r="L42" s="14" t="str">
        <f>VLOOKUP($C42,Sheet1!$A$2:$E$10,5,0)</f>
        <v>Trolley (H)</v>
      </c>
      <c r="M42" s="14"/>
      <c r="N42" s="51">
        <v>1</v>
      </c>
      <c r="O42" s="2" t="s">
        <v>112</v>
      </c>
      <c r="P42" s="2" t="s">
        <v>652</v>
      </c>
    </row>
    <row r="43" spans="1:16" x14ac:dyDescent="0.25">
      <c r="A43" s="15" t="s">
        <v>449</v>
      </c>
      <c r="B43" s="18" t="s">
        <v>408</v>
      </c>
      <c r="C43" s="2" t="s">
        <v>9</v>
      </c>
      <c r="D43" s="2" t="str">
        <f>VLOOKUP($C43,Sheet1!$A$2:$B$10,2,0)</f>
        <v>141120-14600</v>
      </c>
      <c r="E43" s="8" t="s">
        <v>47</v>
      </c>
      <c r="F43" s="12">
        <v>45999</v>
      </c>
      <c r="G43" s="13">
        <v>0.60416666666666663</v>
      </c>
      <c r="H43" s="2" t="s">
        <v>41</v>
      </c>
      <c r="I43" s="2" t="s">
        <v>42</v>
      </c>
      <c r="J43" s="2">
        <v>18</v>
      </c>
      <c r="K43" s="14">
        <f>VLOOKUP($C43,Sheet1!$A$2:$D$10,4,0)</f>
        <v>18</v>
      </c>
      <c r="L43" s="14" t="str">
        <f>VLOOKUP($C43,Sheet1!$A$2:$E$10,5,0)</f>
        <v>Trolley (H)</v>
      </c>
      <c r="M43" s="14"/>
      <c r="N43" s="52"/>
      <c r="O43" s="2" t="s">
        <v>112</v>
      </c>
      <c r="P43" s="2" t="s">
        <v>653</v>
      </c>
    </row>
    <row r="44" spans="1:16" x14ac:dyDescent="0.25">
      <c r="A44" s="15" t="s">
        <v>449</v>
      </c>
      <c r="B44" s="18" t="s">
        <v>412</v>
      </c>
      <c r="C44" s="2" t="s">
        <v>12</v>
      </c>
      <c r="D44" s="2" t="str">
        <f>VLOOKUP($C44,Sheet1!$A$2:$B$10,2,0)</f>
        <v>141185-74670</v>
      </c>
      <c r="E44" s="8" t="s">
        <v>52</v>
      </c>
      <c r="F44" s="12">
        <v>45999</v>
      </c>
      <c r="G44" s="13">
        <v>0.60416666666666663</v>
      </c>
      <c r="H44" s="2" t="s">
        <v>41</v>
      </c>
      <c r="I44" s="2" t="s">
        <v>42</v>
      </c>
      <c r="J44" s="2">
        <v>80</v>
      </c>
      <c r="K44" s="14">
        <f>VLOOKUP($C44,Sheet1!$A$2:$D$10,4,0)</f>
        <v>40</v>
      </c>
      <c r="L44" s="14" t="str">
        <f>VLOOKUP($C44,Sheet1!$A$2:$E$10,5,0)</f>
        <v>Trolley</v>
      </c>
      <c r="M44" s="14"/>
      <c r="N44" s="2">
        <f>J44/K44</f>
        <v>2</v>
      </c>
      <c r="O44" s="2" t="s">
        <v>112</v>
      </c>
      <c r="P44" s="2">
        <v>910102863</v>
      </c>
    </row>
    <row r="45" spans="1:16" x14ac:dyDescent="0.25">
      <c r="A45" s="15" t="s">
        <v>449</v>
      </c>
      <c r="B45" s="18" t="s">
        <v>417</v>
      </c>
      <c r="C45" s="2" t="s">
        <v>16</v>
      </c>
      <c r="D45" s="2" t="str">
        <f>VLOOKUP($C45,Sheet1!$A$2:$B$10,2,0)</f>
        <v>141140-91211</v>
      </c>
      <c r="E45" s="8" t="s">
        <v>57</v>
      </c>
      <c r="F45" s="12">
        <v>45999</v>
      </c>
      <c r="G45" s="13">
        <v>0.60416666666666663</v>
      </c>
      <c r="H45" s="2" t="s">
        <v>58</v>
      </c>
      <c r="I45" s="2" t="s">
        <v>42</v>
      </c>
      <c r="J45" s="2">
        <v>20</v>
      </c>
      <c r="K45" s="14">
        <f>VLOOKUP($C45,Sheet1!$A$2:$D$10,4,0)</f>
        <v>2</v>
      </c>
      <c r="L45" s="14" t="str">
        <f>VLOOKUP($C45,Sheet1!$A$2:$E$10,5,0)</f>
        <v>Bin</v>
      </c>
      <c r="M45" s="14">
        <f t="shared" ref="M45:M46" si="7">J45/K45</f>
        <v>10</v>
      </c>
      <c r="N45" s="2"/>
      <c r="O45" s="2" t="s">
        <v>112</v>
      </c>
      <c r="P45" s="2" t="s">
        <v>657</v>
      </c>
    </row>
    <row r="46" spans="1:16" x14ac:dyDescent="0.25">
      <c r="A46" s="15" t="s">
        <v>449</v>
      </c>
      <c r="B46" s="18" t="s">
        <v>422</v>
      </c>
      <c r="C46" s="2" t="s">
        <v>20</v>
      </c>
      <c r="D46" s="2" t="str">
        <f>VLOOKUP($C46,Sheet1!$A$2:$B$10,2,0)</f>
        <v>141150-91211</v>
      </c>
      <c r="E46" s="8" t="s">
        <v>64</v>
      </c>
      <c r="F46" s="12">
        <v>45999</v>
      </c>
      <c r="G46" s="13">
        <v>0.60416666666666663</v>
      </c>
      <c r="H46" s="2" t="s">
        <v>58</v>
      </c>
      <c r="I46" s="2" t="s">
        <v>42</v>
      </c>
      <c r="J46" s="2">
        <v>20</v>
      </c>
      <c r="K46" s="14">
        <f>VLOOKUP($C46,Sheet1!$A$2:$D$10,4,0)</f>
        <v>2</v>
      </c>
      <c r="L46" s="14" t="str">
        <f>VLOOKUP($C46,Sheet1!$A$2:$E$10,5,0)</f>
        <v>Bin</v>
      </c>
      <c r="M46" s="14">
        <f t="shared" si="7"/>
        <v>10</v>
      </c>
      <c r="N46" s="2"/>
      <c r="O46" s="2" t="s">
        <v>112</v>
      </c>
      <c r="P46" s="2" t="s">
        <v>322</v>
      </c>
    </row>
    <row r="47" spans="1:16" x14ac:dyDescent="0.25">
      <c r="A47" s="15" t="s">
        <v>449</v>
      </c>
      <c r="B47" s="18" t="s">
        <v>427</v>
      </c>
      <c r="C47" s="2" t="s">
        <v>23</v>
      </c>
      <c r="D47" s="2" t="str">
        <f>VLOOKUP($C47,Sheet1!$A$2:$B$10,2,0)</f>
        <v>141186-74360</v>
      </c>
      <c r="E47" s="8" t="s">
        <v>70</v>
      </c>
      <c r="F47" s="12">
        <v>45999</v>
      </c>
      <c r="G47" s="13">
        <v>0.60416666666666663</v>
      </c>
      <c r="H47" s="2" t="s">
        <v>58</v>
      </c>
      <c r="I47" s="2" t="s">
        <v>42</v>
      </c>
      <c r="J47" s="2">
        <v>40</v>
      </c>
      <c r="K47" s="14">
        <f>VLOOKUP($C47,Sheet1!$A$2:$D$10,4,0)</f>
        <v>40</v>
      </c>
      <c r="L47" s="14" t="str">
        <f>VLOOKUP($C47,Sheet1!$A$2:$E$10,5,0)</f>
        <v>Trolley</v>
      </c>
      <c r="M47" s="14"/>
      <c r="N47" s="2">
        <f>J47/K47</f>
        <v>1</v>
      </c>
      <c r="O47" s="2" t="s">
        <v>112</v>
      </c>
      <c r="P47" s="2">
        <v>910101143</v>
      </c>
    </row>
    <row r="48" spans="1:16" x14ac:dyDescent="0.25">
      <c r="A48" s="15" t="s">
        <v>450</v>
      </c>
      <c r="B48" s="18" t="s">
        <v>432</v>
      </c>
      <c r="C48" s="2" t="s">
        <v>26</v>
      </c>
      <c r="D48" s="2" t="str">
        <f>VLOOKUP($C48,Sheet1!$A$2:$B$10,2,0)</f>
        <v>116040-92240</v>
      </c>
      <c r="E48" s="8" t="s">
        <v>75</v>
      </c>
      <c r="F48" s="12">
        <v>45999</v>
      </c>
      <c r="G48" s="13">
        <v>0.60416666666666663</v>
      </c>
      <c r="H48" s="2" t="s">
        <v>76</v>
      </c>
      <c r="I48" s="2" t="s">
        <v>42</v>
      </c>
      <c r="J48" s="2">
        <v>24</v>
      </c>
      <c r="K48" s="14">
        <f>VLOOKUP($C48,Sheet1!$A$2:$D$10,4,0)</f>
        <v>6</v>
      </c>
      <c r="L48" s="14" t="str">
        <f>VLOOKUP($C48,Sheet1!$A$2:$E$10,5,0)</f>
        <v>Bin</v>
      </c>
      <c r="M48" s="14">
        <f t="shared" ref="M48:M50" si="8">J48/K48</f>
        <v>4</v>
      </c>
      <c r="N48" s="2"/>
      <c r="O48" s="2" t="s">
        <v>112</v>
      </c>
      <c r="P48" s="2" t="s">
        <v>169</v>
      </c>
    </row>
    <row r="49" spans="1:16" x14ac:dyDescent="0.25">
      <c r="A49" s="15" t="s">
        <v>450</v>
      </c>
      <c r="B49" s="18" t="s">
        <v>437</v>
      </c>
      <c r="C49" s="2" t="s">
        <v>32</v>
      </c>
      <c r="D49" s="2" t="str">
        <f>VLOOKUP($C49,Sheet1!$A$2:$B$10,2,0)</f>
        <v>114010-50820</v>
      </c>
      <c r="E49" s="8" t="s">
        <v>82</v>
      </c>
      <c r="F49" s="12">
        <v>45999</v>
      </c>
      <c r="G49" s="13">
        <v>0.60416666666666663</v>
      </c>
      <c r="H49" s="2" t="s">
        <v>76</v>
      </c>
      <c r="I49" s="2" t="s">
        <v>42</v>
      </c>
      <c r="J49" s="2">
        <v>9</v>
      </c>
      <c r="K49" s="14">
        <f>VLOOKUP($C49,Sheet1!$A$2:$D$10,4,0)</f>
        <v>1</v>
      </c>
      <c r="L49" s="14" t="str">
        <f>VLOOKUP($C49,Sheet1!$A$2:$E$10,5,0)</f>
        <v>Bin</v>
      </c>
      <c r="M49" s="14">
        <f t="shared" si="8"/>
        <v>9</v>
      </c>
      <c r="N49" s="2"/>
      <c r="O49" s="2" t="s">
        <v>112</v>
      </c>
      <c r="P49" s="2" t="s">
        <v>398</v>
      </c>
    </row>
    <row r="50" spans="1:16" x14ac:dyDescent="0.25">
      <c r="A50" s="15" t="s">
        <v>450</v>
      </c>
      <c r="B50" s="18" t="s">
        <v>442</v>
      </c>
      <c r="C50" s="2" t="s">
        <v>29</v>
      </c>
      <c r="D50" s="2" t="str">
        <f>VLOOKUP($C50,Sheet1!$A$2:$B$10,2,0)</f>
        <v>114010-50830</v>
      </c>
      <c r="E50" s="8" t="s">
        <v>82</v>
      </c>
      <c r="F50" s="12">
        <v>45999</v>
      </c>
      <c r="G50" s="13">
        <v>0.60416666666666663</v>
      </c>
      <c r="H50" s="2" t="s">
        <v>76</v>
      </c>
      <c r="I50" s="2" t="s">
        <v>42</v>
      </c>
      <c r="J50" s="2">
        <v>21</v>
      </c>
      <c r="K50" s="14">
        <f>VLOOKUP($C50,Sheet1!$A$2:$D$10,4,0)</f>
        <v>1</v>
      </c>
      <c r="L50" s="14" t="str">
        <f>VLOOKUP($C50,Sheet1!$A$2:$E$10,5,0)</f>
        <v>Bin</v>
      </c>
      <c r="M50" s="14">
        <f t="shared" si="8"/>
        <v>21</v>
      </c>
      <c r="N50" s="2"/>
      <c r="O50" s="2" t="s">
        <v>112</v>
      </c>
      <c r="P50" s="2" t="s">
        <v>169</v>
      </c>
    </row>
    <row r="51" spans="1:16" s="11" customForma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>
        <v>54</v>
      </c>
      <c r="N51" s="10">
        <v>4</v>
      </c>
      <c r="O51" s="10"/>
      <c r="P51" s="10"/>
    </row>
  </sheetData>
  <mergeCells count="8">
    <mergeCell ref="N32:N33"/>
    <mergeCell ref="N42:N43"/>
    <mergeCell ref="A1:F1"/>
    <mergeCell ref="J1:N1"/>
    <mergeCell ref="L2:N2"/>
    <mergeCell ref="N4:N5"/>
    <mergeCell ref="N6:N7"/>
    <mergeCell ref="N22:N23"/>
  </mergeCells>
  <conditionalFormatting sqref="B2">
    <cfRule type="duplicateValues" dxfId="95" priority="2"/>
    <cfRule type="duplicateValues" dxfId="94" priority="3"/>
  </conditionalFormatting>
  <conditionalFormatting sqref="B4:B20 B22:B30 B32:B40 B42:B50">
    <cfRule type="duplicateValues" dxfId="93" priority="1"/>
  </conditionalFormatting>
  <conditionalFormatting sqref="C2:D2">
    <cfRule type="duplicateValues" dxfId="92" priority="4"/>
    <cfRule type="duplicateValues" dxfId="91" priority="5"/>
  </conditionalFormatting>
  <pageMargins left="0.17" right="0.17" top="0.17" bottom="0.17" header="0.18" footer="0.17"/>
  <pageSetup paperSize="9" scale="6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Q48"/>
  <sheetViews>
    <sheetView topLeftCell="A26" workbookViewId="0">
      <selection activeCell="A4" sqref="A4:XFD45"/>
    </sheetView>
  </sheetViews>
  <sheetFormatPr defaultColWidth="20" defaultRowHeight="15" x14ac:dyDescent="0.25"/>
  <cols>
    <col min="1" max="1" width="15.140625" bestFit="1" customWidth="1"/>
    <col min="2" max="2" width="20.140625" customWidth="1"/>
    <col min="3" max="3" width="14.140625" bestFit="1" customWidth="1"/>
    <col min="4" max="4" width="14.140625" customWidth="1"/>
    <col min="5" max="5" width="32.5703125" bestFit="1" customWidth="1"/>
    <col min="6" max="6" width="9.7109375" bestFit="1" customWidth="1"/>
    <col min="7" max="7" width="7.7109375" bestFit="1" customWidth="1"/>
    <col min="8" max="8" width="12.140625" bestFit="1" customWidth="1"/>
    <col min="9" max="9" width="4.7109375" bestFit="1" customWidth="1"/>
    <col min="10" max="10" width="4.42578125" bestFit="1" customWidth="1"/>
    <col min="11" max="11" width="9" customWidth="1"/>
    <col min="12" max="12" width="10.28515625" customWidth="1"/>
    <col min="13" max="13" width="7.140625" bestFit="1" customWidth="1"/>
    <col min="14" max="14" width="7.85546875" bestFit="1" customWidth="1"/>
    <col min="15" max="15" width="15.28515625" bestFit="1" customWidth="1"/>
    <col min="16" max="16" width="57.85546875" customWidth="1"/>
  </cols>
  <sheetData>
    <row r="1" spans="1:17" ht="23.25" x14ac:dyDescent="0.25">
      <c r="A1" s="53" t="s">
        <v>93</v>
      </c>
      <c r="B1" s="53"/>
      <c r="C1" s="53"/>
      <c r="D1" s="53"/>
      <c r="E1" s="53"/>
      <c r="F1" s="53"/>
      <c r="G1" s="2"/>
      <c r="H1" s="2"/>
      <c r="I1" s="2"/>
      <c r="J1" s="54" t="s">
        <v>94</v>
      </c>
      <c r="K1" s="55"/>
      <c r="L1" s="55"/>
      <c r="M1" s="55"/>
      <c r="N1" s="55"/>
      <c r="O1" s="3"/>
      <c r="P1" s="4"/>
    </row>
    <row r="2" spans="1:17" ht="15.75" x14ac:dyDescent="0.25">
      <c r="A2" s="5" t="s">
        <v>95</v>
      </c>
      <c r="B2" s="6">
        <v>46000</v>
      </c>
      <c r="C2" s="7"/>
      <c r="D2" s="7"/>
      <c r="E2" s="2"/>
      <c r="F2" s="8"/>
      <c r="G2" s="2"/>
      <c r="H2" s="2"/>
      <c r="I2" s="2"/>
      <c r="J2" s="2"/>
      <c r="K2" s="2"/>
      <c r="L2" s="56" t="s">
        <v>96</v>
      </c>
      <c r="M2" s="57"/>
      <c r="N2" s="58"/>
      <c r="O2" s="2"/>
      <c r="P2" s="2"/>
    </row>
    <row r="3" spans="1:17" s="11" customFormat="1" ht="30" x14ac:dyDescent="0.25">
      <c r="A3" s="10" t="s">
        <v>97</v>
      </c>
      <c r="B3" s="10" t="s">
        <v>35</v>
      </c>
      <c r="C3" s="10" t="s">
        <v>0</v>
      </c>
      <c r="D3" s="10" t="s">
        <v>98</v>
      </c>
      <c r="E3" s="10" t="s">
        <v>2</v>
      </c>
      <c r="F3" s="10" t="s">
        <v>36</v>
      </c>
      <c r="G3" s="10" t="s">
        <v>37</v>
      </c>
      <c r="H3" s="10" t="s">
        <v>38</v>
      </c>
      <c r="I3" s="10" t="s">
        <v>99</v>
      </c>
      <c r="J3" s="10" t="s">
        <v>100</v>
      </c>
      <c r="K3" s="10" t="s">
        <v>101</v>
      </c>
      <c r="L3" s="10" t="s">
        <v>102</v>
      </c>
      <c r="M3" s="10" t="s">
        <v>103</v>
      </c>
      <c r="N3" s="10" t="s">
        <v>104</v>
      </c>
      <c r="O3" s="10" t="s">
        <v>96</v>
      </c>
      <c r="P3" s="10" t="s">
        <v>105</v>
      </c>
    </row>
    <row r="4" spans="1:17" x14ac:dyDescent="0.25">
      <c r="A4" s="15" t="s">
        <v>497</v>
      </c>
      <c r="B4" s="18" t="s">
        <v>457</v>
      </c>
      <c r="C4" s="2" t="s">
        <v>5</v>
      </c>
      <c r="D4" s="2" t="str">
        <f>VLOOKUP($C4,Sheet1!$A$2:$B$10,2,0)</f>
        <v>141110-14600</v>
      </c>
      <c r="E4" s="8" t="s">
        <v>40</v>
      </c>
      <c r="F4" s="12">
        <v>46000</v>
      </c>
      <c r="G4" s="13">
        <v>0.27083333333333331</v>
      </c>
      <c r="H4" s="2" t="s">
        <v>41</v>
      </c>
      <c r="I4" s="2" t="s">
        <v>42</v>
      </c>
      <c r="J4" s="2">
        <v>18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1">
        <v>1</v>
      </c>
      <c r="O4" s="2" t="s">
        <v>113</v>
      </c>
      <c r="P4" s="2" t="s">
        <v>652</v>
      </c>
    </row>
    <row r="5" spans="1:17" x14ac:dyDescent="0.25">
      <c r="A5" s="15" t="s">
        <v>497</v>
      </c>
      <c r="B5" s="18" t="s">
        <v>463</v>
      </c>
      <c r="C5" s="2" t="s">
        <v>9</v>
      </c>
      <c r="D5" s="2" t="str">
        <f>VLOOKUP($C5,Sheet1!$A$2:$B$10,2,0)</f>
        <v>141120-14600</v>
      </c>
      <c r="E5" s="8" t="s">
        <v>47</v>
      </c>
      <c r="F5" s="12">
        <v>46000</v>
      </c>
      <c r="G5" s="13">
        <v>0.27083333333333331</v>
      </c>
      <c r="H5" s="2" t="s">
        <v>41</v>
      </c>
      <c r="I5" s="2" t="s">
        <v>42</v>
      </c>
      <c r="J5" s="2">
        <v>18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2"/>
      <c r="O5" s="2" t="s">
        <v>113</v>
      </c>
      <c r="P5" s="2" t="s">
        <v>653</v>
      </c>
    </row>
    <row r="6" spans="1:17" x14ac:dyDescent="0.25">
      <c r="A6" s="15" t="s">
        <v>497</v>
      </c>
      <c r="B6" s="18" t="s">
        <v>459</v>
      </c>
      <c r="C6" s="2" t="s">
        <v>5</v>
      </c>
      <c r="D6" s="2" t="str">
        <f>VLOOKUP($C6,Sheet1!$A$2:$B$10,2,0)</f>
        <v>141110-14600</v>
      </c>
      <c r="E6" s="8" t="s">
        <v>40</v>
      </c>
      <c r="F6" s="12">
        <v>46000</v>
      </c>
      <c r="G6" s="13">
        <v>0.27083333333333331</v>
      </c>
      <c r="H6" s="2" t="s">
        <v>41</v>
      </c>
      <c r="I6" s="2" t="s">
        <v>42</v>
      </c>
      <c r="J6" s="2">
        <v>36</v>
      </c>
      <c r="K6" s="14">
        <f>VLOOKUP($C6,Sheet1!$A$2:$D$10,4,0)</f>
        <v>18</v>
      </c>
      <c r="L6" s="14" t="str">
        <f>VLOOKUP($C6,Sheet1!$A$2:$E$10,5,0)</f>
        <v>Trolley (H)</v>
      </c>
      <c r="M6" s="14"/>
      <c r="N6" s="51">
        <v>2</v>
      </c>
      <c r="O6" s="2" t="s">
        <v>113</v>
      </c>
      <c r="P6" s="2" t="s">
        <v>652</v>
      </c>
    </row>
    <row r="7" spans="1:17" x14ac:dyDescent="0.25">
      <c r="A7" s="15" t="s">
        <v>497</v>
      </c>
      <c r="B7" s="18" t="s">
        <v>464</v>
      </c>
      <c r="C7" s="2" t="s">
        <v>9</v>
      </c>
      <c r="D7" s="2" t="str">
        <f>VLOOKUP($C7,Sheet1!$A$2:$B$10,2,0)</f>
        <v>141120-14600</v>
      </c>
      <c r="E7" s="8" t="s">
        <v>47</v>
      </c>
      <c r="F7" s="12">
        <v>46000</v>
      </c>
      <c r="G7" s="13">
        <v>0.27083333333333331</v>
      </c>
      <c r="H7" s="2" t="s">
        <v>41</v>
      </c>
      <c r="I7" s="2" t="s">
        <v>42</v>
      </c>
      <c r="J7" s="2">
        <v>36</v>
      </c>
      <c r="K7" s="14">
        <f>VLOOKUP($C7,Sheet1!$A$2:$D$10,4,0)</f>
        <v>18</v>
      </c>
      <c r="L7" s="14" t="str">
        <f>VLOOKUP($C7,Sheet1!$A$2:$E$10,5,0)</f>
        <v>Trolley (H)</v>
      </c>
      <c r="M7" s="14"/>
      <c r="N7" s="52"/>
      <c r="O7" s="2" t="s">
        <v>113</v>
      </c>
      <c r="P7" s="2" t="s">
        <v>652</v>
      </c>
    </row>
    <row r="8" spans="1:17" x14ac:dyDescent="0.25">
      <c r="A8" s="15" t="s">
        <v>497</v>
      </c>
      <c r="B8" s="18" t="s">
        <v>468</v>
      </c>
      <c r="C8" s="2" t="s">
        <v>12</v>
      </c>
      <c r="D8" s="2" t="str">
        <f>VLOOKUP($C8,Sheet1!$A$2:$B$10,2,0)</f>
        <v>141185-74670</v>
      </c>
      <c r="E8" s="8" t="s">
        <v>52</v>
      </c>
      <c r="F8" s="12">
        <v>46000</v>
      </c>
      <c r="G8" s="13">
        <v>0.27083333333333331</v>
      </c>
      <c r="H8" s="2" t="s">
        <v>41</v>
      </c>
      <c r="I8" s="2" t="s">
        <v>42</v>
      </c>
      <c r="J8" s="2">
        <v>80</v>
      </c>
      <c r="K8" s="14">
        <f>VLOOKUP($C8,Sheet1!$A$2:$D$10,4,0)</f>
        <v>40</v>
      </c>
      <c r="L8" s="14" t="str">
        <f>VLOOKUP($C8,Sheet1!$A$2:$E$10,5,0)</f>
        <v>Trolley</v>
      </c>
      <c r="M8" s="14"/>
      <c r="N8" s="2">
        <f>J8/K8</f>
        <v>2</v>
      </c>
      <c r="O8" s="2" t="s">
        <v>113</v>
      </c>
      <c r="P8" s="2" t="s">
        <v>719</v>
      </c>
    </row>
    <row r="9" spans="1:17" x14ac:dyDescent="0.25">
      <c r="A9" s="15" t="s">
        <v>497</v>
      </c>
      <c r="B9" s="18" t="s">
        <v>469</v>
      </c>
      <c r="C9" s="2" t="s">
        <v>12</v>
      </c>
      <c r="D9" s="2" t="str">
        <f>VLOOKUP($C9,Sheet1!$A$2:$B$10,2,0)</f>
        <v>141185-74670</v>
      </c>
      <c r="E9" s="8" t="s">
        <v>52</v>
      </c>
      <c r="F9" s="12">
        <v>46000</v>
      </c>
      <c r="G9" s="13">
        <v>0.27083333333333331</v>
      </c>
      <c r="H9" s="2" t="s">
        <v>41</v>
      </c>
      <c r="I9" s="2" t="s">
        <v>42</v>
      </c>
      <c r="J9" s="2">
        <v>80</v>
      </c>
      <c r="K9" s="14">
        <f>VLOOKUP($C9,Sheet1!$A$2:$D$10,4,0)</f>
        <v>40</v>
      </c>
      <c r="L9" s="14" t="str">
        <f>VLOOKUP($C9,Sheet1!$A$2:$E$10,5,0)</f>
        <v>Trolley</v>
      </c>
      <c r="M9" s="14"/>
      <c r="N9" s="2">
        <f>J9/K9</f>
        <v>2</v>
      </c>
      <c r="O9" s="2" t="s">
        <v>113</v>
      </c>
      <c r="P9" s="2">
        <v>910102863</v>
      </c>
    </row>
    <row r="10" spans="1:17" x14ac:dyDescent="0.25">
      <c r="A10" s="15" t="s">
        <v>497</v>
      </c>
      <c r="B10" s="18" t="s">
        <v>473</v>
      </c>
      <c r="C10" s="2" t="s">
        <v>16</v>
      </c>
      <c r="D10" s="2" t="str">
        <f>VLOOKUP($C10,Sheet1!$A$2:$B$10,2,0)</f>
        <v>141140-91211</v>
      </c>
      <c r="E10" s="8" t="s">
        <v>57</v>
      </c>
      <c r="F10" s="12">
        <v>46000</v>
      </c>
      <c r="G10" s="13">
        <v>0.27083333333333331</v>
      </c>
      <c r="H10" s="2" t="s">
        <v>58</v>
      </c>
      <c r="I10" s="2" t="s">
        <v>42</v>
      </c>
      <c r="J10" s="2">
        <v>6</v>
      </c>
      <c r="K10" s="14">
        <f>VLOOKUP($C10,Sheet1!$A$2:$D$10,4,0)</f>
        <v>2</v>
      </c>
      <c r="L10" s="14" t="str">
        <f>VLOOKUP($C10,Sheet1!$A$2:$E$10,5,0)</f>
        <v>Bin</v>
      </c>
      <c r="M10" s="14">
        <f>J10/K10</f>
        <v>3</v>
      </c>
      <c r="N10" s="2"/>
      <c r="O10" s="2" t="s">
        <v>113</v>
      </c>
      <c r="P10" s="2" t="s">
        <v>720</v>
      </c>
    </row>
    <row r="11" spans="1:17" x14ac:dyDescent="0.25">
      <c r="A11" s="15" t="s">
        <v>497</v>
      </c>
      <c r="B11" s="18" t="s">
        <v>474</v>
      </c>
      <c r="C11" s="2" t="s">
        <v>16</v>
      </c>
      <c r="D11" s="2" t="str">
        <f>VLOOKUP($C11,Sheet1!$A$2:$B$10,2,0)</f>
        <v>141140-91211</v>
      </c>
      <c r="E11" s="8" t="s">
        <v>57</v>
      </c>
      <c r="F11" s="12">
        <v>46000</v>
      </c>
      <c r="G11" s="13">
        <v>0.27083333333333331</v>
      </c>
      <c r="H11" s="2" t="s">
        <v>58</v>
      </c>
      <c r="I11" s="2" t="s">
        <v>42</v>
      </c>
      <c r="J11" s="2">
        <v>32</v>
      </c>
      <c r="K11" s="14">
        <f>VLOOKUP($C11,Sheet1!$A$2:$D$10,4,0)</f>
        <v>2</v>
      </c>
      <c r="L11" s="14" t="str">
        <f>VLOOKUP($C11,Sheet1!$A$2:$E$10,5,0)</f>
        <v>Bin</v>
      </c>
      <c r="M11" s="14">
        <f t="shared" ref="M11:M19" si="0">J11/K11</f>
        <v>16</v>
      </c>
      <c r="N11" s="2"/>
      <c r="O11" s="2" t="s">
        <v>113</v>
      </c>
      <c r="P11" s="2" t="s">
        <v>720</v>
      </c>
    </row>
    <row r="12" spans="1:17" x14ac:dyDescent="0.25">
      <c r="A12" s="15" t="s">
        <v>497</v>
      </c>
      <c r="B12" s="18" t="s">
        <v>477</v>
      </c>
      <c r="C12" s="2" t="s">
        <v>20</v>
      </c>
      <c r="D12" s="2" t="str">
        <f>VLOOKUP($C12,Sheet1!$A$2:$B$10,2,0)</f>
        <v>141150-91211</v>
      </c>
      <c r="E12" s="8" t="s">
        <v>64</v>
      </c>
      <c r="F12" s="12">
        <v>46000</v>
      </c>
      <c r="G12" s="13">
        <v>0.27083333333333331</v>
      </c>
      <c r="H12" s="2" t="s">
        <v>58</v>
      </c>
      <c r="I12" s="2" t="s">
        <v>42</v>
      </c>
      <c r="J12" s="2">
        <v>8</v>
      </c>
      <c r="K12" s="14">
        <f>VLOOKUP($C12,Sheet1!$A$2:$D$10,4,0)</f>
        <v>2</v>
      </c>
      <c r="L12" s="14" t="str">
        <f>VLOOKUP($C12,Sheet1!$A$2:$E$10,5,0)</f>
        <v>Bin</v>
      </c>
      <c r="M12" s="14">
        <f t="shared" si="0"/>
        <v>4</v>
      </c>
      <c r="N12" s="2"/>
      <c r="O12" s="2" t="s">
        <v>113</v>
      </c>
      <c r="P12" s="2" t="s">
        <v>720</v>
      </c>
    </row>
    <row r="13" spans="1:17" x14ac:dyDescent="0.25">
      <c r="A13" s="15" t="s">
        <v>497</v>
      </c>
      <c r="B13" s="18" t="s">
        <v>478</v>
      </c>
      <c r="C13" s="2" t="s">
        <v>20</v>
      </c>
      <c r="D13" s="2" t="str">
        <f>VLOOKUP($C13,Sheet1!$A$2:$B$10,2,0)</f>
        <v>141150-91211</v>
      </c>
      <c r="E13" s="8" t="s">
        <v>64</v>
      </c>
      <c r="F13" s="12">
        <v>46000</v>
      </c>
      <c r="G13" s="13">
        <v>0.27083333333333331</v>
      </c>
      <c r="H13" s="2" t="s">
        <v>58</v>
      </c>
      <c r="I13" s="2" t="s">
        <v>42</v>
      </c>
      <c r="J13" s="2">
        <v>32</v>
      </c>
      <c r="K13" s="14">
        <f>VLOOKUP($C13,Sheet1!$A$2:$D$10,4,0)</f>
        <v>2</v>
      </c>
      <c r="L13" s="14" t="str">
        <f>VLOOKUP($C13,Sheet1!$A$2:$E$10,5,0)</f>
        <v>Bin</v>
      </c>
      <c r="M13" s="14">
        <f t="shared" si="0"/>
        <v>16</v>
      </c>
      <c r="N13" s="2"/>
      <c r="O13" s="2" t="s">
        <v>113</v>
      </c>
      <c r="P13" s="2" t="s">
        <v>720</v>
      </c>
    </row>
    <row r="14" spans="1:17" x14ac:dyDescent="0.25">
      <c r="A14" s="15" t="s">
        <v>498</v>
      </c>
      <c r="B14" s="18" t="s">
        <v>481</v>
      </c>
      <c r="C14" s="2" t="s">
        <v>26</v>
      </c>
      <c r="D14" s="2" t="str">
        <f>VLOOKUP($C14,Sheet1!$A$2:$B$10,2,0)</f>
        <v>116040-92240</v>
      </c>
      <c r="E14" s="8" t="s">
        <v>75</v>
      </c>
      <c r="F14" s="12">
        <v>46000</v>
      </c>
      <c r="G14" s="13">
        <v>0.27083333333333331</v>
      </c>
      <c r="H14" s="2" t="s">
        <v>76</v>
      </c>
      <c r="I14" s="2" t="s">
        <v>42</v>
      </c>
      <c r="J14" s="2">
        <v>30</v>
      </c>
      <c r="K14" s="14">
        <f>VLOOKUP($C14,Sheet1!$A$2:$D$10,4,0)</f>
        <v>6</v>
      </c>
      <c r="L14" s="14" t="str">
        <f>VLOOKUP($C14,Sheet1!$A$2:$E$10,5,0)</f>
        <v>Bin</v>
      </c>
      <c r="M14" s="14">
        <f t="shared" si="0"/>
        <v>5</v>
      </c>
      <c r="N14" s="2"/>
      <c r="O14" s="2" t="s">
        <v>113</v>
      </c>
      <c r="P14" s="2" t="s">
        <v>721</v>
      </c>
      <c r="Q14">
        <v>10</v>
      </c>
    </row>
    <row r="15" spans="1:17" x14ac:dyDescent="0.25">
      <c r="A15" s="15" t="s">
        <v>498</v>
      </c>
      <c r="B15" s="18" t="s">
        <v>482</v>
      </c>
      <c r="C15" s="2" t="s">
        <v>26</v>
      </c>
      <c r="D15" s="2" t="str">
        <f>VLOOKUP($C15,Sheet1!$A$2:$B$10,2,0)</f>
        <v>116040-92240</v>
      </c>
      <c r="E15" s="8" t="s">
        <v>75</v>
      </c>
      <c r="F15" s="12">
        <v>46000</v>
      </c>
      <c r="G15" s="13">
        <v>0.27083333333333331</v>
      </c>
      <c r="H15" s="2" t="s">
        <v>76</v>
      </c>
      <c r="I15" s="2" t="s">
        <v>42</v>
      </c>
      <c r="J15" s="2">
        <v>36</v>
      </c>
      <c r="K15" s="14">
        <f>VLOOKUP($C15,Sheet1!$A$2:$D$10,4,0)</f>
        <v>6</v>
      </c>
      <c r="L15" s="14" t="str">
        <f>VLOOKUP($C15,Sheet1!$A$2:$E$10,5,0)</f>
        <v>Bin</v>
      </c>
      <c r="M15" s="14">
        <f t="shared" si="0"/>
        <v>6</v>
      </c>
      <c r="N15" s="2"/>
      <c r="O15" s="2" t="s">
        <v>113</v>
      </c>
      <c r="P15" s="2" t="s">
        <v>722</v>
      </c>
      <c r="Q15">
        <v>10</v>
      </c>
    </row>
    <row r="16" spans="1:17" x14ac:dyDescent="0.25">
      <c r="A16" s="15" t="s">
        <v>498</v>
      </c>
      <c r="B16" s="18" t="s">
        <v>486</v>
      </c>
      <c r="C16" s="2" t="s">
        <v>32</v>
      </c>
      <c r="D16" s="2" t="str">
        <f>VLOOKUP($C16,Sheet1!$A$2:$B$10,2,0)</f>
        <v>114010-50820</v>
      </c>
      <c r="E16" s="8" t="s">
        <v>82</v>
      </c>
      <c r="F16" s="12">
        <v>46000</v>
      </c>
      <c r="G16" s="13">
        <v>0.27083333333333331</v>
      </c>
      <c r="H16" s="2" t="s">
        <v>76</v>
      </c>
      <c r="I16" s="2" t="s">
        <v>42</v>
      </c>
      <c r="J16" s="2">
        <v>16</v>
      </c>
      <c r="K16" s="14">
        <f>VLOOKUP($C16,Sheet1!$A$2:$D$10,4,0)</f>
        <v>1</v>
      </c>
      <c r="L16" s="14" t="str">
        <f>VLOOKUP($C16,Sheet1!$A$2:$E$10,5,0)</f>
        <v>Bin</v>
      </c>
      <c r="M16" s="14">
        <f t="shared" si="0"/>
        <v>16</v>
      </c>
      <c r="N16" s="2"/>
      <c r="O16" s="2" t="s">
        <v>113</v>
      </c>
      <c r="P16" s="2" t="s">
        <v>398</v>
      </c>
    </row>
    <row r="17" spans="1:17" x14ac:dyDescent="0.25">
      <c r="A17" s="15" t="s">
        <v>498</v>
      </c>
      <c r="B17" s="18" t="s">
        <v>487</v>
      </c>
      <c r="C17" s="2" t="s">
        <v>32</v>
      </c>
      <c r="D17" s="2" t="str">
        <f>VLOOKUP($C17,Sheet1!$A$2:$B$10,2,0)</f>
        <v>114010-50820</v>
      </c>
      <c r="E17" s="8" t="s">
        <v>82</v>
      </c>
      <c r="F17" s="12">
        <v>46000</v>
      </c>
      <c r="G17" s="13">
        <v>0.27083333333333331</v>
      </c>
      <c r="H17" s="2" t="s">
        <v>76</v>
      </c>
      <c r="I17" s="2" t="s">
        <v>42</v>
      </c>
      <c r="J17" s="2">
        <v>13</v>
      </c>
      <c r="K17" s="14">
        <f>VLOOKUP($C17,Sheet1!$A$2:$D$10,4,0)</f>
        <v>1</v>
      </c>
      <c r="L17" s="14" t="str">
        <f>VLOOKUP($C17,Sheet1!$A$2:$E$10,5,0)</f>
        <v>Bin</v>
      </c>
      <c r="M17" s="14">
        <f t="shared" si="0"/>
        <v>13</v>
      </c>
      <c r="N17" s="2"/>
      <c r="O17" s="2" t="s">
        <v>113</v>
      </c>
      <c r="P17" s="2" t="s">
        <v>398</v>
      </c>
    </row>
    <row r="18" spans="1:17" x14ac:dyDescent="0.25">
      <c r="A18" s="15" t="s">
        <v>498</v>
      </c>
      <c r="B18" s="18" t="s">
        <v>491</v>
      </c>
      <c r="C18" s="2" t="s">
        <v>29</v>
      </c>
      <c r="D18" s="2" t="str">
        <f>VLOOKUP($C18,Sheet1!$A$2:$B$10,2,0)</f>
        <v>114010-50830</v>
      </c>
      <c r="E18" s="8" t="s">
        <v>82</v>
      </c>
      <c r="F18" s="12">
        <v>46000</v>
      </c>
      <c r="G18" s="13">
        <v>0.27083333333333331</v>
      </c>
      <c r="H18" s="2" t="s">
        <v>76</v>
      </c>
      <c r="I18" s="2" t="s">
        <v>42</v>
      </c>
      <c r="J18" s="2">
        <v>14</v>
      </c>
      <c r="K18" s="14">
        <f>VLOOKUP($C18,Sheet1!$A$2:$D$10,4,0)</f>
        <v>1</v>
      </c>
      <c r="L18" s="14" t="str">
        <f>VLOOKUP($C18,Sheet1!$A$2:$E$10,5,0)</f>
        <v>Bin</v>
      </c>
      <c r="M18" s="14">
        <f t="shared" si="0"/>
        <v>14</v>
      </c>
      <c r="N18" s="2"/>
      <c r="O18" s="2" t="s">
        <v>113</v>
      </c>
      <c r="P18" s="2" t="s">
        <v>169</v>
      </c>
    </row>
    <row r="19" spans="1:17" x14ac:dyDescent="0.25">
      <c r="A19" s="15" t="s">
        <v>498</v>
      </c>
      <c r="B19" s="18" t="s">
        <v>492</v>
      </c>
      <c r="C19" s="2" t="s">
        <v>29</v>
      </c>
      <c r="D19" s="2" t="str">
        <f>VLOOKUP($C19,Sheet1!$A$2:$B$10,2,0)</f>
        <v>114010-50830</v>
      </c>
      <c r="E19" s="8" t="s">
        <v>82</v>
      </c>
      <c r="F19" s="12">
        <v>46000</v>
      </c>
      <c r="G19" s="13">
        <v>0.27083333333333331</v>
      </c>
      <c r="H19" s="2" t="s">
        <v>76</v>
      </c>
      <c r="I19" s="2" t="s">
        <v>42</v>
      </c>
      <c r="J19" s="2">
        <v>19</v>
      </c>
      <c r="K19" s="14">
        <f>VLOOKUP($C19,Sheet1!$A$2:$D$10,4,0)</f>
        <v>1</v>
      </c>
      <c r="L19" s="14" t="str">
        <f>VLOOKUP($C19,Sheet1!$A$2:$E$10,5,0)</f>
        <v>Bin</v>
      </c>
      <c r="M19" s="14">
        <f t="shared" si="0"/>
        <v>19</v>
      </c>
      <c r="N19" s="2"/>
      <c r="O19" s="2" t="s">
        <v>113</v>
      </c>
      <c r="P19" s="2" t="s">
        <v>169</v>
      </c>
    </row>
    <row r="20" spans="1:17" s="11" customFormat="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>
        <v>112</v>
      </c>
      <c r="N20" s="10">
        <v>7</v>
      </c>
      <c r="O20" s="10"/>
      <c r="P20" s="10"/>
    </row>
    <row r="21" spans="1:17" x14ac:dyDescent="0.25">
      <c r="A21" s="15" t="s">
        <v>499</v>
      </c>
      <c r="B21" s="18" t="s">
        <v>460</v>
      </c>
      <c r="C21" s="2" t="s">
        <v>5</v>
      </c>
      <c r="D21" s="2" t="str">
        <f>VLOOKUP($C21,Sheet1!$A$2:$B$10,2,0)</f>
        <v>141110-14600</v>
      </c>
      <c r="E21" s="8" t="s">
        <v>40</v>
      </c>
      <c r="F21" s="12">
        <v>46000</v>
      </c>
      <c r="G21" s="13">
        <v>0.5625</v>
      </c>
      <c r="H21" s="2" t="s">
        <v>41</v>
      </c>
      <c r="I21" s="2" t="s">
        <v>42</v>
      </c>
      <c r="J21" s="2">
        <v>36</v>
      </c>
      <c r="K21" s="14">
        <f>VLOOKUP($C21,Sheet1!$A$2:$D$10,4,0)</f>
        <v>18</v>
      </c>
      <c r="L21" s="14" t="str">
        <f>VLOOKUP($C21,Sheet1!$A$2:$E$10,5,0)</f>
        <v>Trolley (H)</v>
      </c>
      <c r="M21" s="14"/>
      <c r="N21" s="51">
        <v>2</v>
      </c>
      <c r="O21" s="2" t="s">
        <v>112</v>
      </c>
      <c r="P21" s="2" t="s">
        <v>723</v>
      </c>
    </row>
    <row r="22" spans="1:17" x14ac:dyDescent="0.25">
      <c r="A22" s="15" t="s">
        <v>499</v>
      </c>
      <c r="B22" s="18" t="s">
        <v>465</v>
      </c>
      <c r="C22" s="2" t="s">
        <v>9</v>
      </c>
      <c r="D22" s="2" t="str">
        <f>VLOOKUP($C22,Sheet1!$A$2:$B$10,2,0)</f>
        <v>141120-14600</v>
      </c>
      <c r="E22" s="8" t="s">
        <v>47</v>
      </c>
      <c r="F22" s="12">
        <v>46000</v>
      </c>
      <c r="G22" s="13">
        <v>0.5625</v>
      </c>
      <c r="H22" s="2" t="s">
        <v>41</v>
      </c>
      <c r="I22" s="2" t="s">
        <v>42</v>
      </c>
      <c r="J22" s="2">
        <v>36</v>
      </c>
      <c r="K22" s="14">
        <f>VLOOKUP($C22,Sheet1!$A$2:$D$10,4,0)</f>
        <v>18</v>
      </c>
      <c r="L22" s="14" t="str">
        <f>VLOOKUP($C22,Sheet1!$A$2:$E$10,5,0)</f>
        <v>Trolley (H)</v>
      </c>
      <c r="M22" s="14"/>
      <c r="N22" s="52"/>
      <c r="O22" s="2" t="s">
        <v>112</v>
      </c>
      <c r="P22" s="2" t="s">
        <v>724</v>
      </c>
    </row>
    <row r="23" spans="1:17" x14ac:dyDescent="0.25">
      <c r="A23" s="15" t="s">
        <v>499</v>
      </c>
      <c r="B23" s="18" t="s">
        <v>470</v>
      </c>
      <c r="C23" s="2" t="s">
        <v>12</v>
      </c>
      <c r="D23" s="2" t="str">
        <f>VLOOKUP($C23,Sheet1!$A$2:$B$10,2,0)</f>
        <v>141185-74670</v>
      </c>
      <c r="E23" s="8" t="s">
        <v>52</v>
      </c>
      <c r="F23" s="12">
        <v>46000</v>
      </c>
      <c r="G23" s="13">
        <v>0.5625</v>
      </c>
      <c r="H23" s="2" t="s">
        <v>41</v>
      </c>
      <c r="I23" s="2" t="s">
        <v>42</v>
      </c>
      <c r="J23" s="2">
        <v>40</v>
      </c>
      <c r="K23" s="14">
        <f>VLOOKUP($C23,Sheet1!$A$2:$D$10,4,0)</f>
        <v>40</v>
      </c>
      <c r="L23" s="14" t="str">
        <f>VLOOKUP($C23,Sheet1!$A$2:$E$10,5,0)</f>
        <v>Trolley</v>
      </c>
      <c r="M23" s="14"/>
      <c r="N23" s="2">
        <f>J23/K23</f>
        <v>1</v>
      </c>
      <c r="O23" s="2" t="s">
        <v>112</v>
      </c>
      <c r="P23" s="2">
        <v>910103038</v>
      </c>
    </row>
    <row r="24" spans="1:17" x14ac:dyDescent="0.25">
      <c r="A24" s="15" t="s">
        <v>499</v>
      </c>
      <c r="B24" s="18" t="s">
        <v>475</v>
      </c>
      <c r="C24" s="2" t="s">
        <v>16</v>
      </c>
      <c r="D24" s="2" t="str">
        <f>VLOOKUP($C24,Sheet1!$A$2:$B$10,2,0)</f>
        <v>141140-91211</v>
      </c>
      <c r="E24" s="8" t="s">
        <v>57</v>
      </c>
      <c r="F24" s="12">
        <v>46000</v>
      </c>
      <c r="G24" s="13">
        <v>0.5625</v>
      </c>
      <c r="H24" s="2" t="s">
        <v>58</v>
      </c>
      <c r="I24" s="2" t="s">
        <v>42</v>
      </c>
      <c r="J24" s="2">
        <v>22</v>
      </c>
      <c r="K24" s="14">
        <f>VLOOKUP($C24,Sheet1!$A$2:$D$10,4,0)</f>
        <v>2</v>
      </c>
      <c r="L24" s="14" t="str">
        <f>VLOOKUP($C24,Sheet1!$A$2:$E$10,5,0)</f>
        <v>Bin</v>
      </c>
      <c r="M24" s="14">
        <f t="shared" ref="M24:M28" si="1">J24/K24</f>
        <v>11</v>
      </c>
      <c r="N24" s="2"/>
      <c r="O24" s="2" t="s">
        <v>112</v>
      </c>
      <c r="P24" s="2" t="s">
        <v>720</v>
      </c>
    </row>
    <row r="25" spans="1:17" x14ac:dyDescent="0.25">
      <c r="A25" s="15" t="s">
        <v>499</v>
      </c>
      <c r="B25" s="18" t="s">
        <v>479</v>
      </c>
      <c r="C25" s="2" t="s">
        <v>20</v>
      </c>
      <c r="D25" s="2" t="str">
        <f>VLOOKUP($C25,Sheet1!$A$2:$B$10,2,0)</f>
        <v>141150-91211</v>
      </c>
      <c r="E25" s="8" t="s">
        <v>64</v>
      </c>
      <c r="F25" s="12">
        <v>46000</v>
      </c>
      <c r="G25" s="13">
        <v>0.5625</v>
      </c>
      <c r="H25" s="2" t="s">
        <v>58</v>
      </c>
      <c r="I25" s="2" t="s">
        <v>42</v>
      </c>
      <c r="J25" s="2">
        <v>6</v>
      </c>
      <c r="K25" s="14">
        <f>VLOOKUP($C25,Sheet1!$A$2:$D$10,4,0)</f>
        <v>2</v>
      </c>
      <c r="L25" s="14" t="str">
        <f>VLOOKUP($C25,Sheet1!$A$2:$E$10,5,0)</f>
        <v>Bin</v>
      </c>
      <c r="M25" s="14">
        <f t="shared" si="1"/>
        <v>3</v>
      </c>
      <c r="N25" s="2"/>
      <c r="O25" s="2" t="s">
        <v>112</v>
      </c>
      <c r="P25" s="2" t="s">
        <v>720</v>
      </c>
    </row>
    <row r="26" spans="1:17" x14ac:dyDescent="0.25">
      <c r="A26" s="15" t="s">
        <v>500</v>
      </c>
      <c r="B26" s="18" t="s">
        <v>483</v>
      </c>
      <c r="C26" s="2" t="s">
        <v>26</v>
      </c>
      <c r="D26" s="2" t="str">
        <f>VLOOKUP($C26,Sheet1!$A$2:$B$10,2,0)</f>
        <v>116040-92240</v>
      </c>
      <c r="E26" s="8" t="s">
        <v>75</v>
      </c>
      <c r="F26" s="12">
        <v>46000</v>
      </c>
      <c r="G26" s="13">
        <v>0.5625</v>
      </c>
      <c r="H26" s="2" t="s">
        <v>76</v>
      </c>
      <c r="I26" s="2" t="s">
        <v>42</v>
      </c>
      <c r="J26" s="2">
        <v>30</v>
      </c>
      <c r="K26" s="14">
        <f>VLOOKUP($C26,Sheet1!$A$2:$D$10,4,0)</f>
        <v>6</v>
      </c>
      <c r="L26" s="14" t="str">
        <f>VLOOKUP($C26,Sheet1!$A$2:$E$10,5,0)</f>
        <v>Bin</v>
      </c>
      <c r="M26" s="14">
        <f t="shared" si="1"/>
        <v>5</v>
      </c>
      <c r="N26" s="2"/>
      <c r="O26" s="2" t="s">
        <v>112</v>
      </c>
      <c r="P26" s="2" t="s">
        <v>722</v>
      </c>
    </row>
    <row r="27" spans="1:17" x14ac:dyDescent="0.25">
      <c r="A27" s="15" t="s">
        <v>500</v>
      </c>
      <c r="B27" s="18" t="s">
        <v>488</v>
      </c>
      <c r="C27" s="2" t="s">
        <v>32</v>
      </c>
      <c r="D27" s="2" t="str">
        <f>VLOOKUP($C27,Sheet1!$A$2:$B$10,2,0)</f>
        <v>114010-50820</v>
      </c>
      <c r="E27" s="8" t="s">
        <v>82</v>
      </c>
      <c r="F27" s="12">
        <v>46000</v>
      </c>
      <c r="G27" s="13">
        <v>0.5625</v>
      </c>
      <c r="H27" s="2" t="s">
        <v>76</v>
      </c>
      <c r="I27" s="2" t="s">
        <v>42</v>
      </c>
      <c r="J27" s="2">
        <v>7</v>
      </c>
      <c r="K27" s="14">
        <f>VLOOKUP($C27,Sheet1!$A$2:$D$10,4,0)</f>
        <v>1</v>
      </c>
      <c r="L27" s="14" t="str">
        <f>VLOOKUP($C27,Sheet1!$A$2:$E$10,5,0)</f>
        <v>Bin</v>
      </c>
      <c r="M27" s="14">
        <f t="shared" si="1"/>
        <v>7</v>
      </c>
      <c r="N27" s="2"/>
      <c r="O27" s="2" t="s">
        <v>112</v>
      </c>
      <c r="P27" s="2" t="s">
        <v>398</v>
      </c>
    </row>
    <row r="28" spans="1:17" x14ac:dyDescent="0.25">
      <c r="A28" s="15" t="s">
        <v>500</v>
      </c>
      <c r="B28" s="18" t="s">
        <v>493</v>
      </c>
      <c r="C28" s="2" t="s">
        <v>29</v>
      </c>
      <c r="D28" s="2" t="str">
        <f>VLOOKUP($C28,Sheet1!$A$2:$B$10,2,0)</f>
        <v>114010-50830</v>
      </c>
      <c r="E28" s="8" t="s">
        <v>82</v>
      </c>
      <c r="F28" s="12">
        <v>46000</v>
      </c>
      <c r="G28" s="13">
        <v>0.5625</v>
      </c>
      <c r="H28" s="2" t="s">
        <v>76</v>
      </c>
      <c r="I28" s="2" t="s">
        <v>42</v>
      </c>
      <c r="J28" s="2">
        <v>23</v>
      </c>
      <c r="K28" s="14">
        <f>VLOOKUP($C28,Sheet1!$A$2:$D$10,4,0)</f>
        <v>1</v>
      </c>
      <c r="L28" s="14" t="str">
        <f>VLOOKUP($C28,Sheet1!$A$2:$E$10,5,0)</f>
        <v>Bin</v>
      </c>
      <c r="M28" s="14">
        <f t="shared" si="1"/>
        <v>23</v>
      </c>
      <c r="N28" s="2"/>
      <c r="O28" s="2" t="s">
        <v>112</v>
      </c>
      <c r="P28" s="2" t="s">
        <v>169</v>
      </c>
      <c r="Q28">
        <v>10</v>
      </c>
    </row>
    <row r="29" spans="1:17" s="11" customForma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>
        <v>49</v>
      </c>
      <c r="N29" s="10">
        <v>3</v>
      </c>
      <c r="O29" s="10"/>
      <c r="P29" s="10"/>
    </row>
    <row r="30" spans="1:17" x14ac:dyDescent="0.25">
      <c r="A30" s="15" t="s">
        <v>501</v>
      </c>
      <c r="B30" s="18" t="s">
        <v>461</v>
      </c>
      <c r="C30" s="2" t="s">
        <v>5</v>
      </c>
      <c r="D30" s="2" t="str">
        <f>VLOOKUP($C30,Sheet1!$A$2:$B$10,2,0)</f>
        <v>141110-14600</v>
      </c>
      <c r="E30" s="8" t="s">
        <v>40</v>
      </c>
      <c r="F30" s="12">
        <v>46000</v>
      </c>
      <c r="G30" s="13">
        <v>0.64583333333333337</v>
      </c>
      <c r="H30" s="2" t="s">
        <v>41</v>
      </c>
      <c r="I30" s="2" t="s">
        <v>42</v>
      </c>
      <c r="J30" s="2">
        <v>36</v>
      </c>
      <c r="K30" s="14">
        <f>VLOOKUP($C30,Sheet1!$A$2:$D$10,4,0)</f>
        <v>18</v>
      </c>
      <c r="L30" s="14" t="str">
        <f>VLOOKUP($C30,Sheet1!$A$2:$E$10,5,0)</f>
        <v>Trolley (H)</v>
      </c>
      <c r="M30" s="14"/>
      <c r="N30" s="51">
        <v>2</v>
      </c>
      <c r="O30" s="2" t="s">
        <v>111</v>
      </c>
      <c r="P30" s="2" t="s">
        <v>652</v>
      </c>
    </row>
    <row r="31" spans="1:17" x14ac:dyDescent="0.25">
      <c r="A31" s="15" t="s">
        <v>501</v>
      </c>
      <c r="B31" s="18" t="s">
        <v>466</v>
      </c>
      <c r="C31" s="2" t="s">
        <v>9</v>
      </c>
      <c r="D31" s="2" t="str">
        <f>VLOOKUP($C31,Sheet1!$A$2:$B$10,2,0)</f>
        <v>141120-14600</v>
      </c>
      <c r="E31" s="8" t="s">
        <v>47</v>
      </c>
      <c r="F31" s="12">
        <v>46000</v>
      </c>
      <c r="G31" s="13">
        <v>0.64583333333333337</v>
      </c>
      <c r="H31" s="2" t="s">
        <v>41</v>
      </c>
      <c r="I31" s="2" t="s">
        <v>42</v>
      </c>
      <c r="J31" s="2">
        <v>36</v>
      </c>
      <c r="K31" s="14">
        <f>VLOOKUP($C31,Sheet1!$A$2:$D$10,4,0)</f>
        <v>18</v>
      </c>
      <c r="L31" s="14" t="str">
        <f>VLOOKUP($C31,Sheet1!$A$2:$E$10,5,0)</f>
        <v>Trolley (H)</v>
      </c>
      <c r="M31" s="14"/>
      <c r="N31" s="52"/>
      <c r="O31" s="2" t="s">
        <v>111</v>
      </c>
      <c r="P31" s="2" t="s">
        <v>652</v>
      </c>
    </row>
    <row r="32" spans="1:17" x14ac:dyDescent="0.25">
      <c r="A32" s="15" t="s">
        <v>501</v>
      </c>
      <c r="B32" s="18" t="s">
        <v>471</v>
      </c>
      <c r="C32" s="2" t="s">
        <v>12</v>
      </c>
      <c r="D32" s="2" t="str">
        <f>VLOOKUP($C32,Sheet1!$A$2:$B$10,2,0)</f>
        <v>141185-74670</v>
      </c>
      <c r="E32" s="8" t="s">
        <v>52</v>
      </c>
      <c r="F32" s="12">
        <v>46000</v>
      </c>
      <c r="G32" s="13">
        <v>0.64583333333333337</v>
      </c>
      <c r="H32" s="2" t="s">
        <v>41</v>
      </c>
      <c r="I32" s="2" t="s">
        <v>42</v>
      </c>
      <c r="J32" s="2">
        <v>80</v>
      </c>
      <c r="K32" s="14">
        <f>VLOOKUP($C32,Sheet1!$A$2:$D$10,4,0)</f>
        <v>40</v>
      </c>
      <c r="L32" s="14" t="str">
        <f>VLOOKUP($C32,Sheet1!$A$2:$E$10,5,0)</f>
        <v>Trolley</v>
      </c>
      <c r="M32" s="14"/>
      <c r="N32" s="2">
        <f>J32/K32</f>
        <v>2</v>
      </c>
      <c r="O32" s="2" t="s">
        <v>111</v>
      </c>
      <c r="P32" s="2">
        <v>910103038</v>
      </c>
    </row>
    <row r="33" spans="1:16" x14ac:dyDescent="0.25">
      <c r="A33" s="15" t="s">
        <v>501</v>
      </c>
      <c r="B33" s="18" t="s">
        <v>476</v>
      </c>
      <c r="C33" s="2" t="s">
        <v>16</v>
      </c>
      <c r="D33" s="2" t="str">
        <f>VLOOKUP($C33,Sheet1!$A$2:$B$10,2,0)</f>
        <v>141140-91211</v>
      </c>
      <c r="E33" s="8" t="s">
        <v>57</v>
      </c>
      <c r="F33" s="12">
        <v>46000</v>
      </c>
      <c r="G33" s="13">
        <v>0.64583333333333337</v>
      </c>
      <c r="H33" s="2" t="s">
        <v>58</v>
      </c>
      <c r="I33" s="2" t="s">
        <v>42</v>
      </c>
      <c r="J33" s="2">
        <v>30</v>
      </c>
      <c r="K33" s="14">
        <f>VLOOKUP($C33,Sheet1!$A$2:$D$10,4,0)</f>
        <v>2</v>
      </c>
      <c r="L33" s="14" t="str">
        <f>VLOOKUP($C33,Sheet1!$A$2:$E$10,5,0)</f>
        <v>Bin</v>
      </c>
      <c r="M33" s="14">
        <f t="shared" ref="M33:M37" si="2">J33/K33</f>
        <v>15</v>
      </c>
      <c r="N33" s="2"/>
      <c r="O33" s="2" t="s">
        <v>111</v>
      </c>
      <c r="P33" s="2" t="s">
        <v>720</v>
      </c>
    </row>
    <row r="34" spans="1:16" x14ac:dyDescent="0.25">
      <c r="A34" s="15" t="s">
        <v>501</v>
      </c>
      <c r="B34" s="18" t="s">
        <v>480</v>
      </c>
      <c r="C34" s="2" t="s">
        <v>20</v>
      </c>
      <c r="D34" s="2" t="str">
        <f>VLOOKUP($C34,Sheet1!$A$2:$B$10,2,0)</f>
        <v>141150-91211</v>
      </c>
      <c r="E34" s="8" t="s">
        <v>64</v>
      </c>
      <c r="F34" s="12">
        <v>46000</v>
      </c>
      <c r="G34" s="13">
        <v>0.64583333333333337</v>
      </c>
      <c r="H34" s="2" t="s">
        <v>58</v>
      </c>
      <c r="I34" s="2" t="s">
        <v>42</v>
      </c>
      <c r="J34" s="2">
        <v>30</v>
      </c>
      <c r="K34" s="14">
        <f>VLOOKUP($C34,Sheet1!$A$2:$D$10,4,0)</f>
        <v>2</v>
      </c>
      <c r="L34" s="14" t="str">
        <f>VLOOKUP($C34,Sheet1!$A$2:$E$10,5,0)</f>
        <v>Bin</v>
      </c>
      <c r="M34" s="14">
        <f t="shared" si="2"/>
        <v>15</v>
      </c>
      <c r="N34" s="2"/>
      <c r="O34" s="2" t="s">
        <v>111</v>
      </c>
      <c r="P34" s="2" t="s">
        <v>720</v>
      </c>
    </row>
    <row r="35" spans="1:16" x14ac:dyDescent="0.25">
      <c r="A35" s="15" t="s">
        <v>502</v>
      </c>
      <c r="B35" s="18" t="s">
        <v>484</v>
      </c>
      <c r="C35" s="2" t="s">
        <v>26</v>
      </c>
      <c r="D35" s="2" t="str">
        <f>VLOOKUP($C35,Sheet1!$A$2:$B$10,2,0)</f>
        <v>116040-92240</v>
      </c>
      <c r="E35" s="8" t="s">
        <v>75</v>
      </c>
      <c r="F35" s="12">
        <v>46000</v>
      </c>
      <c r="G35" s="13">
        <v>0.64583333333333337</v>
      </c>
      <c r="H35" s="2" t="s">
        <v>76</v>
      </c>
      <c r="I35" s="2" t="s">
        <v>42</v>
      </c>
      <c r="J35" s="2">
        <v>30</v>
      </c>
      <c r="K35" s="14">
        <f>VLOOKUP($C35,Sheet1!$A$2:$D$10,4,0)</f>
        <v>6</v>
      </c>
      <c r="L35" s="14" t="str">
        <f>VLOOKUP($C35,Sheet1!$A$2:$E$10,5,0)</f>
        <v>Bin</v>
      </c>
      <c r="M35" s="14">
        <f t="shared" si="2"/>
        <v>5</v>
      </c>
      <c r="N35" s="2"/>
      <c r="O35" s="2" t="s">
        <v>111</v>
      </c>
      <c r="P35" s="2" t="s">
        <v>722</v>
      </c>
    </row>
    <row r="36" spans="1:16" x14ac:dyDescent="0.25">
      <c r="A36" s="15" t="s">
        <v>502</v>
      </c>
      <c r="B36" s="18" t="s">
        <v>489</v>
      </c>
      <c r="C36" s="2" t="s">
        <v>32</v>
      </c>
      <c r="D36" s="2" t="str">
        <f>VLOOKUP($C36,Sheet1!$A$2:$B$10,2,0)</f>
        <v>114010-50820</v>
      </c>
      <c r="E36" s="8" t="s">
        <v>82</v>
      </c>
      <c r="F36" s="12">
        <v>46000</v>
      </c>
      <c r="G36" s="13">
        <v>0.64583333333333337</v>
      </c>
      <c r="H36" s="2" t="s">
        <v>76</v>
      </c>
      <c r="I36" s="2" t="s">
        <v>42</v>
      </c>
      <c r="J36" s="2">
        <v>8</v>
      </c>
      <c r="K36" s="14">
        <f>VLOOKUP($C36,Sheet1!$A$2:$D$10,4,0)</f>
        <v>1</v>
      </c>
      <c r="L36" s="14" t="str">
        <f>VLOOKUP($C36,Sheet1!$A$2:$E$10,5,0)</f>
        <v>Bin</v>
      </c>
      <c r="M36" s="14">
        <f t="shared" si="2"/>
        <v>8</v>
      </c>
      <c r="N36" s="2"/>
      <c r="O36" s="2" t="s">
        <v>111</v>
      </c>
      <c r="P36" s="2" t="s">
        <v>398</v>
      </c>
    </row>
    <row r="37" spans="1:16" x14ac:dyDescent="0.25">
      <c r="A37" s="15" t="s">
        <v>502</v>
      </c>
      <c r="B37" s="18" t="s">
        <v>494</v>
      </c>
      <c r="C37" s="2" t="s">
        <v>29</v>
      </c>
      <c r="D37" s="2" t="str">
        <f>VLOOKUP($C37,Sheet1!$A$2:$B$10,2,0)</f>
        <v>114010-50830</v>
      </c>
      <c r="E37" s="8" t="s">
        <v>82</v>
      </c>
      <c r="F37" s="12">
        <v>46000</v>
      </c>
      <c r="G37" s="13">
        <v>0.64583333333333337</v>
      </c>
      <c r="H37" s="2" t="s">
        <v>76</v>
      </c>
      <c r="I37" s="2" t="s">
        <v>42</v>
      </c>
      <c r="J37" s="2">
        <v>16</v>
      </c>
      <c r="K37" s="14">
        <f>VLOOKUP($C37,Sheet1!$A$2:$D$10,4,0)</f>
        <v>1</v>
      </c>
      <c r="L37" s="14" t="str">
        <f>VLOOKUP($C37,Sheet1!$A$2:$E$10,5,0)</f>
        <v>Bin</v>
      </c>
      <c r="M37" s="14">
        <f t="shared" si="2"/>
        <v>16</v>
      </c>
      <c r="N37" s="2"/>
      <c r="O37" s="2" t="s">
        <v>111</v>
      </c>
      <c r="P37" s="2" t="s">
        <v>169</v>
      </c>
    </row>
    <row r="38" spans="1:16" s="11" customForma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>
        <v>59</v>
      </c>
      <c r="N38" s="10">
        <v>4</v>
      </c>
      <c r="O38" s="10"/>
      <c r="P38" s="10"/>
    </row>
    <row r="39" spans="1:16" x14ac:dyDescent="0.25">
      <c r="A39" s="15" t="s">
        <v>503</v>
      </c>
      <c r="B39" s="18" t="s">
        <v>462</v>
      </c>
      <c r="C39" s="2" t="s">
        <v>5</v>
      </c>
      <c r="D39" s="2" t="str">
        <f>VLOOKUP($C39,Sheet1!$A$2:$B$10,2,0)</f>
        <v>141110-14600</v>
      </c>
      <c r="E39" s="8" t="s">
        <v>40</v>
      </c>
      <c r="F39" s="12">
        <v>46000</v>
      </c>
      <c r="G39" s="13">
        <v>0.77083333333333337</v>
      </c>
      <c r="H39" s="2" t="s">
        <v>41</v>
      </c>
      <c r="I39" s="2" t="s">
        <v>42</v>
      </c>
      <c r="J39" s="2">
        <v>18</v>
      </c>
      <c r="K39" s="14">
        <f>VLOOKUP($C39,Sheet1!$A$2:$D$10,4,0)</f>
        <v>18</v>
      </c>
      <c r="L39" s="14" t="str">
        <f>VLOOKUP($C39,Sheet1!$A$2:$E$10,5,0)</f>
        <v>Trolley (H)</v>
      </c>
      <c r="M39" s="14"/>
      <c r="N39" s="51">
        <v>1</v>
      </c>
      <c r="O39" s="2" t="s">
        <v>451</v>
      </c>
      <c r="P39" s="2" t="s">
        <v>652</v>
      </c>
    </row>
    <row r="40" spans="1:16" x14ac:dyDescent="0.25">
      <c r="A40" s="15" t="s">
        <v>503</v>
      </c>
      <c r="B40" s="18" t="s">
        <v>467</v>
      </c>
      <c r="C40" s="2" t="s">
        <v>9</v>
      </c>
      <c r="D40" s="2" t="str">
        <f>VLOOKUP($C40,Sheet1!$A$2:$B$10,2,0)</f>
        <v>141120-14600</v>
      </c>
      <c r="E40" s="8" t="s">
        <v>47</v>
      </c>
      <c r="F40" s="12">
        <v>46000</v>
      </c>
      <c r="G40" s="13">
        <v>0.77083333333333337</v>
      </c>
      <c r="H40" s="2" t="s">
        <v>41</v>
      </c>
      <c r="I40" s="2" t="s">
        <v>42</v>
      </c>
      <c r="J40" s="2">
        <v>18</v>
      </c>
      <c r="K40" s="14">
        <f>VLOOKUP($C40,Sheet1!$A$2:$D$10,4,0)</f>
        <v>18</v>
      </c>
      <c r="L40" s="14" t="str">
        <f>VLOOKUP($C40,Sheet1!$A$2:$E$10,5,0)</f>
        <v>Trolley (H)</v>
      </c>
      <c r="M40" s="14"/>
      <c r="N40" s="52"/>
      <c r="O40" s="2" t="s">
        <v>451</v>
      </c>
      <c r="P40" s="2" t="s">
        <v>652</v>
      </c>
    </row>
    <row r="41" spans="1:16" x14ac:dyDescent="0.25">
      <c r="A41" s="15" t="s">
        <v>503</v>
      </c>
      <c r="B41" s="18" t="s">
        <v>472</v>
      </c>
      <c r="C41" s="2" t="s">
        <v>12</v>
      </c>
      <c r="D41" s="2" t="str">
        <f>VLOOKUP($C41,Sheet1!$A$2:$B$10,2,0)</f>
        <v>141185-74670</v>
      </c>
      <c r="E41" s="8" t="s">
        <v>52</v>
      </c>
      <c r="F41" s="12">
        <v>46000</v>
      </c>
      <c r="G41" s="13">
        <v>0.77083333333333337</v>
      </c>
      <c r="H41" s="2" t="s">
        <v>41</v>
      </c>
      <c r="I41" s="2" t="s">
        <v>42</v>
      </c>
      <c r="J41" s="2">
        <v>40</v>
      </c>
      <c r="K41" s="14">
        <f>VLOOKUP($C41,Sheet1!$A$2:$D$10,4,0)</f>
        <v>40</v>
      </c>
      <c r="L41" s="14" t="str">
        <f>VLOOKUP($C41,Sheet1!$A$2:$E$10,5,0)</f>
        <v>Trolley</v>
      </c>
      <c r="M41" s="14"/>
      <c r="N41" s="2">
        <f>J41/K41</f>
        <v>1</v>
      </c>
      <c r="O41" s="2" t="s">
        <v>451</v>
      </c>
      <c r="P41" s="2">
        <v>910103038</v>
      </c>
    </row>
    <row r="42" spans="1:16" x14ac:dyDescent="0.25">
      <c r="A42" s="15" t="s">
        <v>504</v>
      </c>
      <c r="B42" s="18" t="s">
        <v>485</v>
      </c>
      <c r="C42" s="2" t="s">
        <v>26</v>
      </c>
      <c r="D42" s="2" t="str">
        <f>VLOOKUP($C42,Sheet1!$A$2:$B$10,2,0)</f>
        <v>116040-92240</v>
      </c>
      <c r="E42" s="8" t="s">
        <v>75</v>
      </c>
      <c r="F42" s="12">
        <v>46000</v>
      </c>
      <c r="G42" s="13">
        <v>0.77083333333333337</v>
      </c>
      <c r="H42" s="2" t="s">
        <v>76</v>
      </c>
      <c r="I42" s="2" t="s">
        <v>42</v>
      </c>
      <c r="J42" s="2">
        <v>18</v>
      </c>
      <c r="K42" s="14">
        <f>VLOOKUP($C42,Sheet1!$A$2:$D$10,4,0)</f>
        <v>6</v>
      </c>
      <c r="L42" s="14" t="str">
        <f>VLOOKUP($C42,Sheet1!$A$2:$E$10,5,0)</f>
        <v>Bin</v>
      </c>
      <c r="M42" s="14">
        <f t="shared" ref="M42:M44" si="3">J42/K42</f>
        <v>3</v>
      </c>
      <c r="N42" s="2"/>
      <c r="O42" s="2" t="s">
        <v>451</v>
      </c>
      <c r="P42" s="2" t="s">
        <v>722</v>
      </c>
    </row>
    <row r="43" spans="1:16" x14ac:dyDescent="0.25">
      <c r="A43" s="15" t="s">
        <v>504</v>
      </c>
      <c r="B43" s="18" t="s">
        <v>490</v>
      </c>
      <c r="C43" s="2" t="s">
        <v>32</v>
      </c>
      <c r="D43" s="2" t="str">
        <f>VLOOKUP($C43,Sheet1!$A$2:$B$10,2,0)</f>
        <v>114010-50820</v>
      </c>
      <c r="E43" s="8" t="s">
        <v>82</v>
      </c>
      <c r="F43" s="12">
        <v>46000</v>
      </c>
      <c r="G43" s="13">
        <v>0.77083333333333337</v>
      </c>
      <c r="H43" s="2" t="s">
        <v>76</v>
      </c>
      <c r="I43" s="2" t="s">
        <v>42</v>
      </c>
      <c r="J43" s="2">
        <v>8</v>
      </c>
      <c r="K43" s="14">
        <f>VLOOKUP($C43,Sheet1!$A$2:$D$10,4,0)</f>
        <v>1</v>
      </c>
      <c r="L43" s="14" t="str">
        <f>VLOOKUP($C43,Sheet1!$A$2:$E$10,5,0)</f>
        <v>Bin</v>
      </c>
      <c r="M43" s="14">
        <f t="shared" si="3"/>
        <v>8</v>
      </c>
      <c r="N43" s="2"/>
      <c r="O43" s="2" t="s">
        <v>451</v>
      </c>
      <c r="P43" s="2" t="s">
        <v>398</v>
      </c>
    </row>
    <row r="44" spans="1:16" x14ac:dyDescent="0.25">
      <c r="A44" s="15" t="s">
        <v>504</v>
      </c>
      <c r="B44" s="18" t="s">
        <v>495</v>
      </c>
      <c r="C44" s="2" t="s">
        <v>29</v>
      </c>
      <c r="D44" s="2" t="str">
        <f>VLOOKUP($C44,Sheet1!$A$2:$B$10,2,0)</f>
        <v>114010-50830</v>
      </c>
      <c r="E44" s="8" t="s">
        <v>82</v>
      </c>
      <c r="F44" s="12">
        <v>46000</v>
      </c>
      <c r="G44" s="13">
        <v>0.77083333333333337</v>
      </c>
      <c r="H44" s="2" t="s">
        <v>76</v>
      </c>
      <c r="I44" s="2" t="s">
        <v>42</v>
      </c>
      <c r="J44" s="2">
        <v>17</v>
      </c>
      <c r="K44" s="14">
        <f>VLOOKUP($C44,Sheet1!$A$2:$D$10,4,0)</f>
        <v>1</v>
      </c>
      <c r="L44" s="14" t="str">
        <f>VLOOKUP($C44,Sheet1!$A$2:$E$10,5,0)</f>
        <v>Bin</v>
      </c>
      <c r="M44" s="14">
        <f t="shared" si="3"/>
        <v>17</v>
      </c>
      <c r="N44" s="2"/>
      <c r="O44" s="2" t="s">
        <v>451</v>
      </c>
      <c r="P44" s="2" t="s">
        <v>169</v>
      </c>
    </row>
    <row r="45" spans="1:16" s="11" customForma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>
        <v>28</v>
      </c>
      <c r="N45" s="10">
        <v>2</v>
      </c>
      <c r="O45" s="10"/>
      <c r="P45" s="10"/>
    </row>
    <row r="46" spans="1:16" x14ac:dyDescent="0.25">
      <c r="A46" s="2"/>
      <c r="B46" s="2" t="s">
        <v>496</v>
      </c>
      <c r="C46" s="2"/>
      <c r="D46" s="2"/>
      <c r="E46" s="8"/>
      <c r="F46" s="12"/>
      <c r="G46" s="13"/>
      <c r="H46" s="2"/>
      <c r="I46" s="2"/>
      <c r="J46" s="2"/>
      <c r="K46" s="14"/>
      <c r="L46" s="14"/>
      <c r="M46" s="14"/>
      <c r="N46" s="2"/>
      <c r="O46" s="2"/>
      <c r="P46" s="2"/>
    </row>
    <row r="47" spans="1:16" x14ac:dyDescent="0.25">
      <c r="A47" s="2"/>
      <c r="B47" s="2"/>
      <c r="C47" s="2"/>
      <c r="D47" s="2"/>
      <c r="E47" s="8"/>
      <c r="F47" s="12"/>
      <c r="G47" s="13"/>
      <c r="H47" s="2"/>
      <c r="I47" s="2"/>
      <c r="J47" s="2"/>
      <c r="K47" s="14"/>
      <c r="L47" s="14"/>
      <c r="M47" s="14"/>
      <c r="N47" s="2"/>
      <c r="O47" s="2"/>
      <c r="P47" s="2"/>
    </row>
    <row r="48" spans="1:16" x14ac:dyDescent="0.25">
      <c r="A48" s="2"/>
      <c r="B48" s="2"/>
      <c r="C48" s="2"/>
      <c r="D48" s="2"/>
      <c r="E48" s="8"/>
      <c r="F48" s="12"/>
      <c r="G48" s="13"/>
      <c r="H48" s="2"/>
      <c r="I48" s="2"/>
      <c r="J48" s="2"/>
      <c r="K48" s="14"/>
      <c r="L48" s="14"/>
      <c r="M48" s="14"/>
      <c r="N48" s="2"/>
      <c r="O48" s="2"/>
      <c r="P48" s="2"/>
    </row>
  </sheetData>
  <mergeCells count="8">
    <mergeCell ref="N39:N40"/>
    <mergeCell ref="A1:F1"/>
    <mergeCell ref="J1:N1"/>
    <mergeCell ref="L2:N2"/>
    <mergeCell ref="N4:N5"/>
    <mergeCell ref="N6:N7"/>
    <mergeCell ref="N21:N22"/>
    <mergeCell ref="N30:N31"/>
  </mergeCells>
  <phoneticPr fontId="5" type="noConversion"/>
  <conditionalFormatting sqref="B2">
    <cfRule type="duplicateValues" dxfId="90" priority="2"/>
    <cfRule type="duplicateValues" dxfId="89" priority="3"/>
  </conditionalFormatting>
  <conditionalFormatting sqref="B4:B19 B21:B28 B30:B37 B46:B48 B39:B44">
    <cfRule type="duplicateValues" dxfId="88" priority="1"/>
  </conditionalFormatting>
  <conditionalFormatting sqref="C2:D2">
    <cfRule type="duplicateValues" dxfId="87" priority="4"/>
    <cfRule type="duplicateValues" dxfId="86" priority="5"/>
  </conditionalFormatting>
  <hyperlinks>
    <hyperlink ref="B46" r:id="rId1" display="http://192.168.1.248/downloads/temp/X539_eNagare_2025128.log" xr:uid="{00000000-0004-0000-0800-000000000000}"/>
  </hyperlinks>
  <pageMargins left="0.17" right="0.17" top="0.17" bottom="0.17" header="0.17" footer="0.3"/>
  <pageSetup paperSize="9" scale="55"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5"/>
  <sheetViews>
    <sheetView topLeftCell="B1" workbookViewId="0">
      <selection activeCell="C30" sqref="C30"/>
    </sheetView>
  </sheetViews>
  <sheetFormatPr defaultColWidth="58.85546875" defaultRowHeight="15" x14ac:dyDescent="0.25"/>
  <cols>
    <col min="1" max="1" width="12.85546875" customWidth="1"/>
    <col min="2" max="2" width="17.85546875" bestFit="1" customWidth="1"/>
    <col min="3" max="3" width="18" bestFit="1" customWidth="1"/>
    <col min="4" max="4" width="14.7109375" bestFit="1" customWidth="1"/>
    <col min="5" max="5" width="15.42578125" bestFit="1" customWidth="1"/>
    <col min="6" max="6" width="17.28515625" bestFit="1" customWidth="1"/>
    <col min="7" max="7" width="16.28515625" bestFit="1" customWidth="1"/>
    <col min="8" max="8" width="22" bestFit="1" customWidth="1"/>
    <col min="9" max="9" width="20.5703125" bestFit="1" customWidth="1"/>
    <col min="10" max="11" width="20.5703125" customWidth="1"/>
    <col min="12" max="12" width="20.28515625" bestFit="1" customWidth="1"/>
    <col min="13" max="13" width="10.140625" bestFit="1" customWidth="1"/>
    <col min="14" max="14" width="11" bestFit="1" customWidth="1"/>
    <col min="15" max="15" width="20.140625" bestFit="1" customWidth="1"/>
    <col min="16" max="16" width="20.5703125" bestFit="1" customWidth="1"/>
    <col min="17" max="17" width="7.7109375" bestFit="1" customWidth="1"/>
    <col min="18" max="18" width="9.5703125" bestFit="1" customWidth="1"/>
    <col min="19" max="19" width="10.140625" bestFit="1" customWidth="1"/>
    <col min="20" max="20" width="26.140625" bestFit="1" customWidth="1"/>
  </cols>
  <sheetData>
    <row r="1" spans="1:20" ht="15.75" thickBot="1" x14ac:dyDescent="0.3">
      <c r="A1" s="25" t="s">
        <v>505</v>
      </c>
      <c r="B1" s="25" t="s">
        <v>506</v>
      </c>
      <c r="C1" s="25" t="s">
        <v>507</v>
      </c>
      <c r="D1" s="25" t="s">
        <v>508</v>
      </c>
      <c r="E1" s="25"/>
      <c r="F1" s="25" t="s">
        <v>514</v>
      </c>
      <c r="G1" s="25" t="s">
        <v>509</v>
      </c>
      <c r="H1" s="25" t="s">
        <v>510</v>
      </c>
      <c r="I1" s="25" t="s">
        <v>511</v>
      </c>
      <c r="J1" s="10" t="s">
        <v>101</v>
      </c>
      <c r="K1" s="10" t="s">
        <v>96</v>
      </c>
      <c r="L1" s="25" t="s">
        <v>512</v>
      </c>
      <c r="M1" s="25" t="s">
        <v>513</v>
      </c>
      <c r="N1" s="25" t="s">
        <v>515</v>
      </c>
      <c r="O1" s="25" t="s">
        <v>516</v>
      </c>
      <c r="P1" s="25" t="s">
        <v>517</v>
      </c>
      <c r="Q1" s="25" t="s">
        <v>518</v>
      </c>
      <c r="R1" s="25" t="s">
        <v>519</v>
      </c>
      <c r="S1" s="25" t="s">
        <v>520</v>
      </c>
      <c r="T1" s="25" t="s">
        <v>521</v>
      </c>
    </row>
    <row r="2" spans="1:20" ht="15.75" thickBot="1" x14ac:dyDescent="0.3">
      <c r="A2" s="26" t="s">
        <v>522</v>
      </c>
      <c r="B2" s="27">
        <v>45992</v>
      </c>
      <c r="C2" s="27">
        <v>46000</v>
      </c>
      <c r="D2" s="26" t="s">
        <v>458</v>
      </c>
      <c r="E2" s="2" t="s">
        <v>597</v>
      </c>
      <c r="F2" s="26" t="s">
        <v>525</v>
      </c>
      <c r="G2" s="26" t="s">
        <v>523</v>
      </c>
      <c r="H2" s="26">
        <v>24</v>
      </c>
      <c r="I2" s="26">
        <v>0</v>
      </c>
      <c r="J2" s="26">
        <v>1</v>
      </c>
      <c r="K2" s="2" t="s">
        <v>157</v>
      </c>
      <c r="L2" s="26">
        <v>0</v>
      </c>
      <c r="M2" s="26" t="s">
        <v>524</v>
      </c>
      <c r="N2" s="26" t="s">
        <v>526</v>
      </c>
      <c r="O2" s="26" t="s">
        <v>527</v>
      </c>
      <c r="P2" s="26" t="s">
        <v>528</v>
      </c>
      <c r="Q2" s="26">
        <v>80203</v>
      </c>
      <c r="R2" s="26"/>
      <c r="S2" s="26"/>
      <c r="T2" s="28" t="s">
        <v>529</v>
      </c>
    </row>
    <row r="3" spans="1:20" ht="15" customHeight="1" thickBot="1" x14ac:dyDescent="0.3">
      <c r="A3" s="26" t="s">
        <v>522</v>
      </c>
      <c r="B3" s="27">
        <v>46001</v>
      </c>
      <c r="C3" s="27">
        <v>46000</v>
      </c>
      <c r="D3" s="26" t="s">
        <v>458</v>
      </c>
      <c r="E3" s="2" t="s">
        <v>597</v>
      </c>
      <c r="F3" s="26" t="s">
        <v>531</v>
      </c>
      <c r="G3" s="26" t="s">
        <v>530</v>
      </c>
      <c r="H3" s="26">
        <v>100</v>
      </c>
      <c r="I3" s="26">
        <v>0</v>
      </c>
      <c r="J3" s="26">
        <v>10</v>
      </c>
      <c r="K3" s="2" t="s">
        <v>157</v>
      </c>
      <c r="L3" s="26">
        <v>0</v>
      </c>
      <c r="M3" s="26" t="s">
        <v>524</v>
      </c>
      <c r="N3" s="26" t="s">
        <v>526</v>
      </c>
      <c r="O3" s="26" t="s">
        <v>527</v>
      </c>
      <c r="P3" s="26" t="s">
        <v>528</v>
      </c>
      <c r="Q3" s="26">
        <v>920.5</v>
      </c>
      <c r="R3" s="26"/>
      <c r="S3" s="26"/>
      <c r="T3" s="28" t="s">
        <v>529</v>
      </c>
    </row>
    <row r="5" spans="1:20" x14ac:dyDescent="0.25">
      <c r="A5" t="s">
        <v>532</v>
      </c>
    </row>
  </sheetData>
  <hyperlinks>
    <hyperlink ref="A5" r:id="rId1" display="http://192.168.1.248/downloads/temp/X5392025128Spares.log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59"/>
  <sheetViews>
    <sheetView topLeftCell="A34" workbookViewId="0">
      <selection activeCell="A4" sqref="A4:XFD58"/>
    </sheetView>
  </sheetViews>
  <sheetFormatPr defaultColWidth="67.85546875" defaultRowHeight="15" x14ac:dyDescent="0.25"/>
  <cols>
    <col min="1" max="1" width="15.42578125" bestFit="1" customWidth="1"/>
    <col min="2" max="2" width="16.5703125" bestFit="1" customWidth="1"/>
    <col min="3" max="4" width="14.140625" bestFit="1" customWidth="1"/>
    <col min="5" max="5" width="32.5703125" bestFit="1" customWidth="1"/>
    <col min="6" max="6" width="9.7109375" bestFit="1" customWidth="1"/>
    <col min="7" max="7" width="8.140625" bestFit="1" customWidth="1"/>
    <col min="8" max="8" width="12.5703125" bestFit="1" customWidth="1"/>
    <col min="9" max="9" width="4.7109375" bestFit="1" customWidth="1"/>
    <col min="10" max="10" width="8" bestFit="1" customWidth="1"/>
    <col min="11" max="11" width="9" bestFit="1" customWidth="1"/>
    <col min="12" max="12" width="10.28515625" bestFit="1" customWidth="1"/>
    <col min="13" max="13" width="7.140625" bestFit="1" customWidth="1"/>
    <col min="14" max="14" width="7.85546875" bestFit="1" customWidth="1"/>
    <col min="15" max="15" width="11.28515625" bestFit="1" customWidth="1"/>
    <col min="16" max="16" width="51.5703125" customWidth="1"/>
    <col min="17" max="17" width="10.42578125" customWidth="1"/>
  </cols>
  <sheetData>
    <row r="1" spans="1:16" ht="23.25" x14ac:dyDescent="0.25">
      <c r="A1" s="53" t="s">
        <v>93</v>
      </c>
      <c r="B1" s="53"/>
      <c r="C1" s="53"/>
      <c r="D1" s="53"/>
      <c r="E1" s="53"/>
      <c r="F1" s="53"/>
      <c r="G1" s="2"/>
      <c r="H1" s="2"/>
      <c r="I1" s="2"/>
      <c r="J1" s="54" t="s">
        <v>94</v>
      </c>
      <c r="K1" s="55"/>
      <c r="L1" s="55"/>
      <c r="M1" s="55"/>
      <c r="N1" s="55"/>
      <c r="O1" s="3"/>
      <c r="P1" s="4"/>
    </row>
    <row r="2" spans="1:16" ht="15.75" x14ac:dyDescent="0.25">
      <c r="A2" s="5" t="s">
        <v>95</v>
      </c>
      <c r="B2" s="6">
        <v>46001</v>
      </c>
      <c r="C2" s="7"/>
      <c r="D2" s="7"/>
      <c r="E2" s="2"/>
      <c r="F2" s="8"/>
      <c r="G2" s="2"/>
      <c r="H2" s="2"/>
      <c r="I2" s="2"/>
      <c r="J2" s="2"/>
      <c r="K2" s="2"/>
      <c r="L2" s="56" t="s">
        <v>96</v>
      </c>
      <c r="M2" s="57"/>
      <c r="N2" s="58"/>
      <c r="O2" s="2"/>
      <c r="P2" s="2"/>
    </row>
    <row r="3" spans="1:16" s="11" customFormat="1" ht="30" x14ac:dyDescent="0.25">
      <c r="A3" s="10" t="s">
        <v>97</v>
      </c>
      <c r="B3" s="10" t="s">
        <v>35</v>
      </c>
      <c r="C3" s="10" t="s">
        <v>0</v>
      </c>
      <c r="D3" s="10" t="s">
        <v>98</v>
      </c>
      <c r="E3" s="10" t="s">
        <v>2</v>
      </c>
      <c r="F3" s="10" t="s">
        <v>36</v>
      </c>
      <c r="G3" s="10" t="s">
        <v>37</v>
      </c>
      <c r="H3" s="10" t="s">
        <v>38</v>
      </c>
      <c r="I3" s="10" t="s">
        <v>99</v>
      </c>
      <c r="J3" s="10" t="s">
        <v>100</v>
      </c>
      <c r="K3" s="10" t="s">
        <v>101</v>
      </c>
      <c r="L3" s="10" t="s">
        <v>102</v>
      </c>
      <c r="M3" s="10" t="s">
        <v>103</v>
      </c>
      <c r="N3" s="10" t="s">
        <v>104</v>
      </c>
      <c r="O3" s="10" t="s">
        <v>96</v>
      </c>
      <c r="P3" s="10" t="s">
        <v>105</v>
      </c>
    </row>
    <row r="4" spans="1:16" x14ac:dyDescent="0.25">
      <c r="A4" s="15" t="s">
        <v>569</v>
      </c>
      <c r="B4" s="18" t="s">
        <v>534</v>
      </c>
      <c r="C4" s="2" t="s">
        <v>5</v>
      </c>
      <c r="D4" s="2" t="str">
        <f>VLOOKUP($C4,Sheet1!$A$2:$B$10,2,0)</f>
        <v>141110-14600</v>
      </c>
      <c r="E4" s="8" t="s">
        <v>40</v>
      </c>
      <c r="F4" s="12">
        <v>46001</v>
      </c>
      <c r="G4" s="13">
        <v>0.27083333333333331</v>
      </c>
      <c r="H4" s="2" t="s">
        <v>41</v>
      </c>
      <c r="I4" s="2" t="s">
        <v>42</v>
      </c>
      <c r="J4" s="2">
        <v>36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1">
        <v>2</v>
      </c>
      <c r="O4" s="2" t="s">
        <v>157</v>
      </c>
      <c r="P4" s="2" t="s">
        <v>652</v>
      </c>
    </row>
    <row r="5" spans="1:16" x14ac:dyDescent="0.25">
      <c r="A5" s="15" t="s">
        <v>569</v>
      </c>
      <c r="B5" s="18" t="s">
        <v>537</v>
      </c>
      <c r="C5" s="2" t="s">
        <v>9</v>
      </c>
      <c r="D5" s="2" t="str">
        <f>VLOOKUP($C5,Sheet1!$A$2:$B$10,2,0)</f>
        <v>141120-14600</v>
      </c>
      <c r="E5" s="8" t="s">
        <v>47</v>
      </c>
      <c r="F5" s="12">
        <v>46001</v>
      </c>
      <c r="G5" s="13">
        <v>0.27083333333333331</v>
      </c>
      <c r="H5" s="2" t="s">
        <v>41</v>
      </c>
      <c r="I5" s="2" t="s">
        <v>42</v>
      </c>
      <c r="J5" s="2">
        <v>36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2"/>
      <c r="O5" s="2" t="s">
        <v>157</v>
      </c>
      <c r="P5" s="2" t="s">
        <v>872</v>
      </c>
    </row>
    <row r="6" spans="1:16" x14ac:dyDescent="0.25">
      <c r="A6" s="15" t="s">
        <v>569</v>
      </c>
      <c r="B6" s="18" t="s">
        <v>540</v>
      </c>
      <c r="C6" s="2" t="s">
        <v>12</v>
      </c>
      <c r="D6" s="2" t="str">
        <f>VLOOKUP($C6,Sheet1!$A$2:$B$10,2,0)</f>
        <v>141185-74670</v>
      </c>
      <c r="E6" s="8" t="s">
        <v>52</v>
      </c>
      <c r="F6" s="12">
        <v>46001</v>
      </c>
      <c r="G6" s="13">
        <v>0.27083333333333331</v>
      </c>
      <c r="H6" s="2" t="s">
        <v>41</v>
      </c>
      <c r="I6" s="2" t="s">
        <v>42</v>
      </c>
      <c r="J6" s="2">
        <v>40</v>
      </c>
      <c r="K6" s="14">
        <f>VLOOKUP($C6,Sheet1!$A$2:$D$10,4,0)</f>
        <v>40</v>
      </c>
      <c r="L6" s="14" t="str">
        <f>VLOOKUP($C6,Sheet1!$A$2:$E$10,5,0)</f>
        <v>Trolley</v>
      </c>
      <c r="M6" s="14"/>
      <c r="N6" s="2">
        <f>J6/K6</f>
        <v>1</v>
      </c>
      <c r="O6" s="2" t="s">
        <v>157</v>
      </c>
      <c r="P6" s="2">
        <v>910103038</v>
      </c>
    </row>
    <row r="7" spans="1:16" x14ac:dyDescent="0.25">
      <c r="A7" s="15" t="s">
        <v>569</v>
      </c>
      <c r="B7" s="18" t="s">
        <v>544</v>
      </c>
      <c r="C7" s="2" t="s">
        <v>16</v>
      </c>
      <c r="D7" s="2" t="str">
        <f>VLOOKUP($C7,Sheet1!$A$2:$B$10,2,0)</f>
        <v>141140-91211</v>
      </c>
      <c r="E7" s="8" t="s">
        <v>57</v>
      </c>
      <c r="F7" s="12">
        <v>46001</v>
      </c>
      <c r="G7" s="13">
        <v>0.27083333333333331</v>
      </c>
      <c r="H7" s="2" t="s">
        <v>58</v>
      </c>
      <c r="I7" s="2" t="s">
        <v>42</v>
      </c>
      <c r="J7" s="2">
        <v>20</v>
      </c>
      <c r="K7" s="14">
        <f>VLOOKUP($C7,Sheet1!$A$2:$D$10,4,0)</f>
        <v>2</v>
      </c>
      <c r="L7" s="14" t="str">
        <f>VLOOKUP($C7,Sheet1!$A$2:$E$10,5,0)</f>
        <v>Bin</v>
      </c>
      <c r="M7" s="14">
        <f>J7/K7</f>
        <v>10</v>
      </c>
      <c r="N7" s="2"/>
      <c r="O7" s="2" t="s">
        <v>157</v>
      </c>
      <c r="P7" s="2" t="s">
        <v>873</v>
      </c>
    </row>
    <row r="8" spans="1:16" x14ac:dyDescent="0.25">
      <c r="A8" s="15" t="s">
        <v>569</v>
      </c>
      <c r="B8" s="18" t="s">
        <v>548</v>
      </c>
      <c r="C8" s="2" t="s">
        <v>20</v>
      </c>
      <c r="D8" s="2" t="str">
        <f>VLOOKUP($C8,Sheet1!$A$2:$B$10,2,0)</f>
        <v>141150-91211</v>
      </c>
      <c r="E8" s="8" t="s">
        <v>64</v>
      </c>
      <c r="F8" s="12">
        <v>46001</v>
      </c>
      <c r="G8" s="13">
        <v>0.27083333333333331</v>
      </c>
      <c r="H8" s="2" t="s">
        <v>58</v>
      </c>
      <c r="I8" s="2" t="s">
        <v>42</v>
      </c>
      <c r="J8" s="2">
        <v>20</v>
      </c>
      <c r="K8" s="14">
        <f>VLOOKUP($C8,Sheet1!$A$2:$D$10,4,0)</f>
        <v>2</v>
      </c>
      <c r="L8" s="14" t="str">
        <f>VLOOKUP($C8,Sheet1!$A$2:$E$10,5,0)</f>
        <v>Bin</v>
      </c>
      <c r="M8" s="14">
        <f>J8/K8</f>
        <v>10</v>
      </c>
      <c r="N8" s="2"/>
      <c r="O8" s="2" t="s">
        <v>157</v>
      </c>
      <c r="P8" s="2" t="s">
        <v>873</v>
      </c>
    </row>
    <row r="9" spans="1:16" x14ac:dyDescent="0.25">
      <c r="A9" s="15" t="s">
        <v>569</v>
      </c>
      <c r="B9" s="18" t="s">
        <v>552</v>
      </c>
      <c r="C9" s="2" t="s">
        <v>23</v>
      </c>
      <c r="D9" s="2" t="str">
        <f>VLOOKUP($C9,Sheet1!$A$2:$B$10,2,0)</f>
        <v>141186-74360</v>
      </c>
      <c r="E9" s="8" t="s">
        <v>70</v>
      </c>
      <c r="F9" s="12">
        <v>46001</v>
      </c>
      <c r="G9" s="13">
        <v>0.27083333333333331</v>
      </c>
      <c r="H9" s="2" t="s">
        <v>58</v>
      </c>
      <c r="I9" s="2" t="s">
        <v>42</v>
      </c>
      <c r="J9" s="2">
        <v>40</v>
      </c>
      <c r="K9" s="14">
        <f>VLOOKUP($C9,Sheet1!$A$2:$D$10,4,0)</f>
        <v>40</v>
      </c>
      <c r="L9" s="14" t="str">
        <f>VLOOKUP($C9,Sheet1!$A$2:$E$10,5,0)</f>
        <v>Trolley</v>
      </c>
      <c r="M9" s="14"/>
      <c r="N9" s="2">
        <f>J9/K9</f>
        <v>1</v>
      </c>
      <c r="O9" s="2" t="s">
        <v>157</v>
      </c>
      <c r="P9" s="2">
        <v>910100866</v>
      </c>
    </row>
    <row r="10" spans="1:16" x14ac:dyDescent="0.25">
      <c r="A10" s="15" t="s">
        <v>570</v>
      </c>
      <c r="B10" s="18" t="s">
        <v>556</v>
      </c>
      <c r="C10" s="2" t="s">
        <v>26</v>
      </c>
      <c r="D10" s="2" t="str">
        <f>VLOOKUP($C10,Sheet1!$A$2:$B$10,2,0)</f>
        <v>116040-92240</v>
      </c>
      <c r="E10" s="8" t="s">
        <v>75</v>
      </c>
      <c r="F10" s="12">
        <v>46001</v>
      </c>
      <c r="G10" s="13">
        <v>0.27083333333333331</v>
      </c>
      <c r="H10" s="2" t="s">
        <v>76</v>
      </c>
      <c r="I10" s="2" t="s">
        <v>42</v>
      </c>
      <c r="J10" s="2">
        <v>24</v>
      </c>
      <c r="K10" s="14">
        <f>VLOOKUP($C10,Sheet1!$A$2:$D$10,4,0)</f>
        <v>6</v>
      </c>
      <c r="L10" s="14" t="str">
        <f>VLOOKUP($C10,Sheet1!$A$2:$E$10,5,0)</f>
        <v>Bin</v>
      </c>
      <c r="M10" s="14">
        <f>J10/K10</f>
        <v>4</v>
      </c>
      <c r="N10" s="2"/>
      <c r="O10" s="2" t="s">
        <v>157</v>
      </c>
      <c r="P10" s="2" t="s">
        <v>722</v>
      </c>
    </row>
    <row r="11" spans="1:16" x14ac:dyDescent="0.25">
      <c r="A11" s="15" t="s">
        <v>570</v>
      </c>
      <c r="B11" s="18" t="s">
        <v>560</v>
      </c>
      <c r="C11" s="2" t="s">
        <v>32</v>
      </c>
      <c r="D11" s="2" t="str">
        <f>VLOOKUP($C11,Sheet1!$A$2:$B$10,2,0)</f>
        <v>114010-50820</v>
      </c>
      <c r="E11" s="8" t="s">
        <v>82</v>
      </c>
      <c r="F11" s="12">
        <v>46001</v>
      </c>
      <c r="G11" s="13">
        <v>0.27083333333333331</v>
      </c>
      <c r="H11" s="2" t="s">
        <v>76</v>
      </c>
      <c r="I11" s="2" t="s">
        <v>42</v>
      </c>
      <c r="J11" s="2">
        <v>4</v>
      </c>
      <c r="K11" s="14">
        <f>VLOOKUP($C11,Sheet1!$A$2:$D$10,4,0)</f>
        <v>1</v>
      </c>
      <c r="L11" s="14" t="str">
        <f>VLOOKUP($C11,Sheet1!$A$2:$E$10,5,0)</f>
        <v>Bin</v>
      </c>
      <c r="M11" s="14">
        <f>J11/K11</f>
        <v>4</v>
      </c>
      <c r="N11" s="2"/>
      <c r="O11" s="2" t="s">
        <v>157</v>
      </c>
      <c r="P11" s="2" t="s">
        <v>398</v>
      </c>
    </row>
    <row r="12" spans="1:16" ht="15.75" thickBot="1" x14ac:dyDescent="0.3">
      <c r="A12" s="15" t="s">
        <v>570</v>
      </c>
      <c r="B12" s="18" t="s">
        <v>564</v>
      </c>
      <c r="C12" s="2" t="s">
        <v>29</v>
      </c>
      <c r="D12" s="2" t="str">
        <f>VLOOKUP($C12,Sheet1!$A$2:$B$10,2,0)</f>
        <v>114010-50830</v>
      </c>
      <c r="E12" s="8" t="s">
        <v>82</v>
      </c>
      <c r="F12" s="12">
        <v>46001</v>
      </c>
      <c r="G12" s="17">
        <v>0.27083333333333331</v>
      </c>
      <c r="H12" s="2" t="s">
        <v>76</v>
      </c>
      <c r="I12" s="2" t="s">
        <v>42</v>
      </c>
      <c r="J12" s="2">
        <v>16</v>
      </c>
      <c r="K12" s="14">
        <f>VLOOKUP($C12,Sheet1!$A$2:$D$10,4,0)</f>
        <v>1</v>
      </c>
      <c r="L12" s="14" t="str">
        <f>VLOOKUP($C12,Sheet1!$A$2:$E$10,5,0)</f>
        <v>Bin</v>
      </c>
      <c r="M12" s="14">
        <f>J12/K12</f>
        <v>16</v>
      </c>
      <c r="N12" s="2"/>
      <c r="O12" s="2" t="s">
        <v>157</v>
      </c>
      <c r="P12" s="2" t="s">
        <v>169</v>
      </c>
    </row>
    <row r="13" spans="1:16" s="11" customFormat="1" ht="15.75" thickTop="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>
        <v>44</v>
      </c>
      <c r="N13" s="10">
        <v>4</v>
      </c>
      <c r="O13" s="10"/>
      <c r="P13" s="10"/>
    </row>
    <row r="14" spans="1:16" x14ac:dyDescent="0.25">
      <c r="A14" s="15" t="s">
        <v>596</v>
      </c>
      <c r="B14" s="18" t="s">
        <v>577</v>
      </c>
      <c r="C14" s="2" t="s">
        <v>5</v>
      </c>
      <c r="D14" s="2" t="str">
        <f>VLOOKUP($C14,Sheet1!$A$2:$B$10,2,0)</f>
        <v>141110-14600</v>
      </c>
      <c r="E14" s="8" t="s">
        <v>40</v>
      </c>
      <c r="F14" s="12">
        <v>46001</v>
      </c>
      <c r="G14" s="13">
        <v>0.27083333333333331</v>
      </c>
      <c r="H14" s="2" t="s">
        <v>41</v>
      </c>
      <c r="I14" s="2" t="s">
        <v>42</v>
      </c>
      <c r="J14" s="2">
        <v>36</v>
      </c>
      <c r="K14" s="14">
        <f>VLOOKUP($C14,Sheet1!$A$2:$D$10,4,0)</f>
        <v>18</v>
      </c>
      <c r="L14" s="14" t="str">
        <f>VLOOKUP($C14,Sheet1!$A$2:$E$10,5,0)</f>
        <v>Trolley (H)</v>
      </c>
      <c r="M14" s="14"/>
      <c r="N14" s="51">
        <v>2</v>
      </c>
      <c r="O14" s="2" t="s">
        <v>113</v>
      </c>
      <c r="P14" s="2" t="s">
        <v>874</v>
      </c>
    </row>
    <row r="15" spans="1:16" x14ac:dyDescent="0.25">
      <c r="A15" s="15" t="s">
        <v>596</v>
      </c>
      <c r="B15" s="18" t="s">
        <v>579</v>
      </c>
      <c r="C15" s="2" t="s">
        <v>9</v>
      </c>
      <c r="D15" s="2" t="str">
        <f>VLOOKUP($C15,Sheet1!$A$2:$B$10,2,0)</f>
        <v>141120-14600</v>
      </c>
      <c r="E15" s="8" t="s">
        <v>47</v>
      </c>
      <c r="F15" s="12">
        <v>46001</v>
      </c>
      <c r="G15" s="13">
        <v>0.27083333333333331</v>
      </c>
      <c r="H15" s="2" t="s">
        <v>41</v>
      </c>
      <c r="I15" s="2" t="s">
        <v>42</v>
      </c>
      <c r="J15" s="2">
        <v>36</v>
      </c>
      <c r="K15" s="14">
        <f>VLOOKUP($C15,Sheet1!$A$2:$D$10,4,0)</f>
        <v>18</v>
      </c>
      <c r="L15" s="14" t="str">
        <f>VLOOKUP($C15,Sheet1!$A$2:$E$10,5,0)</f>
        <v>Trolley (H)</v>
      </c>
      <c r="M15" s="14"/>
      <c r="N15" s="52"/>
      <c r="O15" s="2" t="s">
        <v>113</v>
      </c>
      <c r="P15" s="2" t="s">
        <v>871</v>
      </c>
    </row>
    <row r="16" spans="1:16" x14ac:dyDescent="0.25">
      <c r="A16" s="15" t="s">
        <v>596</v>
      </c>
      <c r="B16" s="18" t="s">
        <v>581</v>
      </c>
      <c r="C16" s="2" t="s">
        <v>12</v>
      </c>
      <c r="D16" s="2" t="str">
        <f>VLOOKUP($C16,Sheet1!$A$2:$B$10,2,0)</f>
        <v>141185-74670</v>
      </c>
      <c r="E16" s="8" t="s">
        <v>52</v>
      </c>
      <c r="F16" s="12">
        <v>46001</v>
      </c>
      <c r="G16" s="13">
        <v>0.27083333333333331</v>
      </c>
      <c r="H16" s="2" t="s">
        <v>41</v>
      </c>
      <c r="I16" s="2" t="s">
        <v>42</v>
      </c>
      <c r="J16" s="2">
        <v>40</v>
      </c>
      <c r="K16" s="14">
        <f>VLOOKUP($C16,Sheet1!$A$2:$D$10,4,0)</f>
        <v>40</v>
      </c>
      <c r="L16" s="14" t="str">
        <f>VLOOKUP($C16,Sheet1!$A$2:$E$10,5,0)</f>
        <v>Trolley</v>
      </c>
      <c r="M16" s="14"/>
      <c r="N16" s="2">
        <f>J16/K16</f>
        <v>1</v>
      </c>
      <c r="O16" s="2" t="s">
        <v>113</v>
      </c>
      <c r="P16" s="2">
        <v>910103038</v>
      </c>
    </row>
    <row r="17" spans="1:16" x14ac:dyDescent="0.25">
      <c r="A17" s="15" t="s">
        <v>596</v>
      </c>
      <c r="B17" s="18" t="s">
        <v>582</v>
      </c>
      <c r="C17" s="2" t="s">
        <v>16</v>
      </c>
      <c r="D17" s="2" t="str">
        <f>VLOOKUP($C17,Sheet1!$A$2:$B$10,2,0)</f>
        <v>141140-91211</v>
      </c>
      <c r="E17" s="8" t="s">
        <v>57</v>
      </c>
      <c r="F17" s="12">
        <v>46001</v>
      </c>
      <c r="G17" s="13">
        <v>0.27083333333333331</v>
      </c>
      <c r="H17" s="2" t="s">
        <v>58</v>
      </c>
      <c r="I17" s="2" t="s">
        <v>42</v>
      </c>
      <c r="J17" s="2">
        <v>24</v>
      </c>
      <c r="K17" s="14">
        <f>VLOOKUP($C17,Sheet1!$A$2:$D$10,4,0)</f>
        <v>2</v>
      </c>
      <c r="L17" s="14" t="str">
        <f>VLOOKUP($C17,Sheet1!$A$2:$E$10,5,0)</f>
        <v>Bin</v>
      </c>
      <c r="M17" s="14">
        <f>J17/K17</f>
        <v>12</v>
      </c>
      <c r="N17" s="2"/>
      <c r="O17" s="2" t="s">
        <v>113</v>
      </c>
      <c r="P17" s="2" t="s">
        <v>873</v>
      </c>
    </row>
    <row r="18" spans="1:16" x14ac:dyDescent="0.25">
      <c r="A18" s="15" t="s">
        <v>596</v>
      </c>
      <c r="B18" s="18" t="s">
        <v>584</v>
      </c>
      <c r="C18" s="2" t="s">
        <v>20</v>
      </c>
      <c r="D18" s="2" t="str">
        <f>VLOOKUP($C18,Sheet1!$A$2:$B$10,2,0)</f>
        <v>141150-91211</v>
      </c>
      <c r="E18" s="8" t="s">
        <v>64</v>
      </c>
      <c r="F18" s="12">
        <v>46001</v>
      </c>
      <c r="G18" s="13">
        <v>0.27083333333333331</v>
      </c>
      <c r="H18" s="2" t="s">
        <v>58</v>
      </c>
      <c r="I18" s="2" t="s">
        <v>42</v>
      </c>
      <c r="J18" s="2">
        <v>24</v>
      </c>
      <c r="K18" s="14">
        <f>VLOOKUP($C18,Sheet1!$A$2:$D$10,4,0)</f>
        <v>2</v>
      </c>
      <c r="L18" s="14" t="str">
        <f>VLOOKUP($C18,Sheet1!$A$2:$E$10,5,0)</f>
        <v>Bin</v>
      </c>
      <c r="M18" s="14">
        <f>J18/K18</f>
        <v>12</v>
      </c>
      <c r="N18" s="2"/>
      <c r="O18" s="2" t="s">
        <v>113</v>
      </c>
      <c r="P18" s="2" t="s">
        <v>873</v>
      </c>
    </row>
    <row r="19" spans="1:16" x14ac:dyDescent="0.25">
      <c r="A19" s="15" t="s">
        <v>596</v>
      </c>
      <c r="B19" s="18" t="s">
        <v>585</v>
      </c>
      <c r="C19" s="2" t="s">
        <v>20</v>
      </c>
      <c r="D19" s="2" t="str">
        <f>VLOOKUP($C19,Sheet1!$A$2:$B$10,2,0)</f>
        <v>141150-91211</v>
      </c>
      <c r="E19" s="8" t="s">
        <v>64</v>
      </c>
      <c r="F19" s="12">
        <v>46001</v>
      </c>
      <c r="G19" s="13">
        <v>0.27083333333333331</v>
      </c>
      <c r="H19" s="2" t="s">
        <v>58</v>
      </c>
      <c r="I19" s="2" t="s">
        <v>42</v>
      </c>
      <c r="J19" s="2">
        <v>14</v>
      </c>
      <c r="K19" s="14">
        <f>VLOOKUP($C19,Sheet1!$A$2:$D$10,4,0)</f>
        <v>2</v>
      </c>
      <c r="L19" s="14" t="str">
        <f>VLOOKUP($C19,Sheet1!$A$2:$E$10,5,0)</f>
        <v>Bin</v>
      </c>
      <c r="M19" s="14">
        <f>J19/K19</f>
        <v>7</v>
      </c>
      <c r="N19" s="2"/>
      <c r="O19" s="2" t="s">
        <v>113</v>
      </c>
      <c r="P19" s="2" t="s">
        <v>873</v>
      </c>
    </row>
    <row r="20" spans="1:16" x14ac:dyDescent="0.25">
      <c r="A20" s="15" t="s">
        <v>596</v>
      </c>
      <c r="B20" s="18" t="s">
        <v>586</v>
      </c>
      <c r="C20" s="2" t="s">
        <v>23</v>
      </c>
      <c r="D20" s="2" t="str">
        <f>VLOOKUP($C20,Sheet1!$A$2:$B$10,2,0)</f>
        <v>141186-74360</v>
      </c>
      <c r="E20" s="8" t="s">
        <v>70</v>
      </c>
      <c r="F20" s="12">
        <v>46001</v>
      </c>
      <c r="G20" s="13">
        <v>0.27083333333333331</v>
      </c>
      <c r="H20" s="2" t="s">
        <v>58</v>
      </c>
      <c r="I20" s="2" t="s">
        <v>42</v>
      </c>
      <c r="J20" s="2">
        <v>80</v>
      </c>
      <c r="K20" s="14">
        <f>VLOOKUP($C20,Sheet1!$A$2:$D$10,4,0)</f>
        <v>40</v>
      </c>
      <c r="L20" s="14" t="str">
        <f>VLOOKUP($C20,Sheet1!$A$2:$E$10,5,0)</f>
        <v>Trolley</v>
      </c>
      <c r="M20" s="14"/>
      <c r="N20" s="2">
        <f>J20/K20</f>
        <v>2</v>
      </c>
      <c r="O20" s="2" t="s">
        <v>113</v>
      </c>
      <c r="P20" s="2">
        <v>910100866</v>
      </c>
    </row>
    <row r="21" spans="1:16" x14ac:dyDescent="0.25">
      <c r="A21" s="15" t="s">
        <v>593</v>
      </c>
      <c r="B21" s="18" t="s">
        <v>587</v>
      </c>
      <c r="C21" s="2" t="s">
        <v>26</v>
      </c>
      <c r="D21" s="2" t="str">
        <f>VLOOKUP($C21,Sheet1!$A$2:$B$10,2,0)</f>
        <v>116040-92240</v>
      </c>
      <c r="E21" s="8" t="s">
        <v>75</v>
      </c>
      <c r="F21" s="12">
        <v>46001</v>
      </c>
      <c r="G21" s="13">
        <v>0.27083333333333331</v>
      </c>
      <c r="H21" s="2" t="s">
        <v>76</v>
      </c>
      <c r="I21" s="2" t="s">
        <v>42</v>
      </c>
      <c r="J21" s="2">
        <v>24</v>
      </c>
      <c r="K21" s="14">
        <f>VLOOKUP($C21,Sheet1!$A$2:$D$10,4,0)</f>
        <v>6</v>
      </c>
      <c r="L21" s="14" t="str">
        <f>VLOOKUP($C21,Sheet1!$A$2:$E$10,5,0)</f>
        <v>Bin</v>
      </c>
      <c r="M21" s="14">
        <f>J21/K21</f>
        <v>4</v>
      </c>
      <c r="N21" s="2"/>
      <c r="O21" s="2" t="s">
        <v>113</v>
      </c>
      <c r="P21" s="2" t="s">
        <v>722</v>
      </c>
    </row>
    <row r="22" spans="1:16" x14ac:dyDescent="0.25">
      <c r="A22" s="15" t="s">
        <v>593</v>
      </c>
      <c r="B22" s="18" t="s">
        <v>589</v>
      </c>
      <c r="C22" s="2" t="s">
        <v>32</v>
      </c>
      <c r="D22" s="2" t="str">
        <f>VLOOKUP($C22,Sheet1!$A$2:$B$10,2,0)</f>
        <v>114010-50820</v>
      </c>
      <c r="E22" s="8" t="s">
        <v>82</v>
      </c>
      <c r="F22" s="12">
        <v>46001</v>
      </c>
      <c r="G22" s="13">
        <v>0.27083333333333331</v>
      </c>
      <c r="H22" s="2" t="s">
        <v>76</v>
      </c>
      <c r="I22" s="2" t="s">
        <v>42</v>
      </c>
      <c r="J22" s="2">
        <v>20</v>
      </c>
      <c r="K22" s="14">
        <f>VLOOKUP($C22,Sheet1!$A$2:$D$10,4,0)</f>
        <v>1</v>
      </c>
      <c r="L22" s="14" t="str">
        <f>VLOOKUP($C22,Sheet1!$A$2:$E$10,5,0)</f>
        <v>Bin</v>
      </c>
      <c r="M22" s="14">
        <f>J22/K22</f>
        <v>20</v>
      </c>
      <c r="N22" s="2"/>
      <c r="O22" s="2" t="s">
        <v>113</v>
      </c>
      <c r="P22" s="2" t="s">
        <v>398</v>
      </c>
    </row>
    <row r="23" spans="1:16" x14ac:dyDescent="0.25">
      <c r="A23" s="15" t="s">
        <v>593</v>
      </c>
      <c r="B23" s="18" t="s">
        <v>591</v>
      </c>
      <c r="C23" s="2" t="s">
        <v>29</v>
      </c>
      <c r="D23" s="2" t="str">
        <f>VLOOKUP($C23,Sheet1!$A$2:$B$10,2,0)</f>
        <v>114010-50830</v>
      </c>
      <c r="E23" s="8" t="s">
        <v>82</v>
      </c>
      <c r="F23" s="12">
        <v>46001</v>
      </c>
      <c r="G23" s="13">
        <v>0.27083333333333331</v>
      </c>
      <c r="H23" s="2" t="s">
        <v>76</v>
      </c>
      <c r="I23" s="2" t="s">
        <v>42</v>
      </c>
      <c r="J23" s="2">
        <v>4</v>
      </c>
      <c r="K23" s="14">
        <f>VLOOKUP($C23,Sheet1!$A$2:$D$10,4,0)</f>
        <v>1</v>
      </c>
      <c r="L23" s="14" t="str">
        <f>VLOOKUP($C23,Sheet1!$A$2:$E$10,5,0)</f>
        <v>Bin</v>
      </c>
      <c r="M23" s="14">
        <f>J23/K23</f>
        <v>4</v>
      </c>
      <c r="N23" s="2"/>
      <c r="O23" s="2" t="s">
        <v>113</v>
      </c>
      <c r="P23" s="2" t="s">
        <v>169</v>
      </c>
    </row>
    <row r="24" spans="1:16" x14ac:dyDescent="0.25">
      <c r="A24" s="15" t="s">
        <v>594</v>
      </c>
      <c r="B24" s="18" t="s">
        <v>578</v>
      </c>
      <c r="C24" s="2" t="s">
        <v>5</v>
      </c>
      <c r="D24" s="2" t="str">
        <f>VLOOKUP($C24,Sheet1!$A$2:$B$10,2,0)</f>
        <v>141110-14600</v>
      </c>
      <c r="E24" s="8" t="s">
        <v>40</v>
      </c>
      <c r="F24" s="12">
        <v>46001</v>
      </c>
      <c r="G24" s="29">
        <v>0.3125</v>
      </c>
      <c r="H24" s="2" t="s">
        <v>41</v>
      </c>
      <c r="I24" s="2" t="s">
        <v>42</v>
      </c>
      <c r="J24" s="2">
        <v>18</v>
      </c>
      <c r="K24" s="14">
        <f>VLOOKUP($C24,Sheet1!$A$2:$D$10,4,0)</f>
        <v>18</v>
      </c>
      <c r="L24" s="14" t="str">
        <f>VLOOKUP($C24,Sheet1!$A$2:$E$10,5,0)</f>
        <v>Trolley (H)</v>
      </c>
      <c r="M24" s="14"/>
      <c r="N24" s="51">
        <v>1</v>
      </c>
      <c r="O24" s="2" t="s">
        <v>113</v>
      </c>
      <c r="P24" s="2" t="s">
        <v>871</v>
      </c>
    </row>
    <row r="25" spans="1:16" x14ac:dyDescent="0.25">
      <c r="A25" s="15" t="s">
        <v>594</v>
      </c>
      <c r="B25" s="18" t="s">
        <v>580</v>
      </c>
      <c r="C25" s="2" t="s">
        <v>9</v>
      </c>
      <c r="D25" s="2" t="str">
        <f>VLOOKUP($C25,Sheet1!$A$2:$B$10,2,0)</f>
        <v>141120-14600</v>
      </c>
      <c r="E25" s="8" t="s">
        <v>47</v>
      </c>
      <c r="F25" s="12">
        <v>46001</v>
      </c>
      <c r="G25" s="21">
        <v>0.3125</v>
      </c>
      <c r="H25" s="2" t="s">
        <v>41</v>
      </c>
      <c r="I25" s="2" t="s">
        <v>42</v>
      </c>
      <c r="J25" s="2">
        <v>18</v>
      </c>
      <c r="K25" s="14">
        <f>VLOOKUP($C25,Sheet1!$A$2:$D$10,4,0)</f>
        <v>18</v>
      </c>
      <c r="L25" s="14" t="str">
        <f>VLOOKUP($C25,Sheet1!$A$2:$E$10,5,0)</f>
        <v>Trolley (H)</v>
      </c>
      <c r="M25" s="14"/>
      <c r="N25" s="52"/>
      <c r="O25" s="2" t="s">
        <v>113</v>
      </c>
      <c r="P25" s="2" t="s">
        <v>871</v>
      </c>
    </row>
    <row r="26" spans="1:16" x14ac:dyDescent="0.25">
      <c r="A26" s="15" t="s">
        <v>594</v>
      </c>
      <c r="B26" s="18" t="s">
        <v>583</v>
      </c>
      <c r="C26" s="2" t="s">
        <v>16</v>
      </c>
      <c r="D26" s="2" t="str">
        <f>VLOOKUP($C26,Sheet1!$A$2:$B$10,2,0)</f>
        <v>141140-91211</v>
      </c>
      <c r="E26" s="8" t="s">
        <v>57</v>
      </c>
      <c r="F26" s="12">
        <v>46001</v>
      </c>
      <c r="G26" s="21">
        <v>0.3125</v>
      </c>
      <c r="H26" s="2" t="s">
        <v>58</v>
      </c>
      <c r="I26" s="2" t="s">
        <v>42</v>
      </c>
      <c r="J26" s="2">
        <v>16</v>
      </c>
      <c r="K26" s="14">
        <f>VLOOKUP($C26,Sheet1!$A$2:$D$10,4,0)</f>
        <v>2</v>
      </c>
      <c r="L26" s="14" t="str">
        <f>VLOOKUP($C26,Sheet1!$A$2:$E$10,5,0)</f>
        <v>Bin</v>
      </c>
      <c r="M26" s="14">
        <f>J26/K26</f>
        <v>8</v>
      </c>
      <c r="N26" s="2"/>
      <c r="O26" s="2" t="s">
        <v>113</v>
      </c>
      <c r="P26" s="2" t="s">
        <v>873</v>
      </c>
    </row>
    <row r="27" spans="1:16" x14ac:dyDescent="0.25">
      <c r="A27" s="15" t="s">
        <v>595</v>
      </c>
      <c r="B27" s="18" t="s">
        <v>588</v>
      </c>
      <c r="C27" s="2" t="s">
        <v>26</v>
      </c>
      <c r="D27" s="2" t="str">
        <f>VLOOKUP($C27,Sheet1!$A$2:$B$10,2,0)</f>
        <v>116040-92240</v>
      </c>
      <c r="E27" s="8" t="s">
        <v>75</v>
      </c>
      <c r="F27" s="12">
        <v>46001</v>
      </c>
      <c r="G27" s="21">
        <v>0.3125</v>
      </c>
      <c r="H27" s="2" t="s">
        <v>76</v>
      </c>
      <c r="I27" s="2" t="s">
        <v>42</v>
      </c>
      <c r="J27" s="2">
        <v>18</v>
      </c>
      <c r="K27" s="14">
        <f>VLOOKUP($C27,Sheet1!$A$2:$D$10,4,0)</f>
        <v>6</v>
      </c>
      <c r="L27" s="14" t="str">
        <f>VLOOKUP($C27,Sheet1!$A$2:$E$10,5,0)</f>
        <v>Bin</v>
      </c>
      <c r="M27" s="14">
        <f>J27/K27</f>
        <v>3</v>
      </c>
      <c r="N27" s="2"/>
      <c r="O27" s="2" t="s">
        <v>113</v>
      </c>
      <c r="P27" s="2" t="s">
        <v>722</v>
      </c>
    </row>
    <row r="28" spans="1:16" x14ac:dyDescent="0.25">
      <c r="A28" s="15" t="s">
        <v>595</v>
      </c>
      <c r="B28" s="18" t="s">
        <v>590</v>
      </c>
      <c r="C28" s="2" t="s">
        <v>32</v>
      </c>
      <c r="D28" s="2" t="str">
        <f>VLOOKUP($C28,Sheet1!$A$2:$B$10,2,0)</f>
        <v>114010-50820</v>
      </c>
      <c r="E28" s="8" t="s">
        <v>82</v>
      </c>
      <c r="F28" s="12">
        <v>46001</v>
      </c>
      <c r="G28" s="21">
        <v>0.3125</v>
      </c>
      <c r="H28" s="2" t="s">
        <v>76</v>
      </c>
      <c r="I28" s="2" t="s">
        <v>42</v>
      </c>
      <c r="J28" s="2">
        <v>14</v>
      </c>
      <c r="K28" s="14">
        <f>VLOOKUP($C28,Sheet1!$A$2:$D$10,4,0)</f>
        <v>1</v>
      </c>
      <c r="L28" s="14" t="str">
        <f>VLOOKUP($C28,Sheet1!$A$2:$E$10,5,0)</f>
        <v>Bin</v>
      </c>
      <c r="M28" s="14">
        <f>J28/K28</f>
        <v>14</v>
      </c>
      <c r="N28" s="2"/>
      <c r="O28" s="2" t="s">
        <v>113</v>
      </c>
      <c r="P28" s="2" t="s">
        <v>398</v>
      </c>
    </row>
    <row r="29" spans="1:16" x14ac:dyDescent="0.25">
      <c r="A29" s="15" t="s">
        <v>595</v>
      </c>
      <c r="B29" s="18" t="s">
        <v>592</v>
      </c>
      <c r="C29" s="2" t="s">
        <v>29</v>
      </c>
      <c r="D29" s="2" t="str">
        <f>VLOOKUP($C29,Sheet1!$A$2:$B$10,2,0)</f>
        <v>114010-50830</v>
      </c>
      <c r="E29" s="8" t="s">
        <v>82</v>
      </c>
      <c r="F29" s="12">
        <v>46001</v>
      </c>
      <c r="G29" s="21">
        <v>0.3125</v>
      </c>
      <c r="H29" s="2" t="s">
        <v>76</v>
      </c>
      <c r="I29" s="2" t="s">
        <v>42</v>
      </c>
      <c r="J29" s="2">
        <v>1</v>
      </c>
      <c r="K29" s="14">
        <f>VLOOKUP($C29,Sheet1!$A$2:$D$10,4,0)</f>
        <v>1</v>
      </c>
      <c r="L29" s="14" t="str">
        <f>VLOOKUP($C29,Sheet1!$A$2:$E$10,5,0)</f>
        <v>Bin</v>
      </c>
      <c r="M29" s="14">
        <f>J29/K29</f>
        <v>1</v>
      </c>
      <c r="N29" s="2"/>
      <c r="O29" s="2" t="s">
        <v>113</v>
      </c>
      <c r="P29" s="2" t="s">
        <v>169</v>
      </c>
    </row>
    <row r="30" spans="1:16" s="11" customForma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>
        <v>85</v>
      </c>
      <c r="N30" s="10">
        <v>6</v>
      </c>
      <c r="O30" s="10"/>
      <c r="P30" s="10"/>
    </row>
    <row r="31" spans="1:16" x14ac:dyDescent="0.25">
      <c r="A31" s="15" t="s">
        <v>571</v>
      </c>
      <c r="B31" s="18" t="s">
        <v>535</v>
      </c>
      <c r="C31" s="2" t="s">
        <v>5</v>
      </c>
      <c r="D31" s="2" t="str">
        <f>VLOOKUP($C31,Sheet1!$A$2:$B$10,2,0)</f>
        <v>141110-14600</v>
      </c>
      <c r="E31" s="8" t="s">
        <v>40</v>
      </c>
      <c r="F31" s="12">
        <v>46001</v>
      </c>
      <c r="G31" s="13">
        <v>0.5625</v>
      </c>
      <c r="H31" s="2" t="s">
        <v>41</v>
      </c>
      <c r="I31" s="2" t="s">
        <v>42</v>
      </c>
      <c r="J31" s="2">
        <v>18</v>
      </c>
      <c r="K31" s="14">
        <f>VLOOKUP($C31,Sheet1!$A$2:$D$10,4,0)</f>
        <v>18</v>
      </c>
      <c r="L31" s="14" t="str">
        <f>VLOOKUP($C31,Sheet1!$A$2:$E$10,5,0)</f>
        <v>Trolley (H)</v>
      </c>
      <c r="M31" s="14"/>
      <c r="N31" s="51">
        <v>1</v>
      </c>
      <c r="O31" s="2" t="s">
        <v>112</v>
      </c>
      <c r="P31" s="2" t="s">
        <v>652</v>
      </c>
    </row>
    <row r="32" spans="1:16" x14ac:dyDescent="0.25">
      <c r="A32" s="15" t="s">
        <v>571</v>
      </c>
      <c r="B32" s="18" t="s">
        <v>538</v>
      </c>
      <c r="C32" s="2" t="s">
        <v>9</v>
      </c>
      <c r="D32" s="2" t="str">
        <f>VLOOKUP($C32,Sheet1!$A$2:$B$10,2,0)</f>
        <v>141120-14600</v>
      </c>
      <c r="E32" s="8" t="s">
        <v>47</v>
      </c>
      <c r="F32" s="12">
        <v>46001</v>
      </c>
      <c r="G32" s="13">
        <v>0.5625</v>
      </c>
      <c r="H32" s="2" t="s">
        <v>41</v>
      </c>
      <c r="I32" s="2" t="s">
        <v>42</v>
      </c>
      <c r="J32" s="2">
        <v>18</v>
      </c>
      <c r="K32" s="14">
        <f>VLOOKUP($C32,Sheet1!$A$2:$D$10,4,0)</f>
        <v>18</v>
      </c>
      <c r="L32" s="14" t="str">
        <f>VLOOKUP($C32,Sheet1!$A$2:$E$10,5,0)</f>
        <v>Trolley (H)</v>
      </c>
      <c r="M32" s="14"/>
      <c r="N32" s="52"/>
      <c r="O32" s="2" t="s">
        <v>112</v>
      </c>
      <c r="P32" s="2" t="s">
        <v>871</v>
      </c>
    </row>
    <row r="33" spans="1:16" x14ac:dyDescent="0.25">
      <c r="A33" s="15" t="s">
        <v>571</v>
      </c>
      <c r="B33" s="18" t="s">
        <v>541</v>
      </c>
      <c r="C33" s="2" t="s">
        <v>12</v>
      </c>
      <c r="D33" s="2" t="str">
        <f>VLOOKUP($C33,Sheet1!$A$2:$B$10,2,0)</f>
        <v>141185-74670</v>
      </c>
      <c r="E33" s="8" t="s">
        <v>52</v>
      </c>
      <c r="F33" s="12">
        <v>46001</v>
      </c>
      <c r="G33" s="13">
        <v>0.5625</v>
      </c>
      <c r="H33" s="2" t="s">
        <v>41</v>
      </c>
      <c r="I33" s="2" t="s">
        <v>42</v>
      </c>
      <c r="J33" s="2">
        <v>40</v>
      </c>
      <c r="K33" s="14">
        <f>VLOOKUP($C33,Sheet1!$A$2:$D$10,4,0)</f>
        <v>40</v>
      </c>
      <c r="L33" s="14" t="str">
        <f>VLOOKUP($C33,Sheet1!$A$2:$E$10,5,0)</f>
        <v>Trolley</v>
      </c>
      <c r="M33" s="14"/>
      <c r="N33" s="2">
        <f>J33/K33</f>
        <v>1</v>
      </c>
      <c r="O33" s="2" t="s">
        <v>112</v>
      </c>
      <c r="P33" s="2">
        <v>910103038</v>
      </c>
    </row>
    <row r="34" spans="1:16" x14ac:dyDescent="0.25">
      <c r="A34" s="15" t="s">
        <v>571</v>
      </c>
      <c r="B34" s="18" t="s">
        <v>545</v>
      </c>
      <c r="C34" s="2" t="s">
        <v>16</v>
      </c>
      <c r="D34" s="2" t="str">
        <f>VLOOKUP($C34,Sheet1!$A$2:$B$10,2,0)</f>
        <v>141140-91211</v>
      </c>
      <c r="E34" s="8" t="s">
        <v>57</v>
      </c>
      <c r="F34" s="12">
        <v>46001</v>
      </c>
      <c r="G34" s="13">
        <v>0.5625</v>
      </c>
      <c r="H34" s="2" t="s">
        <v>58</v>
      </c>
      <c r="I34" s="2" t="s">
        <v>42</v>
      </c>
      <c r="J34" s="2">
        <v>20</v>
      </c>
      <c r="K34" s="14">
        <f>VLOOKUP($C34,Sheet1!$A$2:$D$10,4,0)</f>
        <v>2</v>
      </c>
      <c r="L34" s="14" t="str">
        <f>VLOOKUP($C34,Sheet1!$A$2:$E$10,5,0)</f>
        <v>Bin</v>
      </c>
      <c r="M34" s="14">
        <f>J34/K34</f>
        <v>10</v>
      </c>
      <c r="N34" s="2"/>
      <c r="O34" s="2" t="s">
        <v>112</v>
      </c>
      <c r="P34" s="2" t="s">
        <v>873</v>
      </c>
    </row>
    <row r="35" spans="1:16" x14ac:dyDescent="0.25">
      <c r="A35" s="15" t="s">
        <v>571</v>
      </c>
      <c r="B35" s="18" t="s">
        <v>549</v>
      </c>
      <c r="C35" s="2" t="s">
        <v>20</v>
      </c>
      <c r="D35" s="2" t="str">
        <f>VLOOKUP($C35,Sheet1!$A$2:$B$10,2,0)</f>
        <v>141150-91211</v>
      </c>
      <c r="E35" s="8" t="s">
        <v>64</v>
      </c>
      <c r="F35" s="12">
        <v>46001</v>
      </c>
      <c r="G35" s="13">
        <v>0.5625</v>
      </c>
      <c r="H35" s="2" t="s">
        <v>58</v>
      </c>
      <c r="I35" s="2" t="s">
        <v>42</v>
      </c>
      <c r="J35" s="2">
        <v>20</v>
      </c>
      <c r="K35" s="14">
        <f>VLOOKUP($C35,Sheet1!$A$2:$D$10,4,0)</f>
        <v>2</v>
      </c>
      <c r="L35" s="14" t="str">
        <f>VLOOKUP($C35,Sheet1!$A$2:$E$10,5,0)</f>
        <v>Bin</v>
      </c>
      <c r="M35" s="14">
        <f>J35/K35</f>
        <v>10</v>
      </c>
      <c r="N35" s="2"/>
      <c r="O35" s="2" t="s">
        <v>112</v>
      </c>
      <c r="P35" s="2" t="s">
        <v>873</v>
      </c>
    </row>
    <row r="36" spans="1:16" x14ac:dyDescent="0.25">
      <c r="A36" s="15" t="s">
        <v>571</v>
      </c>
      <c r="B36" s="18" t="s">
        <v>553</v>
      </c>
      <c r="C36" s="2" t="s">
        <v>23</v>
      </c>
      <c r="D36" s="2" t="str">
        <f>VLOOKUP($C36,Sheet1!$A$2:$B$10,2,0)</f>
        <v>141186-74360</v>
      </c>
      <c r="E36" s="8" t="s">
        <v>70</v>
      </c>
      <c r="F36" s="12">
        <v>46001</v>
      </c>
      <c r="G36" s="13">
        <v>0.5625</v>
      </c>
      <c r="H36" s="2" t="s">
        <v>58</v>
      </c>
      <c r="I36" s="2" t="s">
        <v>42</v>
      </c>
      <c r="J36" s="2">
        <v>40</v>
      </c>
      <c r="K36" s="14">
        <f>VLOOKUP($C36,Sheet1!$A$2:$D$10,4,0)</f>
        <v>40</v>
      </c>
      <c r="L36" s="14" t="str">
        <f>VLOOKUP($C36,Sheet1!$A$2:$E$10,5,0)</f>
        <v>Trolley</v>
      </c>
      <c r="M36" s="14"/>
      <c r="N36" s="2">
        <f>J36/K36</f>
        <v>1</v>
      </c>
      <c r="O36" s="2" t="s">
        <v>112</v>
      </c>
      <c r="P36" s="2" t="s">
        <v>875</v>
      </c>
    </row>
    <row r="37" spans="1:16" x14ac:dyDescent="0.25">
      <c r="A37" s="15" t="s">
        <v>572</v>
      </c>
      <c r="B37" s="18" t="s">
        <v>557</v>
      </c>
      <c r="C37" s="2" t="s">
        <v>26</v>
      </c>
      <c r="D37" s="2" t="str">
        <f>VLOOKUP($C37,Sheet1!$A$2:$B$10,2,0)</f>
        <v>116040-92240</v>
      </c>
      <c r="E37" s="8" t="s">
        <v>75</v>
      </c>
      <c r="F37" s="12">
        <v>46001</v>
      </c>
      <c r="G37" s="13">
        <v>0.5625</v>
      </c>
      <c r="H37" s="2" t="s">
        <v>76</v>
      </c>
      <c r="I37" s="2" t="s">
        <v>42</v>
      </c>
      <c r="J37" s="2">
        <v>18</v>
      </c>
      <c r="K37" s="14">
        <f>VLOOKUP($C37,Sheet1!$A$2:$D$10,4,0)</f>
        <v>6</v>
      </c>
      <c r="L37" s="14" t="str">
        <f>VLOOKUP($C37,Sheet1!$A$2:$E$10,5,0)</f>
        <v>Bin</v>
      </c>
      <c r="M37" s="14">
        <f>J37/K37</f>
        <v>3</v>
      </c>
      <c r="N37" s="2"/>
      <c r="O37" s="2" t="s">
        <v>112</v>
      </c>
      <c r="P37" s="2" t="s">
        <v>722</v>
      </c>
    </row>
    <row r="38" spans="1:16" x14ac:dyDescent="0.25">
      <c r="A38" s="15" t="s">
        <v>572</v>
      </c>
      <c r="B38" s="18" t="s">
        <v>561</v>
      </c>
      <c r="C38" s="2" t="s">
        <v>32</v>
      </c>
      <c r="D38" s="2" t="str">
        <f>VLOOKUP($C38,Sheet1!$A$2:$B$10,2,0)</f>
        <v>114010-50820</v>
      </c>
      <c r="E38" s="8" t="s">
        <v>82</v>
      </c>
      <c r="F38" s="12">
        <v>46001</v>
      </c>
      <c r="G38" s="13">
        <v>0.5625</v>
      </c>
      <c r="H38" s="2" t="s">
        <v>76</v>
      </c>
      <c r="I38" s="2" t="s">
        <v>42</v>
      </c>
      <c r="J38" s="2">
        <v>6</v>
      </c>
      <c r="K38" s="14">
        <f>VLOOKUP($C38,Sheet1!$A$2:$D$10,4,0)</f>
        <v>1</v>
      </c>
      <c r="L38" s="14" t="str">
        <f>VLOOKUP($C38,Sheet1!$A$2:$E$10,5,0)</f>
        <v>Bin</v>
      </c>
      <c r="M38" s="14">
        <f>J38/K38</f>
        <v>6</v>
      </c>
      <c r="N38" s="2"/>
      <c r="O38" s="2" t="s">
        <v>112</v>
      </c>
      <c r="P38" s="2" t="s">
        <v>398</v>
      </c>
    </row>
    <row r="39" spans="1:16" ht="15.75" thickBot="1" x14ac:dyDescent="0.3">
      <c r="A39" s="15" t="s">
        <v>572</v>
      </c>
      <c r="B39" s="18" t="s">
        <v>565</v>
      </c>
      <c r="C39" s="2" t="s">
        <v>29</v>
      </c>
      <c r="D39" s="2" t="str">
        <f>VLOOKUP($C39,Sheet1!$A$2:$B$10,2,0)</f>
        <v>114010-50830</v>
      </c>
      <c r="E39" s="8" t="s">
        <v>82</v>
      </c>
      <c r="F39" s="12">
        <v>46001</v>
      </c>
      <c r="G39" s="17">
        <v>0.5625</v>
      </c>
      <c r="H39" s="2" t="s">
        <v>76</v>
      </c>
      <c r="I39" s="2" t="s">
        <v>42</v>
      </c>
      <c r="J39" s="2">
        <v>14</v>
      </c>
      <c r="K39" s="14">
        <f>VLOOKUP($C39,Sheet1!$A$2:$D$10,4,0)</f>
        <v>1</v>
      </c>
      <c r="L39" s="14" t="str">
        <f>VLOOKUP($C39,Sheet1!$A$2:$E$10,5,0)</f>
        <v>Bin</v>
      </c>
      <c r="M39" s="14">
        <f>J39/K39</f>
        <v>14</v>
      </c>
      <c r="N39" s="2"/>
      <c r="O39" s="2" t="s">
        <v>112</v>
      </c>
      <c r="P39" s="2" t="s">
        <v>169</v>
      </c>
    </row>
    <row r="40" spans="1:16" s="11" customFormat="1" ht="15.75" thickTop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>
        <v>43</v>
      </c>
      <c r="N40" s="10">
        <v>3</v>
      </c>
      <c r="O40" s="10"/>
      <c r="P40" s="10"/>
    </row>
    <row r="41" spans="1:16" x14ac:dyDescent="0.25">
      <c r="A41" s="15" t="s">
        <v>573</v>
      </c>
      <c r="B41" s="18" t="s">
        <v>536</v>
      </c>
      <c r="C41" s="2" t="s">
        <v>5</v>
      </c>
      <c r="D41" s="2" t="str">
        <f>VLOOKUP($C41,Sheet1!$A$2:$B$10,2,0)</f>
        <v>141110-14600</v>
      </c>
      <c r="E41" s="8" t="s">
        <v>40</v>
      </c>
      <c r="F41" s="12">
        <v>46001</v>
      </c>
      <c r="G41" s="16">
        <v>0.64583333333333337</v>
      </c>
      <c r="H41" s="2" t="s">
        <v>41</v>
      </c>
      <c r="I41" s="2" t="s">
        <v>42</v>
      </c>
      <c r="J41" s="2">
        <v>18</v>
      </c>
      <c r="K41" s="14">
        <f>VLOOKUP($C41,Sheet1!$A$2:$D$10,4,0)</f>
        <v>18</v>
      </c>
      <c r="L41" s="14" t="str">
        <f>VLOOKUP($C41,Sheet1!$A$2:$E$10,5,0)</f>
        <v>Trolley (H)</v>
      </c>
      <c r="M41" s="14"/>
      <c r="N41" s="51">
        <v>1</v>
      </c>
      <c r="O41" s="2" t="s">
        <v>111</v>
      </c>
      <c r="P41" s="2" t="s">
        <v>652</v>
      </c>
    </row>
    <row r="42" spans="1:16" x14ac:dyDescent="0.25">
      <c r="A42" s="15" t="s">
        <v>573</v>
      </c>
      <c r="B42" s="18" t="s">
        <v>539</v>
      </c>
      <c r="C42" s="2" t="s">
        <v>9</v>
      </c>
      <c r="D42" s="2" t="str">
        <f>VLOOKUP($C42,Sheet1!$A$2:$B$10,2,0)</f>
        <v>141120-14600</v>
      </c>
      <c r="E42" s="8" t="s">
        <v>47</v>
      </c>
      <c r="F42" s="12">
        <v>46001</v>
      </c>
      <c r="G42" s="16">
        <v>0.64583333333333337</v>
      </c>
      <c r="H42" s="2" t="s">
        <v>41</v>
      </c>
      <c r="I42" s="2" t="s">
        <v>42</v>
      </c>
      <c r="J42" s="2">
        <v>18</v>
      </c>
      <c r="K42" s="14">
        <f>VLOOKUP($C42,Sheet1!$A$2:$D$10,4,0)</f>
        <v>18</v>
      </c>
      <c r="L42" s="14" t="str">
        <f>VLOOKUP($C42,Sheet1!$A$2:$E$10,5,0)</f>
        <v>Trolley (H)</v>
      </c>
      <c r="M42" s="14"/>
      <c r="N42" s="52"/>
      <c r="O42" s="2" t="s">
        <v>111</v>
      </c>
      <c r="P42" s="2" t="s">
        <v>871</v>
      </c>
    </row>
    <row r="43" spans="1:16" x14ac:dyDescent="0.25">
      <c r="A43" s="15" t="s">
        <v>573</v>
      </c>
      <c r="B43" s="18" t="s">
        <v>542</v>
      </c>
      <c r="C43" s="2" t="s">
        <v>12</v>
      </c>
      <c r="D43" s="2" t="str">
        <f>VLOOKUP($C43,Sheet1!$A$2:$B$10,2,0)</f>
        <v>141185-74670</v>
      </c>
      <c r="E43" s="8" t="s">
        <v>52</v>
      </c>
      <c r="F43" s="12">
        <v>46001</v>
      </c>
      <c r="G43" s="13">
        <v>0.64583333333333337</v>
      </c>
      <c r="H43" s="2" t="s">
        <v>41</v>
      </c>
      <c r="I43" s="2" t="s">
        <v>42</v>
      </c>
      <c r="J43" s="2">
        <v>40</v>
      </c>
      <c r="K43" s="14">
        <f>VLOOKUP($C43,Sheet1!$A$2:$D$10,4,0)</f>
        <v>40</v>
      </c>
      <c r="L43" s="14" t="str">
        <f>VLOOKUP($C43,Sheet1!$A$2:$E$10,5,0)</f>
        <v>Trolley</v>
      </c>
      <c r="M43" s="14"/>
      <c r="N43" s="2">
        <f>J43/K43</f>
        <v>1</v>
      </c>
      <c r="O43" s="2" t="s">
        <v>111</v>
      </c>
      <c r="P43" s="2">
        <v>910103038</v>
      </c>
    </row>
    <row r="44" spans="1:16" x14ac:dyDescent="0.25">
      <c r="A44" s="15" t="s">
        <v>573</v>
      </c>
      <c r="B44" s="18" t="s">
        <v>546</v>
      </c>
      <c r="C44" s="2" t="s">
        <v>16</v>
      </c>
      <c r="D44" s="2" t="str">
        <f>VLOOKUP($C44,Sheet1!$A$2:$B$10,2,0)</f>
        <v>141140-91211</v>
      </c>
      <c r="E44" s="8" t="s">
        <v>57</v>
      </c>
      <c r="F44" s="12">
        <v>46001</v>
      </c>
      <c r="G44" s="13">
        <v>0.64583333333333337</v>
      </c>
      <c r="H44" s="2" t="s">
        <v>58</v>
      </c>
      <c r="I44" s="2" t="s">
        <v>42</v>
      </c>
      <c r="J44" s="2">
        <v>20</v>
      </c>
      <c r="K44" s="14">
        <f>VLOOKUP($C44,Sheet1!$A$2:$D$10,4,0)</f>
        <v>2</v>
      </c>
      <c r="L44" s="14" t="str">
        <f>VLOOKUP($C44,Sheet1!$A$2:$E$10,5,0)</f>
        <v>Bin</v>
      </c>
      <c r="M44" s="14">
        <f>J44/K44</f>
        <v>10</v>
      </c>
      <c r="N44" s="2"/>
      <c r="O44" s="2" t="s">
        <v>111</v>
      </c>
      <c r="P44" s="2" t="s">
        <v>873</v>
      </c>
    </row>
    <row r="45" spans="1:16" x14ac:dyDescent="0.25">
      <c r="A45" s="15" t="s">
        <v>573</v>
      </c>
      <c r="B45" s="18" t="s">
        <v>550</v>
      </c>
      <c r="C45" s="2" t="s">
        <v>20</v>
      </c>
      <c r="D45" s="2" t="str">
        <f>VLOOKUP($C45,Sheet1!$A$2:$B$10,2,0)</f>
        <v>141150-91211</v>
      </c>
      <c r="E45" s="8" t="s">
        <v>64</v>
      </c>
      <c r="F45" s="12">
        <v>46001</v>
      </c>
      <c r="G45" s="13">
        <v>0.64583333333333337</v>
      </c>
      <c r="H45" s="2" t="s">
        <v>58</v>
      </c>
      <c r="I45" s="2" t="s">
        <v>42</v>
      </c>
      <c r="J45" s="2">
        <v>20</v>
      </c>
      <c r="K45" s="14">
        <f>VLOOKUP($C45,Sheet1!$A$2:$D$10,4,0)</f>
        <v>2</v>
      </c>
      <c r="L45" s="14" t="str">
        <f>VLOOKUP($C45,Sheet1!$A$2:$E$10,5,0)</f>
        <v>Bin</v>
      </c>
      <c r="M45" s="14">
        <f>J45/K45</f>
        <v>10</v>
      </c>
      <c r="N45" s="2"/>
      <c r="O45" s="2" t="s">
        <v>111</v>
      </c>
      <c r="P45" s="2" t="s">
        <v>873</v>
      </c>
    </row>
    <row r="46" spans="1:16" x14ac:dyDescent="0.25">
      <c r="A46" s="15" t="s">
        <v>573</v>
      </c>
      <c r="B46" s="18" t="s">
        <v>554</v>
      </c>
      <c r="C46" s="2" t="s">
        <v>23</v>
      </c>
      <c r="D46" s="2" t="str">
        <f>VLOOKUP($C46,Sheet1!$A$2:$B$10,2,0)</f>
        <v>141186-74360</v>
      </c>
      <c r="E46" s="8" t="s">
        <v>70</v>
      </c>
      <c r="F46" s="12">
        <v>46001</v>
      </c>
      <c r="G46" s="13">
        <v>0.64583333333333337</v>
      </c>
      <c r="H46" s="2" t="s">
        <v>58</v>
      </c>
      <c r="I46" s="2" t="s">
        <v>42</v>
      </c>
      <c r="J46" s="2">
        <v>40</v>
      </c>
      <c r="K46" s="14">
        <f>VLOOKUP($C46,Sheet1!$A$2:$D$10,4,0)</f>
        <v>40</v>
      </c>
      <c r="L46" s="14" t="str">
        <f>VLOOKUP($C46,Sheet1!$A$2:$E$10,5,0)</f>
        <v>Trolley</v>
      </c>
      <c r="M46" s="14"/>
      <c r="N46" s="2">
        <f>J46/K46</f>
        <v>1</v>
      </c>
      <c r="O46" s="2" t="s">
        <v>111</v>
      </c>
      <c r="P46" s="2">
        <v>910101143</v>
      </c>
    </row>
    <row r="47" spans="1:16" x14ac:dyDescent="0.25">
      <c r="A47" s="15" t="s">
        <v>574</v>
      </c>
      <c r="B47" s="18" t="s">
        <v>558</v>
      </c>
      <c r="C47" s="2" t="s">
        <v>26</v>
      </c>
      <c r="D47" s="2" t="str">
        <f>VLOOKUP($C47,Sheet1!$A$2:$B$10,2,0)</f>
        <v>116040-92240</v>
      </c>
      <c r="E47" s="8" t="s">
        <v>75</v>
      </c>
      <c r="F47" s="12">
        <v>46001</v>
      </c>
      <c r="G47" s="13">
        <v>0.64583333333333337</v>
      </c>
      <c r="H47" s="2" t="s">
        <v>76</v>
      </c>
      <c r="I47" s="2" t="s">
        <v>42</v>
      </c>
      <c r="J47" s="2">
        <v>18</v>
      </c>
      <c r="K47" s="14">
        <f>VLOOKUP($C47,Sheet1!$A$2:$D$10,4,0)</f>
        <v>6</v>
      </c>
      <c r="L47" s="14" t="str">
        <f>VLOOKUP($C47,Sheet1!$A$2:$E$10,5,0)</f>
        <v>Bin</v>
      </c>
      <c r="M47" s="14">
        <f>J47/K47</f>
        <v>3</v>
      </c>
      <c r="N47" s="2"/>
      <c r="O47" s="2" t="s">
        <v>111</v>
      </c>
      <c r="P47" s="2" t="s">
        <v>169</v>
      </c>
    </row>
    <row r="48" spans="1:16" x14ac:dyDescent="0.25">
      <c r="A48" s="15" t="s">
        <v>574</v>
      </c>
      <c r="B48" s="18" t="s">
        <v>562</v>
      </c>
      <c r="C48" s="2" t="s">
        <v>32</v>
      </c>
      <c r="D48" s="2" t="str">
        <f>VLOOKUP($C48,Sheet1!$A$2:$B$10,2,0)</f>
        <v>114010-50820</v>
      </c>
      <c r="E48" s="8" t="s">
        <v>82</v>
      </c>
      <c r="F48" s="12">
        <v>46001</v>
      </c>
      <c r="G48" s="13">
        <v>0.64583333333333337</v>
      </c>
      <c r="H48" s="2" t="s">
        <v>76</v>
      </c>
      <c r="I48" s="2" t="s">
        <v>42</v>
      </c>
      <c r="J48" s="2">
        <v>4</v>
      </c>
      <c r="K48" s="14">
        <f>VLOOKUP($C48,Sheet1!$A$2:$D$10,4,0)</f>
        <v>1</v>
      </c>
      <c r="L48" s="14" t="str">
        <f>VLOOKUP($C48,Sheet1!$A$2:$E$10,5,0)</f>
        <v>Bin</v>
      </c>
      <c r="M48" s="14">
        <f>J48/K48</f>
        <v>4</v>
      </c>
      <c r="N48" s="2"/>
      <c r="O48" s="2" t="s">
        <v>111</v>
      </c>
      <c r="P48" s="2" t="s">
        <v>398</v>
      </c>
    </row>
    <row r="49" spans="1:17" x14ac:dyDescent="0.25">
      <c r="A49" s="15" t="s">
        <v>574</v>
      </c>
      <c r="B49" s="18" t="s">
        <v>566</v>
      </c>
      <c r="C49" s="2" t="s">
        <v>29</v>
      </c>
      <c r="D49" s="2" t="str">
        <f>VLOOKUP($C49,Sheet1!$A$2:$B$10,2,0)</f>
        <v>114010-50830</v>
      </c>
      <c r="E49" s="8" t="s">
        <v>82</v>
      </c>
      <c r="F49" s="12">
        <v>46001</v>
      </c>
      <c r="G49" s="13">
        <v>0.64583333333333337</v>
      </c>
      <c r="H49" s="2" t="s">
        <v>76</v>
      </c>
      <c r="I49" s="2" t="s">
        <v>42</v>
      </c>
      <c r="J49" s="2">
        <v>12</v>
      </c>
      <c r="K49" s="14">
        <f>VLOOKUP($C49,Sheet1!$A$2:$D$10,4,0)</f>
        <v>1</v>
      </c>
      <c r="L49" s="14" t="str">
        <f>VLOOKUP($C49,Sheet1!$A$2:$E$10,5,0)</f>
        <v>Bin</v>
      </c>
      <c r="M49" s="14">
        <f>J49/K49</f>
        <v>12</v>
      </c>
      <c r="N49" s="2"/>
      <c r="O49" s="2" t="s">
        <v>111</v>
      </c>
      <c r="P49" s="2" t="s">
        <v>169</v>
      </c>
    </row>
    <row r="50" spans="1:17" s="11" customForma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>
        <v>39</v>
      </c>
      <c r="N50" s="10">
        <v>3</v>
      </c>
      <c r="O50" s="10"/>
      <c r="P50" s="10"/>
    </row>
    <row r="51" spans="1:17" x14ac:dyDescent="0.25">
      <c r="A51" s="15" t="s">
        <v>575</v>
      </c>
      <c r="B51" s="18" t="s">
        <v>543</v>
      </c>
      <c r="C51" s="2" t="s">
        <v>12</v>
      </c>
      <c r="D51" s="2" t="str">
        <f>VLOOKUP($C51,Sheet1!$A$2:$B$10,2,0)</f>
        <v>141185-74670</v>
      </c>
      <c r="E51" s="8" t="s">
        <v>52</v>
      </c>
      <c r="F51" s="12">
        <v>46001</v>
      </c>
      <c r="G51" s="13">
        <v>0.77083333333333337</v>
      </c>
      <c r="H51" s="2" t="s">
        <v>41</v>
      </c>
      <c r="I51" s="2" t="s">
        <v>42</v>
      </c>
      <c r="J51" s="2">
        <v>40</v>
      </c>
      <c r="K51" s="14">
        <f>VLOOKUP($C51,Sheet1!$A$2:$D$10,4,0)</f>
        <v>40</v>
      </c>
      <c r="L51" s="14" t="str">
        <f>VLOOKUP($C51,Sheet1!$A$2:$E$10,5,0)</f>
        <v>Trolley</v>
      </c>
      <c r="M51" s="14"/>
      <c r="N51" s="2">
        <f>J51/K51</f>
        <v>1</v>
      </c>
      <c r="O51" s="2" t="s">
        <v>451</v>
      </c>
      <c r="P51" s="2">
        <v>910103038</v>
      </c>
      <c r="Q51" t="s">
        <v>783</v>
      </c>
    </row>
    <row r="52" spans="1:17" x14ac:dyDescent="0.25">
      <c r="A52" s="15" t="s">
        <v>575</v>
      </c>
      <c r="B52" s="18" t="s">
        <v>547</v>
      </c>
      <c r="C52" s="2" t="s">
        <v>16</v>
      </c>
      <c r="D52" s="2" t="str">
        <f>VLOOKUP($C52,Sheet1!$A$2:$B$10,2,0)</f>
        <v>141140-91211</v>
      </c>
      <c r="E52" s="8" t="s">
        <v>57</v>
      </c>
      <c r="F52" s="12">
        <v>46001</v>
      </c>
      <c r="G52" s="13">
        <v>0.77083333333333337</v>
      </c>
      <c r="H52" s="2" t="s">
        <v>58</v>
      </c>
      <c r="I52" s="2" t="s">
        <v>42</v>
      </c>
      <c r="J52" s="2">
        <v>20</v>
      </c>
      <c r="K52" s="14">
        <f>VLOOKUP($C52,Sheet1!$A$2:$D$10,4,0)</f>
        <v>2</v>
      </c>
      <c r="L52" s="14" t="str">
        <f>VLOOKUP($C52,Sheet1!$A$2:$E$10,5,0)</f>
        <v>Bin</v>
      </c>
      <c r="M52" s="14">
        <f>J52/K52</f>
        <v>10</v>
      </c>
      <c r="N52" s="2"/>
      <c r="O52" s="2" t="s">
        <v>451</v>
      </c>
      <c r="P52" s="2" t="s">
        <v>873</v>
      </c>
      <c r="Q52" t="s">
        <v>783</v>
      </c>
    </row>
    <row r="53" spans="1:17" x14ac:dyDescent="0.25">
      <c r="A53" s="15" t="s">
        <v>575</v>
      </c>
      <c r="B53" s="18" t="s">
        <v>551</v>
      </c>
      <c r="C53" s="2" t="s">
        <v>20</v>
      </c>
      <c r="D53" s="2" t="str">
        <f>VLOOKUP($C53,Sheet1!$A$2:$B$10,2,0)</f>
        <v>141150-91211</v>
      </c>
      <c r="E53" s="8" t="s">
        <v>64</v>
      </c>
      <c r="F53" s="12">
        <v>46001</v>
      </c>
      <c r="G53" s="13">
        <v>0.77083333333333337</v>
      </c>
      <c r="H53" s="2" t="s">
        <v>58</v>
      </c>
      <c r="I53" s="2" t="s">
        <v>42</v>
      </c>
      <c r="J53" s="2">
        <v>20</v>
      </c>
      <c r="K53" s="14">
        <f>VLOOKUP($C53,Sheet1!$A$2:$D$10,4,0)</f>
        <v>2</v>
      </c>
      <c r="L53" s="14" t="str">
        <f>VLOOKUP($C53,Sheet1!$A$2:$E$10,5,0)</f>
        <v>Bin</v>
      </c>
      <c r="M53" s="14">
        <f>J53/K53</f>
        <v>10</v>
      </c>
      <c r="N53" s="2"/>
      <c r="O53" s="2" t="s">
        <v>451</v>
      </c>
      <c r="P53" s="2" t="s">
        <v>873</v>
      </c>
      <c r="Q53" t="s">
        <v>783</v>
      </c>
    </row>
    <row r="54" spans="1:17" x14ac:dyDescent="0.25">
      <c r="A54" s="15" t="s">
        <v>575</v>
      </c>
      <c r="B54" s="18" t="s">
        <v>555</v>
      </c>
      <c r="C54" s="2" t="s">
        <v>23</v>
      </c>
      <c r="D54" s="2" t="str">
        <f>VLOOKUP($C54,Sheet1!$A$2:$B$10,2,0)</f>
        <v>141186-74360</v>
      </c>
      <c r="E54" s="8" t="s">
        <v>70</v>
      </c>
      <c r="F54" s="12">
        <v>46001</v>
      </c>
      <c r="G54" s="13">
        <v>0.77083333333333337</v>
      </c>
      <c r="H54" s="2" t="s">
        <v>58</v>
      </c>
      <c r="I54" s="2" t="s">
        <v>42</v>
      </c>
      <c r="J54" s="2">
        <v>40</v>
      </c>
      <c r="K54" s="14">
        <f>VLOOKUP($C54,Sheet1!$A$2:$D$10,4,0)</f>
        <v>40</v>
      </c>
      <c r="L54" s="14" t="str">
        <f>VLOOKUP($C54,Sheet1!$A$2:$E$10,5,0)</f>
        <v>Trolley</v>
      </c>
      <c r="M54" s="14"/>
      <c r="N54" s="2">
        <f>J54/K54</f>
        <v>1</v>
      </c>
      <c r="O54" s="2" t="s">
        <v>451</v>
      </c>
      <c r="P54" s="2">
        <v>910100866</v>
      </c>
      <c r="Q54" t="s">
        <v>783</v>
      </c>
    </row>
    <row r="55" spans="1:17" x14ac:dyDescent="0.25">
      <c r="A55" s="15" t="s">
        <v>576</v>
      </c>
      <c r="B55" s="18" t="s">
        <v>559</v>
      </c>
      <c r="C55" s="2" t="s">
        <v>26</v>
      </c>
      <c r="D55" s="2" t="str">
        <f>VLOOKUP($C55,Sheet1!$A$2:$B$10,2,0)</f>
        <v>116040-92240</v>
      </c>
      <c r="E55" s="8" t="s">
        <v>75</v>
      </c>
      <c r="F55" s="12">
        <v>46001</v>
      </c>
      <c r="G55" s="13">
        <v>0.77083333333333337</v>
      </c>
      <c r="H55" s="2" t="s">
        <v>76</v>
      </c>
      <c r="I55" s="2" t="s">
        <v>42</v>
      </c>
      <c r="J55" s="2">
        <v>18</v>
      </c>
      <c r="K55" s="14">
        <f>VLOOKUP($C55,Sheet1!$A$2:$D$10,4,0)</f>
        <v>6</v>
      </c>
      <c r="L55" s="14" t="str">
        <f>VLOOKUP($C55,Sheet1!$A$2:$E$10,5,0)</f>
        <v>Bin</v>
      </c>
      <c r="M55" s="14">
        <f>J55/K55</f>
        <v>3</v>
      </c>
      <c r="N55" s="2"/>
      <c r="O55" s="2" t="s">
        <v>451</v>
      </c>
      <c r="P55" s="2" t="s">
        <v>722</v>
      </c>
      <c r="Q55" t="s">
        <v>783</v>
      </c>
    </row>
    <row r="56" spans="1:17" x14ac:dyDescent="0.25">
      <c r="A56" s="15" t="s">
        <v>576</v>
      </c>
      <c r="B56" s="18" t="s">
        <v>563</v>
      </c>
      <c r="C56" s="2" t="s">
        <v>32</v>
      </c>
      <c r="D56" s="2" t="str">
        <f>VLOOKUP($C56,Sheet1!$A$2:$B$10,2,0)</f>
        <v>114010-50820</v>
      </c>
      <c r="E56" s="8" t="s">
        <v>82</v>
      </c>
      <c r="F56" s="12">
        <v>46001</v>
      </c>
      <c r="G56" s="13">
        <v>0.77083333333333337</v>
      </c>
      <c r="H56" s="2" t="s">
        <v>76</v>
      </c>
      <c r="I56" s="2" t="s">
        <v>42</v>
      </c>
      <c r="J56" s="2">
        <v>5</v>
      </c>
      <c r="K56" s="14">
        <f>VLOOKUP($C56,Sheet1!$A$2:$D$10,4,0)</f>
        <v>1</v>
      </c>
      <c r="L56" s="14" t="str">
        <f>VLOOKUP($C56,Sheet1!$A$2:$E$10,5,0)</f>
        <v>Bin</v>
      </c>
      <c r="M56" s="14">
        <f>J56/K56</f>
        <v>5</v>
      </c>
      <c r="N56" s="2"/>
      <c r="O56" s="2" t="s">
        <v>451</v>
      </c>
      <c r="P56" s="2" t="s">
        <v>398</v>
      </c>
      <c r="Q56" t="s">
        <v>783</v>
      </c>
    </row>
    <row r="57" spans="1:17" x14ac:dyDescent="0.25">
      <c r="A57" s="15" t="s">
        <v>576</v>
      </c>
      <c r="B57" s="18" t="s">
        <v>567</v>
      </c>
      <c r="C57" s="2" t="s">
        <v>29</v>
      </c>
      <c r="D57" s="2" t="str">
        <f>VLOOKUP($C57,Sheet1!$A$2:$B$10,2,0)</f>
        <v>114010-50830</v>
      </c>
      <c r="E57" s="8" t="s">
        <v>82</v>
      </c>
      <c r="F57" s="12">
        <v>46001</v>
      </c>
      <c r="G57" s="13">
        <v>0.77083333333333337</v>
      </c>
      <c r="H57" s="2" t="s">
        <v>76</v>
      </c>
      <c r="I57" s="2" t="s">
        <v>42</v>
      </c>
      <c r="J57" s="2">
        <v>19</v>
      </c>
      <c r="K57" s="14">
        <f>VLOOKUP($C57,Sheet1!$A$2:$D$10,4,0)</f>
        <v>1</v>
      </c>
      <c r="L57" s="14" t="str">
        <f>VLOOKUP($C57,Sheet1!$A$2:$E$10,5,0)</f>
        <v>Bin</v>
      </c>
      <c r="M57" s="14">
        <f>J57/K57</f>
        <v>19</v>
      </c>
      <c r="N57" s="2"/>
      <c r="O57" s="2" t="s">
        <v>451</v>
      </c>
      <c r="P57" s="2" t="s">
        <v>169</v>
      </c>
      <c r="Q57" t="s">
        <v>783</v>
      </c>
    </row>
    <row r="58" spans="1:17" s="11" customForma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>
        <v>47</v>
      </c>
      <c r="N58" s="10">
        <v>2</v>
      </c>
      <c r="O58" s="10"/>
      <c r="P58" s="10"/>
    </row>
    <row r="59" spans="1:17" x14ac:dyDescent="0.25">
      <c r="A59" s="59" t="s">
        <v>568</v>
      </c>
      <c r="B59" s="60"/>
      <c r="C59" s="60"/>
      <c r="D59" s="60"/>
      <c r="E59" s="60"/>
      <c r="F59" s="60"/>
      <c r="G59" s="60"/>
      <c r="H59" s="60"/>
      <c r="I59" s="60"/>
      <c r="J59" s="60"/>
      <c r="K59" s="61"/>
    </row>
  </sheetData>
  <mergeCells count="9">
    <mergeCell ref="A1:F1"/>
    <mergeCell ref="J1:N1"/>
    <mergeCell ref="L2:N2"/>
    <mergeCell ref="A59:K59"/>
    <mergeCell ref="N4:N5"/>
    <mergeCell ref="N14:N15"/>
    <mergeCell ref="N24:N25"/>
    <mergeCell ref="N31:N32"/>
    <mergeCell ref="N41:N42"/>
  </mergeCells>
  <conditionalFormatting sqref="B2">
    <cfRule type="duplicateValues" dxfId="85" priority="2"/>
    <cfRule type="duplicateValues" dxfId="84" priority="3"/>
  </conditionalFormatting>
  <conditionalFormatting sqref="B31:B39 B4:B12 B51:B57 B41:B49 B14:B29">
    <cfRule type="duplicateValues" dxfId="83" priority="14"/>
  </conditionalFormatting>
  <conditionalFormatting sqref="C2:D2">
    <cfRule type="duplicateValues" dxfId="82" priority="4"/>
    <cfRule type="duplicateValues" dxfId="81" priority="5"/>
  </conditionalFormatting>
  <hyperlinks>
    <hyperlink ref="A59" r:id="rId1" display="http://192.168.1.248/downloads/temp/X539_eNagare_2025129.log" xr:uid="{00000000-0004-0000-0A00-000000000000}"/>
  </hyperlinks>
  <pageMargins left="0.17" right="0.17" top="0.17" bottom="0.17" header="0.17" footer="0.17"/>
  <pageSetup paperSize="9" scale="46" orientation="landscape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74"/>
  <sheetViews>
    <sheetView topLeftCell="A36" workbookViewId="0">
      <selection activeCell="A4" sqref="A4:XFD59"/>
    </sheetView>
  </sheetViews>
  <sheetFormatPr defaultColWidth="31.85546875" defaultRowHeight="15" x14ac:dyDescent="0.25"/>
  <cols>
    <col min="1" max="1" width="15.140625" bestFit="1" customWidth="1"/>
    <col min="2" max="2" width="19.42578125" customWidth="1"/>
    <col min="3" max="3" width="14.140625" bestFit="1" customWidth="1"/>
    <col min="4" max="4" width="14.140625" customWidth="1"/>
    <col min="5" max="5" width="32.5703125" bestFit="1" customWidth="1"/>
    <col min="6" max="6" width="11.7109375" customWidth="1"/>
    <col min="7" max="7" width="8.140625" bestFit="1" customWidth="1"/>
    <col min="8" max="8" width="12.5703125" bestFit="1" customWidth="1"/>
    <col min="9" max="9" width="4.7109375" bestFit="1" customWidth="1"/>
    <col min="10" max="10" width="8" bestFit="1" customWidth="1"/>
    <col min="11" max="11" width="9" customWidth="1"/>
    <col min="12" max="12" width="11.140625" customWidth="1"/>
    <col min="13" max="13" width="7.140625" bestFit="1" customWidth="1"/>
    <col min="14" max="14" width="7.85546875" customWidth="1"/>
    <col min="15" max="15" width="10.7109375" customWidth="1"/>
    <col min="16" max="16" width="45.7109375" customWidth="1"/>
  </cols>
  <sheetData>
    <row r="1" spans="1:16" ht="23.25" x14ac:dyDescent="0.25">
      <c r="A1" s="53" t="s">
        <v>93</v>
      </c>
      <c r="B1" s="53"/>
      <c r="C1" s="53"/>
      <c r="D1" s="53"/>
      <c r="E1" s="53"/>
      <c r="F1" s="53"/>
      <c r="G1" s="2"/>
      <c r="H1" s="2"/>
      <c r="I1" s="2"/>
      <c r="J1" s="54" t="s">
        <v>94</v>
      </c>
      <c r="K1" s="55"/>
      <c r="L1" s="55"/>
      <c r="M1" s="55"/>
      <c r="N1" s="55"/>
      <c r="O1" s="3"/>
      <c r="P1" s="4"/>
    </row>
    <row r="2" spans="1:16" ht="16.5" customHeight="1" x14ac:dyDescent="0.25">
      <c r="A2" s="5" t="s">
        <v>95</v>
      </c>
      <c r="B2" s="6">
        <v>46002</v>
      </c>
      <c r="C2" s="7"/>
      <c r="D2" s="7"/>
      <c r="E2" s="2"/>
      <c r="F2" s="8"/>
      <c r="G2" s="2"/>
      <c r="H2" s="2"/>
      <c r="I2" s="2"/>
      <c r="J2" s="2"/>
      <c r="K2" s="2"/>
      <c r="L2" s="56" t="s">
        <v>96</v>
      </c>
      <c r="M2" s="57"/>
      <c r="N2" s="58"/>
      <c r="O2" s="2"/>
      <c r="P2" s="2"/>
    </row>
    <row r="3" spans="1:16" s="11" customFormat="1" ht="30" x14ac:dyDescent="0.25">
      <c r="A3" s="10" t="s">
        <v>97</v>
      </c>
      <c r="B3" s="10" t="s">
        <v>35</v>
      </c>
      <c r="C3" s="10" t="s">
        <v>0</v>
      </c>
      <c r="D3" s="10" t="s">
        <v>98</v>
      </c>
      <c r="E3" s="10" t="s">
        <v>2</v>
      </c>
      <c r="F3" s="10" t="s">
        <v>36</v>
      </c>
      <c r="G3" s="10" t="s">
        <v>37</v>
      </c>
      <c r="H3" s="10" t="s">
        <v>38</v>
      </c>
      <c r="I3" s="10" t="s">
        <v>99</v>
      </c>
      <c r="J3" s="10" t="s">
        <v>100</v>
      </c>
      <c r="K3" s="10" t="s">
        <v>101</v>
      </c>
      <c r="L3" s="10" t="s">
        <v>102</v>
      </c>
      <c r="M3" s="10" t="s">
        <v>103</v>
      </c>
      <c r="N3" s="10" t="s">
        <v>104</v>
      </c>
      <c r="O3" s="10" t="s">
        <v>96</v>
      </c>
      <c r="P3" s="10" t="s">
        <v>105</v>
      </c>
    </row>
    <row r="4" spans="1:16" x14ac:dyDescent="0.25">
      <c r="A4" s="15" t="s">
        <v>644</v>
      </c>
      <c r="B4" s="18" t="s">
        <v>598</v>
      </c>
      <c r="C4" s="2" t="s">
        <v>5</v>
      </c>
      <c r="D4" s="2" t="str">
        <f>VLOOKUP($C4,Sheet1!$A$2:$B$10,2,0)</f>
        <v>141110-14600</v>
      </c>
      <c r="E4" s="8" t="s">
        <v>40</v>
      </c>
      <c r="F4" s="12">
        <v>46002</v>
      </c>
      <c r="G4" s="13">
        <v>0.27083333333333331</v>
      </c>
      <c r="H4" s="2" t="s">
        <v>41</v>
      </c>
      <c r="I4" s="2" t="s">
        <v>42</v>
      </c>
      <c r="J4" s="2">
        <v>36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1">
        <v>2</v>
      </c>
      <c r="O4" s="2" t="s">
        <v>111</v>
      </c>
      <c r="P4" s="2" t="s">
        <v>876</v>
      </c>
    </row>
    <row r="5" spans="1:16" x14ac:dyDescent="0.25">
      <c r="A5" s="15" t="s">
        <v>644</v>
      </c>
      <c r="B5" s="18" t="s">
        <v>603</v>
      </c>
      <c r="C5" s="2" t="s">
        <v>9</v>
      </c>
      <c r="D5" s="2" t="str">
        <f>VLOOKUP($C5,Sheet1!$A$2:$B$10,2,0)</f>
        <v>141120-14600</v>
      </c>
      <c r="E5" s="8" t="s">
        <v>47</v>
      </c>
      <c r="F5" s="12">
        <v>46002</v>
      </c>
      <c r="G5" s="13">
        <v>0.27083333333333331</v>
      </c>
      <c r="H5" s="2" t="s">
        <v>41</v>
      </c>
      <c r="I5" s="2" t="s">
        <v>42</v>
      </c>
      <c r="J5" s="2">
        <v>36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2"/>
      <c r="O5" s="2" t="s">
        <v>111</v>
      </c>
      <c r="P5" s="2" t="s">
        <v>877</v>
      </c>
    </row>
    <row r="6" spans="1:16" x14ac:dyDescent="0.25">
      <c r="A6" s="15" t="s">
        <v>644</v>
      </c>
      <c r="B6" s="18" t="s">
        <v>599</v>
      </c>
      <c r="C6" s="2" t="s">
        <v>5</v>
      </c>
      <c r="D6" s="2" t="str">
        <f>VLOOKUP($C6,Sheet1!$A$2:$B$10,2,0)</f>
        <v>141110-14600</v>
      </c>
      <c r="E6" s="8" t="s">
        <v>40</v>
      </c>
      <c r="F6" s="12">
        <v>46002</v>
      </c>
      <c r="G6" s="13">
        <v>0.27083333333333331</v>
      </c>
      <c r="H6" s="2" t="s">
        <v>41</v>
      </c>
      <c r="I6" s="2" t="s">
        <v>42</v>
      </c>
      <c r="J6" s="2">
        <v>18</v>
      </c>
      <c r="K6" s="14">
        <f>VLOOKUP($C6,Sheet1!$A$2:$D$10,4,0)</f>
        <v>18</v>
      </c>
      <c r="L6" s="14" t="str">
        <f>VLOOKUP($C6,Sheet1!$A$2:$E$10,5,0)</f>
        <v>Trolley (H)</v>
      </c>
      <c r="M6" s="14"/>
      <c r="N6" s="51">
        <v>1</v>
      </c>
      <c r="O6" s="2" t="s">
        <v>111</v>
      </c>
      <c r="P6" s="2" t="s">
        <v>877</v>
      </c>
    </row>
    <row r="7" spans="1:16" x14ac:dyDescent="0.25">
      <c r="A7" s="15" t="s">
        <v>644</v>
      </c>
      <c r="B7" s="18" t="s">
        <v>604</v>
      </c>
      <c r="C7" s="2" t="s">
        <v>9</v>
      </c>
      <c r="D7" s="2" t="str">
        <f>VLOOKUP($C7,Sheet1!$A$2:$B$10,2,0)</f>
        <v>141120-14600</v>
      </c>
      <c r="E7" s="8" t="s">
        <v>47</v>
      </c>
      <c r="F7" s="12">
        <v>46002</v>
      </c>
      <c r="G7" s="13">
        <v>0.27083333333333331</v>
      </c>
      <c r="H7" s="2" t="s">
        <v>41</v>
      </c>
      <c r="I7" s="2" t="s">
        <v>42</v>
      </c>
      <c r="J7" s="2">
        <v>18</v>
      </c>
      <c r="K7" s="14">
        <f>VLOOKUP($C7,Sheet1!$A$2:$D$10,4,0)</f>
        <v>18</v>
      </c>
      <c r="L7" s="14" t="str">
        <f>VLOOKUP($C7,Sheet1!$A$2:$E$10,5,0)</f>
        <v>Trolley (H)</v>
      </c>
      <c r="M7" s="14"/>
      <c r="N7" s="52"/>
      <c r="O7" s="2" t="s">
        <v>111</v>
      </c>
      <c r="P7" s="2" t="s">
        <v>877</v>
      </c>
    </row>
    <row r="8" spans="1:16" x14ac:dyDescent="0.25">
      <c r="A8" s="15" t="s">
        <v>644</v>
      </c>
      <c r="B8" s="18" t="s">
        <v>608</v>
      </c>
      <c r="C8" s="2" t="s">
        <v>12</v>
      </c>
      <c r="D8" s="2" t="str">
        <f>VLOOKUP($C8,Sheet1!$A$2:$B$10,2,0)</f>
        <v>141185-74670</v>
      </c>
      <c r="E8" s="8" t="s">
        <v>52</v>
      </c>
      <c r="F8" s="12">
        <v>46002</v>
      </c>
      <c r="G8" s="13">
        <v>0.27083333333333331</v>
      </c>
      <c r="H8" s="2" t="s">
        <v>41</v>
      </c>
      <c r="I8" s="2" t="s">
        <v>42</v>
      </c>
      <c r="J8" s="2">
        <v>80</v>
      </c>
      <c r="K8" s="14">
        <f>VLOOKUP($C8,Sheet1!$A$2:$D$10,4,0)</f>
        <v>40</v>
      </c>
      <c r="L8" s="14" t="str">
        <f>VLOOKUP($C8,Sheet1!$A$2:$E$10,5,0)</f>
        <v>Trolley</v>
      </c>
      <c r="M8" s="14"/>
      <c r="N8" s="2">
        <f>J8/K8</f>
        <v>2</v>
      </c>
      <c r="O8" s="2" t="s">
        <v>111</v>
      </c>
      <c r="P8" s="2">
        <v>910103038</v>
      </c>
    </row>
    <row r="9" spans="1:16" x14ac:dyDescent="0.25">
      <c r="A9" s="15" t="s">
        <v>644</v>
      </c>
      <c r="B9" s="18" t="s">
        <v>609</v>
      </c>
      <c r="C9" s="2" t="s">
        <v>12</v>
      </c>
      <c r="D9" s="2" t="str">
        <f>VLOOKUP($C9,Sheet1!$A$2:$B$10,2,0)</f>
        <v>141185-74670</v>
      </c>
      <c r="E9" s="8" t="s">
        <v>52</v>
      </c>
      <c r="F9" s="12">
        <v>46002</v>
      </c>
      <c r="G9" s="13">
        <v>0.27083333333333331</v>
      </c>
      <c r="H9" s="2" t="s">
        <v>41</v>
      </c>
      <c r="I9" s="2" t="s">
        <v>42</v>
      </c>
      <c r="J9" s="2">
        <v>40</v>
      </c>
      <c r="K9" s="14">
        <f>VLOOKUP($C9,Sheet1!$A$2:$D$10,4,0)</f>
        <v>40</v>
      </c>
      <c r="L9" s="14" t="str">
        <f>VLOOKUP($C9,Sheet1!$A$2:$E$10,5,0)</f>
        <v>Trolley</v>
      </c>
      <c r="M9" s="14"/>
      <c r="N9" s="2">
        <f>J9/K9</f>
        <v>1</v>
      </c>
      <c r="O9" s="2" t="s">
        <v>111</v>
      </c>
      <c r="P9" s="2">
        <v>910103038</v>
      </c>
    </row>
    <row r="10" spans="1:16" x14ac:dyDescent="0.25">
      <c r="A10" s="15" t="s">
        <v>644</v>
      </c>
      <c r="B10" s="18" t="s">
        <v>613</v>
      </c>
      <c r="C10" s="2" t="s">
        <v>16</v>
      </c>
      <c r="D10" s="2" t="str">
        <f>VLOOKUP($C10,Sheet1!$A$2:$B$10,2,0)</f>
        <v>141140-91211</v>
      </c>
      <c r="E10" s="8" t="s">
        <v>57</v>
      </c>
      <c r="F10" s="12">
        <v>46002</v>
      </c>
      <c r="G10" s="13">
        <v>0.27083333333333331</v>
      </c>
      <c r="H10" s="2" t="s">
        <v>58</v>
      </c>
      <c r="I10" s="2" t="s">
        <v>42</v>
      </c>
      <c r="J10" s="2">
        <v>30</v>
      </c>
      <c r="K10" s="14">
        <f>VLOOKUP($C10,Sheet1!$A$2:$D$10,4,0)</f>
        <v>2</v>
      </c>
      <c r="L10" s="14" t="str">
        <f>VLOOKUP($C10,Sheet1!$A$2:$E$10,5,0)</f>
        <v>Bin</v>
      </c>
      <c r="M10" s="14">
        <f>J10/K10</f>
        <v>15</v>
      </c>
      <c r="N10" s="2"/>
      <c r="O10" s="2" t="s">
        <v>111</v>
      </c>
      <c r="P10" s="2" t="s">
        <v>878</v>
      </c>
    </row>
    <row r="11" spans="1:16" x14ac:dyDescent="0.25">
      <c r="A11" s="15" t="s">
        <v>644</v>
      </c>
      <c r="B11" s="18" t="s">
        <v>614</v>
      </c>
      <c r="C11" s="2" t="s">
        <v>16</v>
      </c>
      <c r="D11" s="2" t="str">
        <f>VLOOKUP($C11,Sheet1!$A$2:$B$10,2,0)</f>
        <v>141140-91211</v>
      </c>
      <c r="E11" s="8" t="s">
        <v>57</v>
      </c>
      <c r="F11" s="12">
        <v>46002</v>
      </c>
      <c r="G11" s="13">
        <v>0.27083333333333331</v>
      </c>
      <c r="H11" s="2" t="s">
        <v>58</v>
      </c>
      <c r="I11" s="2" t="s">
        <v>42</v>
      </c>
      <c r="J11" s="2">
        <v>24</v>
      </c>
      <c r="K11" s="14">
        <f>VLOOKUP($C11,Sheet1!$A$2:$D$10,4,0)</f>
        <v>2</v>
      </c>
      <c r="L11" s="14" t="str">
        <f>VLOOKUP($C11,Sheet1!$A$2:$E$10,5,0)</f>
        <v>Bin</v>
      </c>
      <c r="M11" s="14">
        <f>J11/K11</f>
        <v>12</v>
      </c>
      <c r="N11" s="2"/>
      <c r="O11" s="2" t="s">
        <v>111</v>
      </c>
      <c r="P11" s="2" t="s">
        <v>878</v>
      </c>
    </row>
    <row r="12" spans="1:16" x14ac:dyDescent="0.25">
      <c r="A12" s="15" t="s">
        <v>644</v>
      </c>
      <c r="B12" s="18" t="s">
        <v>618</v>
      </c>
      <c r="C12" s="2" t="s">
        <v>20</v>
      </c>
      <c r="D12" s="2" t="str">
        <f>VLOOKUP($C12,Sheet1!$A$2:$B$10,2,0)</f>
        <v>141150-91211</v>
      </c>
      <c r="E12" s="8" t="s">
        <v>64</v>
      </c>
      <c r="F12" s="12">
        <v>46002</v>
      </c>
      <c r="G12" s="13">
        <v>0.27083333333333331</v>
      </c>
      <c r="H12" s="2" t="s">
        <v>58</v>
      </c>
      <c r="I12" s="2" t="s">
        <v>42</v>
      </c>
      <c r="J12" s="2">
        <v>30</v>
      </c>
      <c r="K12" s="14">
        <f>VLOOKUP($C12,Sheet1!$A$2:$D$10,4,0)</f>
        <v>2</v>
      </c>
      <c r="L12" s="14" t="str">
        <f>VLOOKUP($C12,Sheet1!$A$2:$E$10,5,0)</f>
        <v>Bin</v>
      </c>
      <c r="M12" s="14">
        <f>J12/K12</f>
        <v>15</v>
      </c>
      <c r="N12" s="2"/>
      <c r="O12" s="2" t="s">
        <v>111</v>
      </c>
      <c r="P12" s="2" t="s">
        <v>879</v>
      </c>
    </row>
    <row r="13" spans="1:16" x14ac:dyDescent="0.25">
      <c r="A13" s="15" t="s">
        <v>644</v>
      </c>
      <c r="B13" s="18" t="s">
        <v>619</v>
      </c>
      <c r="C13" s="2" t="s">
        <v>20</v>
      </c>
      <c r="D13" s="2" t="str">
        <f>VLOOKUP($C13,Sheet1!$A$2:$B$10,2,0)</f>
        <v>141150-91211</v>
      </c>
      <c r="E13" s="8" t="s">
        <v>64</v>
      </c>
      <c r="F13" s="12">
        <v>46002</v>
      </c>
      <c r="G13" s="13">
        <v>0.27083333333333331</v>
      </c>
      <c r="H13" s="2" t="s">
        <v>58</v>
      </c>
      <c r="I13" s="2" t="s">
        <v>42</v>
      </c>
      <c r="J13" s="2">
        <v>24</v>
      </c>
      <c r="K13" s="14">
        <f>VLOOKUP($C13,Sheet1!$A$2:$D$10,4,0)</f>
        <v>2</v>
      </c>
      <c r="L13" s="14" t="str">
        <f>VLOOKUP($C13,Sheet1!$A$2:$E$10,5,0)</f>
        <v>Bin</v>
      </c>
      <c r="M13" s="14">
        <f>J13/K13</f>
        <v>12</v>
      </c>
      <c r="N13" s="2"/>
      <c r="O13" s="2" t="s">
        <v>111</v>
      </c>
      <c r="P13" s="2" t="s">
        <v>873</v>
      </c>
    </row>
    <row r="14" spans="1:16" x14ac:dyDescent="0.25">
      <c r="A14" s="15" t="s">
        <v>644</v>
      </c>
      <c r="B14" s="18" t="s">
        <v>623</v>
      </c>
      <c r="C14" s="2" t="s">
        <v>23</v>
      </c>
      <c r="D14" s="2" t="str">
        <f>VLOOKUP($C14,Sheet1!$A$2:$B$10,2,0)</f>
        <v>141186-74360</v>
      </c>
      <c r="E14" s="8" t="s">
        <v>70</v>
      </c>
      <c r="F14" s="12">
        <v>46002</v>
      </c>
      <c r="G14" s="13">
        <v>0.27083333333333331</v>
      </c>
      <c r="H14" s="2" t="s">
        <v>58</v>
      </c>
      <c r="I14" s="2" t="s">
        <v>42</v>
      </c>
      <c r="J14" s="2">
        <v>40</v>
      </c>
      <c r="K14" s="14">
        <f>VLOOKUP($C14,Sheet1!$A$2:$D$10,4,0)</f>
        <v>40</v>
      </c>
      <c r="L14" s="14" t="str">
        <f>VLOOKUP($C14,Sheet1!$A$2:$E$10,5,0)</f>
        <v>Trolley</v>
      </c>
      <c r="M14" s="14"/>
      <c r="N14" s="2">
        <f>J14/K14</f>
        <v>1</v>
      </c>
      <c r="O14" s="2" t="s">
        <v>111</v>
      </c>
      <c r="P14" s="2">
        <v>910100866</v>
      </c>
    </row>
    <row r="15" spans="1:16" x14ac:dyDescent="0.25">
      <c r="A15" s="15" t="s">
        <v>644</v>
      </c>
      <c r="B15" s="18" t="s">
        <v>624</v>
      </c>
      <c r="C15" s="2" t="s">
        <v>23</v>
      </c>
      <c r="D15" s="2" t="str">
        <f>VLOOKUP($C15,Sheet1!$A$2:$B$10,2,0)</f>
        <v>141186-74360</v>
      </c>
      <c r="E15" s="8" t="s">
        <v>70</v>
      </c>
      <c r="F15" s="12">
        <v>46002</v>
      </c>
      <c r="G15" s="13">
        <v>0.27083333333333331</v>
      </c>
      <c r="H15" s="2" t="s">
        <v>58</v>
      </c>
      <c r="I15" s="2" t="s">
        <v>42</v>
      </c>
      <c r="J15" s="2">
        <v>40</v>
      </c>
      <c r="K15" s="14">
        <f>VLOOKUP($C15,Sheet1!$A$2:$D$10,4,0)</f>
        <v>40</v>
      </c>
      <c r="L15" s="14" t="str">
        <f>VLOOKUP($C15,Sheet1!$A$2:$E$10,5,0)</f>
        <v>Trolley</v>
      </c>
      <c r="M15" s="14"/>
      <c r="N15" s="2">
        <f>J15/K15</f>
        <v>1</v>
      </c>
      <c r="O15" s="2" t="s">
        <v>111</v>
      </c>
      <c r="P15" s="2">
        <v>910100866</v>
      </c>
    </row>
    <row r="16" spans="1:16" x14ac:dyDescent="0.25">
      <c r="A16" s="15" t="s">
        <v>645</v>
      </c>
      <c r="B16" s="18" t="s">
        <v>628</v>
      </c>
      <c r="C16" s="2" t="s">
        <v>26</v>
      </c>
      <c r="D16" s="2" t="str">
        <f>VLOOKUP($C16,Sheet1!$A$2:$B$10,2,0)</f>
        <v>116040-92240</v>
      </c>
      <c r="E16" s="8" t="s">
        <v>75</v>
      </c>
      <c r="F16" s="12">
        <v>46002</v>
      </c>
      <c r="G16" s="13">
        <v>0.27083333333333331</v>
      </c>
      <c r="H16" s="2" t="s">
        <v>76</v>
      </c>
      <c r="I16" s="2" t="s">
        <v>42</v>
      </c>
      <c r="J16" s="2">
        <v>30</v>
      </c>
      <c r="K16" s="14">
        <f>VLOOKUP($C16,Sheet1!$A$2:$D$10,4,0)</f>
        <v>6</v>
      </c>
      <c r="L16" s="14" t="str">
        <f>VLOOKUP($C16,Sheet1!$A$2:$E$10,5,0)</f>
        <v>Bin</v>
      </c>
      <c r="M16" s="14">
        <f t="shared" ref="M16:M21" si="0">J16/K16</f>
        <v>5</v>
      </c>
      <c r="N16" s="2"/>
      <c r="O16" s="2" t="s">
        <v>111</v>
      </c>
      <c r="P16" s="2" t="s">
        <v>722</v>
      </c>
    </row>
    <row r="17" spans="1:16" x14ac:dyDescent="0.25">
      <c r="A17" s="15" t="s">
        <v>645</v>
      </c>
      <c r="B17" s="18" t="s">
        <v>629</v>
      </c>
      <c r="C17" s="2" t="s">
        <v>26</v>
      </c>
      <c r="D17" s="2" t="str">
        <f>VLOOKUP($C17,Sheet1!$A$2:$B$10,2,0)</f>
        <v>116040-92240</v>
      </c>
      <c r="E17" s="8" t="s">
        <v>75</v>
      </c>
      <c r="F17" s="12">
        <v>46002</v>
      </c>
      <c r="G17" s="13">
        <v>0.27083333333333331</v>
      </c>
      <c r="H17" s="2" t="s">
        <v>76</v>
      </c>
      <c r="I17" s="2" t="s">
        <v>42</v>
      </c>
      <c r="J17" s="2">
        <v>24</v>
      </c>
      <c r="K17" s="14">
        <f>VLOOKUP($C17,Sheet1!$A$2:$D$10,4,0)</f>
        <v>6</v>
      </c>
      <c r="L17" s="14" t="str">
        <f>VLOOKUP($C17,Sheet1!$A$2:$E$10,5,0)</f>
        <v>Bin</v>
      </c>
      <c r="M17" s="14">
        <f t="shared" si="0"/>
        <v>4</v>
      </c>
      <c r="N17" s="2"/>
      <c r="O17" s="2" t="s">
        <v>111</v>
      </c>
      <c r="P17" s="2" t="s">
        <v>722</v>
      </c>
    </row>
    <row r="18" spans="1:16" x14ac:dyDescent="0.25">
      <c r="A18" s="15" t="s">
        <v>645</v>
      </c>
      <c r="B18" s="18" t="s">
        <v>633</v>
      </c>
      <c r="C18" s="2" t="s">
        <v>32</v>
      </c>
      <c r="D18" s="2" t="str">
        <f>VLOOKUP($C18,Sheet1!$A$2:$B$10,2,0)</f>
        <v>114010-50820</v>
      </c>
      <c r="E18" s="8" t="s">
        <v>82</v>
      </c>
      <c r="F18" s="12">
        <v>46002</v>
      </c>
      <c r="G18" s="13">
        <v>0.27083333333333331</v>
      </c>
      <c r="H18" s="2" t="s">
        <v>76</v>
      </c>
      <c r="I18" s="2" t="s">
        <v>42</v>
      </c>
      <c r="J18" s="2">
        <v>8</v>
      </c>
      <c r="K18" s="14">
        <f>VLOOKUP($C18,Sheet1!$A$2:$D$10,4,0)</f>
        <v>1</v>
      </c>
      <c r="L18" s="14" t="str">
        <f>VLOOKUP($C18,Sheet1!$A$2:$E$10,5,0)</f>
        <v>Bin</v>
      </c>
      <c r="M18" s="14">
        <f t="shared" si="0"/>
        <v>8</v>
      </c>
      <c r="N18" s="2"/>
      <c r="O18" s="2" t="s">
        <v>111</v>
      </c>
      <c r="P18" s="2" t="s">
        <v>398</v>
      </c>
    </row>
    <row r="19" spans="1:16" x14ac:dyDescent="0.25">
      <c r="A19" s="15" t="s">
        <v>645</v>
      </c>
      <c r="B19" s="18" t="s">
        <v>634</v>
      </c>
      <c r="C19" s="2" t="s">
        <v>32</v>
      </c>
      <c r="D19" s="2" t="str">
        <f>VLOOKUP($C19,Sheet1!$A$2:$B$10,2,0)</f>
        <v>114010-50820</v>
      </c>
      <c r="E19" s="8" t="s">
        <v>82</v>
      </c>
      <c r="F19" s="12">
        <v>46002</v>
      </c>
      <c r="G19" s="13">
        <v>0.27083333333333331</v>
      </c>
      <c r="H19" s="2" t="s">
        <v>76</v>
      </c>
      <c r="I19" s="2" t="s">
        <v>42</v>
      </c>
      <c r="J19" s="2">
        <v>14</v>
      </c>
      <c r="K19" s="14">
        <f>VLOOKUP($C19,Sheet1!$A$2:$D$10,4,0)</f>
        <v>1</v>
      </c>
      <c r="L19" s="14" t="str">
        <f>VLOOKUP($C19,Sheet1!$A$2:$E$10,5,0)</f>
        <v>Bin</v>
      </c>
      <c r="M19" s="14">
        <f t="shared" si="0"/>
        <v>14</v>
      </c>
      <c r="N19" s="2"/>
      <c r="O19" s="2" t="s">
        <v>111</v>
      </c>
      <c r="P19" s="2" t="s">
        <v>398</v>
      </c>
    </row>
    <row r="20" spans="1:16" x14ac:dyDescent="0.25">
      <c r="A20" s="15" t="s">
        <v>645</v>
      </c>
      <c r="B20" s="18" t="s">
        <v>638</v>
      </c>
      <c r="C20" s="2" t="s">
        <v>29</v>
      </c>
      <c r="D20" s="2" t="str">
        <f>VLOOKUP($C20,Sheet1!$A$2:$B$10,2,0)</f>
        <v>114010-50830</v>
      </c>
      <c r="E20" s="8" t="s">
        <v>82</v>
      </c>
      <c r="F20" s="12">
        <v>46002</v>
      </c>
      <c r="G20" s="13">
        <v>0.27083333333333331</v>
      </c>
      <c r="H20" s="2" t="s">
        <v>76</v>
      </c>
      <c r="I20" s="2" t="s">
        <v>42</v>
      </c>
      <c r="J20" s="2">
        <v>22</v>
      </c>
      <c r="K20" s="14">
        <f>VLOOKUP($C20,Sheet1!$A$2:$D$10,4,0)</f>
        <v>1</v>
      </c>
      <c r="L20" s="14" t="str">
        <f>VLOOKUP($C20,Sheet1!$A$2:$E$10,5,0)</f>
        <v>Bin</v>
      </c>
      <c r="M20" s="14">
        <f t="shared" si="0"/>
        <v>22</v>
      </c>
      <c r="N20" s="2"/>
      <c r="O20" s="2" t="s">
        <v>111</v>
      </c>
      <c r="P20" s="2" t="s">
        <v>169</v>
      </c>
    </row>
    <row r="21" spans="1:16" x14ac:dyDescent="0.25">
      <c r="A21" s="15" t="s">
        <v>645</v>
      </c>
      <c r="B21" s="18" t="s">
        <v>639</v>
      </c>
      <c r="C21" s="2" t="s">
        <v>29</v>
      </c>
      <c r="D21" s="2" t="str">
        <f>VLOOKUP($C21,Sheet1!$A$2:$B$10,2,0)</f>
        <v>114010-50830</v>
      </c>
      <c r="E21" s="8" t="s">
        <v>82</v>
      </c>
      <c r="F21" s="12">
        <v>46002</v>
      </c>
      <c r="G21" s="13">
        <v>0.27083333333333331</v>
      </c>
      <c r="H21" s="2" t="s">
        <v>76</v>
      </c>
      <c r="I21" s="2" t="s">
        <v>42</v>
      </c>
      <c r="J21" s="2">
        <v>10</v>
      </c>
      <c r="K21" s="14">
        <f>VLOOKUP($C21,Sheet1!$A$2:$D$10,4,0)</f>
        <v>1</v>
      </c>
      <c r="L21" s="14" t="str">
        <f>VLOOKUP($C21,Sheet1!$A$2:$E$10,5,0)</f>
        <v>Bin</v>
      </c>
      <c r="M21" s="14">
        <f t="shared" si="0"/>
        <v>10</v>
      </c>
      <c r="N21" s="2"/>
      <c r="O21" s="2" t="s">
        <v>111</v>
      </c>
      <c r="P21" s="2" t="s">
        <v>169</v>
      </c>
    </row>
    <row r="22" spans="1:16" s="11" customForma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>
        <v>117</v>
      </c>
      <c r="N22" s="10">
        <v>8</v>
      </c>
      <c r="O22" s="10"/>
      <c r="P22" s="10"/>
    </row>
    <row r="23" spans="1:16" x14ac:dyDescent="0.25">
      <c r="A23" s="15" t="s">
        <v>646</v>
      </c>
      <c r="B23" s="18" t="s">
        <v>600</v>
      </c>
      <c r="C23" s="2" t="s">
        <v>5</v>
      </c>
      <c r="D23" s="2" t="str">
        <f>VLOOKUP($C23,Sheet1!$A$2:$B$10,2,0)</f>
        <v>141110-14600</v>
      </c>
      <c r="E23" s="8" t="s">
        <v>40</v>
      </c>
      <c r="F23" s="12">
        <v>46002</v>
      </c>
      <c r="G23" s="13">
        <v>0.5625</v>
      </c>
      <c r="H23" s="2" t="s">
        <v>41</v>
      </c>
      <c r="I23" s="2" t="s">
        <v>42</v>
      </c>
      <c r="J23" s="2">
        <v>36</v>
      </c>
      <c r="K23" s="14">
        <f>VLOOKUP($C23,Sheet1!$A$2:$D$10,4,0)</f>
        <v>18</v>
      </c>
      <c r="L23" s="14" t="str">
        <f>VLOOKUP($C23,Sheet1!$A$2:$E$10,5,0)</f>
        <v>Trolley (H)</v>
      </c>
      <c r="M23" s="14"/>
      <c r="N23" s="51">
        <v>2</v>
      </c>
      <c r="O23" s="2" t="s">
        <v>113</v>
      </c>
      <c r="P23" s="2" t="s">
        <v>877</v>
      </c>
    </row>
    <row r="24" spans="1:16" x14ac:dyDescent="0.25">
      <c r="A24" s="15" t="s">
        <v>646</v>
      </c>
      <c r="B24" s="18" t="s">
        <v>605</v>
      </c>
      <c r="C24" s="2" t="s">
        <v>9</v>
      </c>
      <c r="D24" s="2" t="str">
        <f>VLOOKUP($C24,Sheet1!$A$2:$B$10,2,0)</f>
        <v>141120-14600</v>
      </c>
      <c r="E24" s="8" t="s">
        <v>47</v>
      </c>
      <c r="F24" s="12">
        <v>46002</v>
      </c>
      <c r="G24" s="13">
        <v>0.5625</v>
      </c>
      <c r="H24" s="2" t="s">
        <v>41</v>
      </c>
      <c r="I24" s="2" t="s">
        <v>42</v>
      </c>
      <c r="J24" s="2">
        <v>36</v>
      </c>
      <c r="K24" s="14">
        <f>VLOOKUP($C24,Sheet1!$A$2:$D$10,4,0)</f>
        <v>18</v>
      </c>
      <c r="L24" s="14" t="str">
        <f>VLOOKUP($C24,Sheet1!$A$2:$E$10,5,0)</f>
        <v>Trolley (H)</v>
      </c>
      <c r="M24" s="14"/>
      <c r="N24" s="52"/>
      <c r="O24" s="2" t="s">
        <v>113</v>
      </c>
      <c r="P24" s="2" t="s">
        <v>877</v>
      </c>
    </row>
    <row r="25" spans="1:16" x14ac:dyDescent="0.25">
      <c r="A25" s="15" t="s">
        <v>646</v>
      </c>
      <c r="B25" s="18" t="s">
        <v>610</v>
      </c>
      <c r="C25" s="2" t="s">
        <v>12</v>
      </c>
      <c r="D25" s="2" t="str">
        <f>VLOOKUP($C25,Sheet1!$A$2:$B$10,2,0)</f>
        <v>141185-74670</v>
      </c>
      <c r="E25" s="8" t="s">
        <v>52</v>
      </c>
      <c r="F25" s="12">
        <v>46002</v>
      </c>
      <c r="G25" s="13">
        <v>0.5625</v>
      </c>
      <c r="H25" s="2" t="s">
        <v>41</v>
      </c>
      <c r="I25" s="2" t="s">
        <v>42</v>
      </c>
      <c r="J25" s="2">
        <v>40</v>
      </c>
      <c r="K25" s="14">
        <f>VLOOKUP($C25,Sheet1!$A$2:$D$10,4,0)</f>
        <v>40</v>
      </c>
      <c r="L25" s="14" t="str">
        <f>VLOOKUP($C25,Sheet1!$A$2:$E$10,5,0)</f>
        <v>Trolley</v>
      </c>
      <c r="M25" s="14"/>
      <c r="N25" s="2">
        <f>J25/K25</f>
        <v>1</v>
      </c>
      <c r="O25" s="2" t="s">
        <v>113</v>
      </c>
      <c r="P25" s="2">
        <v>910103038</v>
      </c>
    </row>
    <row r="26" spans="1:16" x14ac:dyDescent="0.25">
      <c r="A26" s="15" t="s">
        <v>646</v>
      </c>
      <c r="B26" s="18" t="s">
        <v>615</v>
      </c>
      <c r="C26" s="2" t="s">
        <v>16</v>
      </c>
      <c r="D26" s="2" t="str">
        <f>VLOOKUP($C26,Sheet1!$A$2:$B$10,2,0)</f>
        <v>141140-91211</v>
      </c>
      <c r="E26" s="8" t="s">
        <v>57</v>
      </c>
      <c r="F26" s="12">
        <v>46002</v>
      </c>
      <c r="G26" s="13">
        <v>0.5625</v>
      </c>
      <c r="H26" s="2" t="s">
        <v>58</v>
      </c>
      <c r="I26" s="2" t="s">
        <v>42</v>
      </c>
      <c r="J26" s="2">
        <v>30</v>
      </c>
      <c r="K26" s="14">
        <f>VLOOKUP($C26,Sheet1!$A$2:$D$10,4,0)</f>
        <v>2</v>
      </c>
      <c r="L26" s="14" t="str">
        <f>VLOOKUP($C26,Sheet1!$A$2:$E$10,5,0)</f>
        <v>Bin</v>
      </c>
      <c r="M26" s="14">
        <f>J26/K26</f>
        <v>15</v>
      </c>
      <c r="N26" s="2"/>
      <c r="O26" s="2" t="s">
        <v>113</v>
      </c>
      <c r="P26" s="2" t="s">
        <v>878</v>
      </c>
    </row>
    <row r="27" spans="1:16" x14ac:dyDescent="0.25">
      <c r="A27" s="15" t="s">
        <v>646</v>
      </c>
      <c r="B27" s="18" t="s">
        <v>620</v>
      </c>
      <c r="C27" s="2" t="s">
        <v>20</v>
      </c>
      <c r="D27" s="2" t="str">
        <f>VLOOKUP($C27,Sheet1!$A$2:$B$10,2,0)</f>
        <v>141150-91211</v>
      </c>
      <c r="E27" s="8" t="s">
        <v>64</v>
      </c>
      <c r="F27" s="12">
        <v>46002</v>
      </c>
      <c r="G27" s="13">
        <v>0.5625</v>
      </c>
      <c r="H27" s="2" t="s">
        <v>58</v>
      </c>
      <c r="I27" s="2" t="s">
        <v>42</v>
      </c>
      <c r="J27" s="2">
        <v>30</v>
      </c>
      <c r="K27" s="14">
        <f>VLOOKUP($C27,Sheet1!$A$2:$D$10,4,0)</f>
        <v>2</v>
      </c>
      <c r="L27" s="14" t="str">
        <f>VLOOKUP($C27,Sheet1!$A$2:$E$10,5,0)</f>
        <v>Bin</v>
      </c>
      <c r="M27" s="14">
        <f>J27/K27</f>
        <v>15</v>
      </c>
      <c r="N27" s="2"/>
      <c r="O27" s="2" t="s">
        <v>113</v>
      </c>
      <c r="P27" s="2" t="s">
        <v>878</v>
      </c>
    </row>
    <row r="28" spans="1:16" x14ac:dyDescent="0.25">
      <c r="A28" s="15" t="s">
        <v>646</v>
      </c>
      <c r="B28" s="18" t="s">
        <v>625</v>
      </c>
      <c r="C28" s="2" t="s">
        <v>23</v>
      </c>
      <c r="D28" s="2" t="str">
        <f>VLOOKUP($C28,Sheet1!$A$2:$B$10,2,0)</f>
        <v>141186-74360</v>
      </c>
      <c r="E28" s="8" t="s">
        <v>70</v>
      </c>
      <c r="F28" s="12">
        <v>46002</v>
      </c>
      <c r="G28" s="13">
        <v>0.5625</v>
      </c>
      <c r="H28" s="2" t="s">
        <v>58</v>
      </c>
      <c r="I28" s="2" t="s">
        <v>42</v>
      </c>
      <c r="J28" s="2">
        <v>80</v>
      </c>
      <c r="K28" s="14">
        <f>VLOOKUP($C28,Sheet1!$A$2:$D$10,4,0)</f>
        <v>40</v>
      </c>
      <c r="L28" s="14" t="str">
        <f>VLOOKUP($C28,Sheet1!$A$2:$E$10,5,0)</f>
        <v>Trolley</v>
      </c>
      <c r="M28" s="14"/>
      <c r="N28" s="2">
        <f>J28/K28</f>
        <v>2</v>
      </c>
      <c r="O28" s="2" t="s">
        <v>113</v>
      </c>
      <c r="P28" s="2">
        <v>910100866</v>
      </c>
    </row>
    <row r="29" spans="1:16" x14ac:dyDescent="0.25">
      <c r="A29" s="15" t="s">
        <v>647</v>
      </c>
      <c r="B29" s="18" t="s">
        <v>630</v>
      </c>
      <c r="C29" s="2" t="s">
        <v>26</v>
      </c>
      <c r="D29" s="2" t="str">
        <f>VLOOKUP($C29,Sheet1!$A$2:$B$10,2,0)</f>
        <v>116040-92240</v>
      </c>
      <c r="E29" s="8" t="s">
        <v>75</v>
      </c>
      <c r="F29" s="12">
        <v>46002</v>
      </c>
      <c r="G29" s="13">
        <v>0.5625</v>
      </c>
      <c r="H29" s="2" t="s">
        <v>76</v>
      </c>
      <c r="I29" s="2" t="s">
        <v>42</v>
      </c>
      <c r="J29" s="2">
        <v>30</v>
      </c>
      <c r="K29" s="14">
        <f>VLOOKUP($C29,Sheet1!$A$2:$D$10,4,0)</f>
        <v>6</v>
      </c>
      <c r="L29" s="14" t="str">
        <f>VLOOKUP($C29,Sheet1!$A$2:$E$10,5,0)</f>
        <v>Bin</v>
      </c>
      <c r="M29" s="14">
        <f>J29/K29</f>
        <v>5</v>
      </c>
      <c r="N29" s="2"/>
      <c r="O29" s="2" t="s">
        <v>113</v>
      </c>
      <c r="P29" s="2" t="s">
        <v>722</v>
      </c>
    </row>
    <row r="30" spans="1:16" x14ac:dyDescent="0.25">
      <c r="A30" s="15" t="s">
        <v>647</v>
      </c>
      <c r="B30" s="18" t="s">
        <v>635</v>
      </c>
      <c r="C30" s="2" t="s">
        <v>32</v>
      </c>
      <c r="D30" s="2" t="str">
        <f>VLOOKUP($C30,Sheet1!$A$2:$B$10,2,0)</f>
        <v>114010-50820</v>
      </c>
      <c r="E30" s="8" t="s">
        <v>82</v>
      </c>
      <c r="F30" s="12">
        <v>46002</v>
      </c>
      <c r="G30" s="13">
        <v>0.5625</v>
      </c>
      <c r="H30" s="2" t="s">
        <v>76</v>
      </c>
      <c r="I30" s="2" t="s">
        <v>42</v>
      </c>
      <c r="J30" s="2">
        <v>6</v>
      </c>
      <c r="K30" s="14">
        <f>VLOOKUP($C30,Sheet1!$A$2:$D$10,4,0)</f>
        <v>1</v>
      </c>
      <c r="L30" s="14" t="str">
        <f>VLOOKUP($C30,Sheet1!$A$2:$E$10,5,0)</f>
        <v>Bin</v>
      </c>
      <c r="M30" s="14">
        <f>J30/K30</f>
        <v>6</v>
      </c>
      <c r="N30" s="2"/>
      <c r="O30" s="2" t="s">
        <v>113</v>
      </c>
      <c r="P30" s="2" t="s">
        <v>398</v>
      </c>
    </row>
    <row r="31" spans="1:16" x14ac:dyDescent="0.25">
      <c r="A31" s="15" t="s">
        <v>647</v>
      </c>
      <c r="B31" s="18" t="s">
        <v>640</v>
      </c>
      <c r="C31" s="2" t="s">
        <v>29</v>
      </c>
      <c r="D31" s="2" t="str">
        <f>VLOOKUP($C31,Sheet1!$A$2:$B$10,2,0)</f>
        <v>114010-50830</v>
      </c>
      <c r="E31" s="8" t="s">
        <v>82</v>
      </c>
      <c r="F31" s="12">
        <v>46002</v>
      </c>
      <c r="G31" s="13">
        <v>0.5625</v>
      </c>
      <c r="H31" s="2" t="s">
        <v>76</v>
      </c>
      <c r="I31" s="2" t="s">
        <v>42</v>
      </c>
      <c r="J31" s="2">
        <v>24</v>
      </c>
      <c r="K31" s="14">
        <f>VLOOKUP($C31,Sheet1!$A$2:$D$10,4,0)</f>
        <v>1</v>
      </c>
      <c r="L31" s="14" t="str">
        <f>VLOOKUP($C31,Sheet1!$A$2:$E$10,5,0)</f>
        <v>Bin</v>
      </c>
      <c r="M31" s="14">
        <f>J31/K31</f>
        <v>24</v>
      </c>
      <c r="N31" s="2"/>
      <c r="O31" s="2" t="s">
        <v>113</v>
      </c>
      <c r="P31" s="2" t="s">
        <v>169</v>
      </c>
    </row>
    <row r="32" spans="1:16" s="11" customForma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>
        <v>65</v>
      </c>
      <c r="N32" s="10">
        <v>5</v>
      </c>
      <c r="O32" s="10"/>
      <c r="P32" s="10"/>
    </row>
    <row r="33" spans="1:17" x14ac:dyDescent="0.25">
      <c r="A33" s="15" t="s">
        <v>648</v>
      </c>
      <c r="B33" s="18" t="s">
        <v>601</v>
      </c>
      <c r="C33" s="2" t="s">
        <v>5</v>
      </c>
      <c r="D33" s="2" t="str">
        <f>VLOOKUP($C33,Sheet1!$A$2:$B$10,2,0)</f>
        <v>141110-14600</v>
      </c>
      <c r="E33" s="8" t="s">
        <v>40</v>
      </c>
      <c r="F33" s="12">
        <v>46002</v>
      </c>
      <c r="G33" s="13">
        <v>0.64583333333333337</v>
      </c>
      <c r="H33" s="2" t="s">
        <v>41</v>
      </c>
      <c r="I33" s="2" t="s">
        <v>42</v>
      </c>
      <c r="J33" s="2">
        <v>18</v>
      </c>
      <c r="K33" s="14">
        <f>VLOOKUP($C33,Sheet1!$A$2:$D$10,4,0)</f>
        <v>18</v>
      </c>
      <c r="L33" s="14" t="str">
        <f>VLOOKUP($C33,Sheet1!$A$2:$E$10,5,0)</f>
        <v>Trolley (H)</v>
      </c>
      <c r="M33" s="14"/>
      <c r="N33" s="51">
        <v>1</v>
      </c>
      <c r="O33" s="2" t="s">
        <v>112</v>
      </c>
      <c r="P33" s="2" t="s">
        <v>877</v>
      </c>
    </row>
    <row r="34" spans="1:17" x14ac:dyDescent="0.25">
      <c r="A34" s="15" t="s">
        <v>648</v>
      </c>
      <c r="B34" s="18" t="s">
        <v>606</v>
      </c>
      <c r="C34" s="2" t="s">
        <v>9</v>
      </c>
      <c r="D34" s="2" t="str">
        <f>VLOOKUP($C34,Sheet1!$A$2:$B$10,2,0)</f>
        <v>141120-14600</v>
      </c>
      <c r="E34" s="8" t="s">
        <v>47</v>
      </c>
      <c r="F34" s="12">
        <v>46002</v>
      </c>
      <c r="G34" s="13">
        <v>0.64583333333333337</v>
      </c>
      <c r="H34" s="2" t="s">
        <v>41</v>
      </c>
      <c r="I34" s="2" t="s">
        <v>42</v>
      </c>
      <c r="J34" s="2">
        <v>18</v>
      </c>
      <c r="K34" s="14">
        <f>VLOOKUP($C34,Sheet1!$A$2:$D$10,4,0)</f>
        <v>18</v>
      </c>
      <c r="L34" s="14" t="str">
        <f>VLOOKUP($C34,Sheet1!$A$2:$E$10,5,0)</f>
        <v>Trolley (H)</v>
      </c>
      <c r="M34" s="14"/>
      <c r="N34" s="52"/>
      <c r="O34" s="2" t="s">
        <v>112</v>
      </c>
      <c r="P34" s="2" t="s">
        <v>880</v>
      </c>
    </row>
    <row r="35" spans="1:17" x14ac:dyDescent="0.25">
      <c r="A35" s="15" t="s">
        <v>648</v>
      </c>
      <c r="B35" s="18" t="s">
        <v>611</v>
      </c>
      <c r="C35" s="2" t="s">
        <v>12</v>
      </c>
      <c r="D35" s="2" t="str">
        <f>VLOOKUP($C35,Sheet1!$A$2:$B$10,2,0)</f>
        <v>141185-74670</v>
      </c>
      <c r="E35" s="8" t="s">
        <v>52</v>
      </c>
      <c r="F35" s="12">
        <v>46002</v>
      </c>
      <c r="G35" s="13">
        <v>0.64583333333333337</v>
      </c>
      <c r="H35" s="2" t="s">
        <v>41</v>
      </c>
      <c r="I35" s="2" t="s">
        <v>42</v>
      </c>
      <c r="J35" s="2">
        <v>80</v>
      </c>
      <c r="K35" s="14">
        <f>VLOOKUP($C35,Sheet1!$A$2:$D$10,4,0)</f>
        <v>40</v>
      </c>
      <c r="L35" s="14" t="str">
        <f>VLOOKUP($C35,Sheet1!$A$2:$E$10,5,0)</f>
        <v>Trolley</v>
      </c>
      <c r="M35" s="14"/>
      <c r="N35" s="2">
        <f>J35/K35</f>
        <v>2</v>
      </c>
      <c r="O35" s="2" t="s">
        <v>112</v>
      </c>
      <c r="P35" s="2">
        <v>910103038</v>
      </c>
    </row>
    <row r="36" spans="1:17" x14ac:dyDescent="0.25">
      <c r="A36" s="15" t="s">
        <v>648</v>
      </c>
      <c r="B36" s="18" t="s">
        <v>616</v>
      </c>
      <c r="C36" s="2" t="s">
        <v>16</v>
      </c>
      <c r="D36" s="2" t="str">
        <f>VLOOKUP($C36,Sheet1!$A$2:$B$10,2,0)</f>
        <v>141140-91211</v>
      </c>
      <c r="E36" s="8" t="s">
        <v>57</v>
      </c>
      <c r="F36" s="12">
        <v>46002</v>
      </c>
      <c r="G36" s="13">
        <v>0.64583333333333337</v>
      </c>
      <c r="H36" s="2" t="s">
        <v>58</v>
      </c>
      <c r="I36" s="2" t="s">
        <v>42</v>
      </c>
      <c r="J36" s="2">
        <v>30</v>
      </c>
      <c r="K36" s="14">
        <f>VLOOKUP($C36,Sheet1!$A$2:$D$10,4,0)</f>
        <v>2</v>
      </c>
      <c r="L36" s="14" t="str">
        <f>VLOOKUP($C36,Sheet1!$A$2:$E$10,5,0)</f>
        <v>Bin</v>
      </c>
      <c r="M36" s="14">
        <f>J36/K36</f>
        <v>15</v>
      </c>
      <c r="N36" s="2"/>
      <c r="O36" s="2" t="s">
        <v>112</v>
      </c>
      <c r="P36" s="2" t="s">
        <v>878</v>
      </c>
    </row>
    <row r="37" spans="1:17" x14ac:dyDescent="0.25">
      <c r="A37" s="15" t="s">
        <v>648</v>
      </c>
      <c r="B37" s="18" t="s">
        <v>621</v>
      </c>
      <c r="C37" s="2" t="s">
        <v>20</v>
      </c>
      <c r="D37" s="2" t="str">
        <f>VLOOKUP($C37,Sheet1!$A$2:$B$10,2,0)</f>
        <v>141150-91211</v>
      </c>
      <c r="E37" s="8" t="s">
        <v>64</v>
      </c>
      <c r="F37" s="12">
        <v>46002</v>
      </c>
      <c r="G37" s="13">
        <v>0.64583333333333337</v>
      </c>
      <c r="H37" s="2" t="s">
        <v>58</v>
      </c>
      <c r="I37" s="2" t="s">
        <v>42</v>
      </c>
      <c r="J37" s="2">
        <v>30</v>
      </c>
      <c r="K37" s="14">
        <f>VLOOKUP($C37,Sheet1!$A$2:$D$10,4,0)</f>
        <v>2</v>
      </c>
      <c r="L37" s="14" t="str">
        <f>VLOOKUP($C37,Sheet1!$A$2:$E$10,5,0)</f>
        <v>Bin</v>
      </c>
      <c r="M37" s="14">
        <f>J37/K37</f>
        <v>15</v>
      </c>
      <c r="N37" s="2"/>
      <c r="O37" s="2" t="s">
        <v>112</v>
      </c>
      <c r="P37" s="2" t="s">
        <v>878</v>
      </c>
    </row>
    <row r="38" spans="1:17" x14ac:dyDescent="0.25">
      <c r="A38" s="15" t="s">
        <v>648</v>
      </c>
      <c r="B38" s="18" t="s">
        <v>626</v>
      </c>
      <c r="C38" s="2" t="s">
        <v>23</v>
      </c>
      <c r="D38" s="2" t="str">
        <f>VLOOKUP($C38,Sheet1!$A$2:$B$10,2,0)</f>
        <v>141186-74360</v>
      </c>
      <c r="E38" s="8" t="s">
        <v>70</v>
      </c>
      <c r="F38" s="12">
        <v>46002</v>
      </c>
      <c r="G38" s="13">
        <v>0.64583333333333337</v>
      </c>
      <c r="H38" s="2" t="s">
        <v>58</v>
      </c>
      <c r="I38" s="2" t="s">
        <v>42</v>
      </c>
      <c r="J38" s="2">
        <v>40</v>
      </c>
      <c r="K38" s="14">
        <f>VLOOKUP($C38,Sheet1!$A$2:$D$10,4,0)</f>
        <v>40</v>
      </c>
      <c r="L38" s="14" t="str">
        <f>VLOOKUP($C38,Sheet1!$A$2:$E$10,5,0)</f>
        <v>Trolley</v>
      </c>
      <c r="M38" s="14"/>
      <c r="N38" s="2">
        <f>J38/K38</f>
        <v>1</v>
      </c>
      <c r="O38" s="2" t="s">
        <v>112</v>
      </c>
      <c r="P38" s="2">
        <v>910100866</v>
      </c>
    </row>
    <row r="39" spans="1:17" x14ac:dyDescent="0.25">
      <c r="A39" s="15" t="s">
        <v>649</v>
      </c>
      <c r="B39" s="18" t="s">
        <v>631</v>
      </c>
      <c r="C39" s="2" t="s">
        <v>26</v>
      </c>
      <c r="D39" s="2" t="str">
        <f>VLOOKUP($C39,Sheet1!$A$2:$B$10,2,0)</f>
        <v>116040-92240</v>
      </c>
      <c r="E39" s="8" t="s">
        <v>75</v>
      </c>
      <c r="F39" s="12">
        <v>46002</v>
      </c>
      <c r="G39" s="13">
        <v>0.64583333333333337</v>
      </c>
      <c r="H39" s="2" t="s">
        <v>76</v>
      </c>
      <c r="I39" s="2" t="s">
        <v>42</v>
      </c>
      <c r="J39" s="2">
        <v>30</v>
      </c>
      <c r="K39" s="14">
        <f>VLOOKUP($C39,Sheet1!$A$2:$D$10,4,0)</f>
        <v>6</v>
      </c>
      <c r="L39" s="14" t="str">
        <f>VLOOKUP($C39,Sheet1!$A$2:$E$10,5,0)</f>
        <v>Bin</v>
      </c>
      <c r="M39" s="14">
        <f>J39/K39</f>
        <v>5</v>
      </c>
      <c r="N39" s="2"/>
      <c r="O39" s="2" t="s">
        <v>112</v>
      </c>
      <c r="P39" s="2" t="s">
        <v>722</v>
      </c>
    </row>
    <row r="40" spans="1:17" x14ac:dyDescent="0.25">
      <c r="A40" s="15" t="s">
        <v>649</v>
      </c>
      <c r="B40" s="18" t="s">
        <v>636</v>
      </c>
      <c r="C40" s="2" t="s">
        <v>32</v>
      </c>
      <c r="D40" s="2" t="str">
        <f>VLOOKUP($C40,Sheet1!$A$2:$B$10,2,0)</f>
        <v>114010-50820</v>
      </c>
      <c r="E40" s="8" t="s">
        <v>82</v>
      </c>
      <c r="F40" s="12">
        <v>46002</v>
      </c>
      <c r="G40" s="13">
        <v>0.64583333333333337</v>
      </c>
      <c r="H40" s="2" t="s">
        <v>76</v>
      </c>
      <c r="I40" s="2" t="s">
        <v>42</v>
      </c>
      <c r="J40" s="2">
        <v>10</v>
      </c>
      <c r="K40" s="14">
        <f>VLOOKUP($C40,Sheet1!$A$2:$D$10,4,0)</f>
        <v>1</v>
      </c>
      <c r="L40" s="14" t="str">
        <f>VLOOKUP($C40,Sheet1!$A$2:$E$10,5,0)</f>
        <v>Bin</v>
      </c>
      <c r="M40" s="14">
        <f>J40/K40</f>
        <v>10</v>
      </c>
      <c r="N40" s="2"/>
      <c r="O40" s="2" t="s">
        <v>112</v>
      </c>
      <c r="P40" s="2" t="s">
        <v>398</v>
      </c>
    </row>
    <row r="41" spans="1:17" x14ac:dyDescent="0.25">
      <c r="A41" s="15" t="s">
        <v>649</v>
      </c>
      <c r="B41" s="18" t="s">
        <v>641</v>
      </c>
      <c r="C41" s="2" t="s">
        <v>29</v>
      </c>
      <c r="D41" s="2" t="str">
        <f>VLOOKUP($C41,Sheet1!$A$2:$B$10,2,0)</f>
        <v>114010-50830</v>
      </c>
      <c r="E41" s="8" t="s">
        <v>82</v>
      </c>
      <c r="F41" s="12">
        <v>46002</v>
      </c>
      <c r="G41" s="13">
        <v>0.64583333333333337</v>
      </c>
      <c r="H41" s="2" t="s">
        <v>76</v>
      </c>
      <c r="I41" s="2" t="s">
        <v>42</v>
      </c>
      <c r="J41" s="2">
        <v>13</v>
      </c>
      <c r="K41" s="14">
        <f>VLOOKUP($C41,Sheet1!$A$2:$D$10,4,0)</f>
        <v>1</v>
      </c>
      <c r="L41" s="14" t="str">
        <f>VLOOKUP($C41,Sheet1!$A$2:$E$10,5,0)</f>
        <v>Bin</v>
      </c>
      <c r="M41" s="14">
        <f>J41/K41</f>
        <v>13</v>
      </c>
      <c r="N41" s="2"/>
      <c r="O41" s="2" t="s">
        <v>112</v>
      </c>
      <c r="P41" s="2" t="s">
        <v>169</v>
      </c>
    </row>
    <row r="42" spans="1:17" x14ac:dyDescent="0.25">
      <c r="A42" s="15" t="s">
        <v>650</v>
      </c>
      <c r="B42" s="18" t="s">
        <v>602</v>
      </c>
      <c r="C42" s="2" t="s">
        <v>5</v>
      </c>
      <c r="D42" s="2" t="str">
        <f>VLOOKUP($C42,Sheet1!$A$2:$B$10,2,0)</f>
        <v>141110-14600</v>
      </c>
      <c r="E42" s="8" t="s">
        <v>40</v>
      </c>
      <c r="F42" s="12">
        <v>46002</v>
      </c>
      <c r="G42" s="21">
        <v>0.77083333333333337</v>
      </c>
      <c r="H42" s="2" t="s">
        <v>41</v>
      </c>
      <c r="I42" s="2" t="s">
        <v>42</v>
      </c>
      <c r="J42" s="2">
        <v>18</v>
      </c>
      <c r="K42" s="14">
        <f>VLOOKUP($C42,Sheet1!$A$2:$D$10,4,0)</f>
        <v>18</v>
      </c>
      <c r="L42" s="14" t="str">
        <f>VLOOKUP($C42,Sheet1!$A$2:$E$10,5,0)</f>
        <v>Trolley (H)</v>
      </c>
      <c r="M42" s="14"/>
      <c r="N42" s="51">
        <v>1</v>
      </c>
      <c r="O42" s="2" t="s">
        <v>112</v>
      </c>
      <c r="P42" s="2" t="s">
        <v>877</v>
      </c>
    </row>
    <row r="43" spans="1:17" x14ac:dyDescent="0.25">
      <c r="A43" s="15" t="s">
        <v>650</v>
      </c>
      <c r="B43" s="18" t="s">
        <v>607</v>
      </c>
      <c r="C43" s="2" t="s">
        <v>9</v>
      </c>
      <c r="D43" s="2" t="str">
        <f>VLOOKUP($C43,Sheet1!$A$2:$B$10,2,0)</f>
        <v>141120-14600</v>
      </c>
      <c r="E43" s="8" t="s">
        <v>47</v>
      </c>
      <c r="F43" s="12">
        <v>46002</v>
      </c>
      <c r="G43" s="21">
        <v>0.77083333333333337</v>
      </c>
      <c r="H43" s="2" t="s">
        <v>41</v>
      </c>
      <c r="I43" s="2" t="s">
        <v>42</v>
      </c>
      <c r="J43" s="2">
        <v>18</v>
      </c>
      <c r="K43" s="14">
        <f>VLOOKUP($C43,Sheet1!$A$2:$D$10,4,0)</f>
        <v>18</v>
      </c>
      <c r="L43" s="14" t="str">
        <f>VLOOKUP($C43,Sheet1!$A$2:$E$10,5,0)</f>
        <v>Trolley (H)</v>
      </c>
      <c r="M43" s="14"/>
      <c r="N43" s="52"/>
      <c r="O43" s="2" t="s">
        <v>112</v>
      </c>
      <c r="P43" s="2" t="s">
        <v>881</v>
      </c>
    </row>
    <row r="44" spans="1:17" x14ac:dyDescent="0.25">
      <c r="A44" s="15" t="s">
        <v>650</v>
      </c>
      <c r="B44" s="18" t="s">
        <v>612</v>
      </c>
      <c r="C44" s="2" t="s">
        <v>12</v>
      </c>
      <c r="D44" s="2" t="str">
        <f>VLOOKUP($C44,Sheet1!$A$2:$B$10,2,0)</f>
        <v>141185-74670</v>
      </c>
      <c r="E44" s="8" t="s">
        <v>52</v>
      </c>
      <c r="F44" s="12">
        <v>46002</v>
      </c>
      <c r="G44" s="21">
        <v>0.77083333333333337</v>
      </c>
      <c r="H44" s="2" t="s">
        <v>41</v>
      </c>
      <c r="I44" s="2" t="s">
        <v>42</v>
      </c>
      <c r="J44" s="2">
        <v>40</v>
      </c>
      <c r="K44" s="14">
        <f>VLOOKUP($C44,Sheet1!$A$2:$D$10,4,0)</f>
        <v>40</v>
      </c>
      <c r="L44" s="14" t="str">
        <f>VLOOKUP($C44,Sheet1!$A$2:$E$10,5,0)</f>
        <v>Trolley</v>
      </c>
      <c r="M44" s="14"/>
      <c r="N44" s="2">
        <f>J44/K44</f>
        <v>1</v>
      </c>
      <c r="O44" s="2" t="s">
        <v>112</v>
      </c>
      <c r="P44" s="2">
        <v>910103038</v>
      </c>
    </row>
    <row r="45" spans="1:17" x14ac:dyDescent="0.25">
      <c r="A45" s="15" t="s">
        <v>650</v>
      </c>
      <c r="B45" s="18" t="s">
        <v>617</v>
      </c>
      <c r="C45" s="2" t="s">
        <v>16</v>
      </c>
      <c r="D45" s="2" t="str">
        <f>VLOOKUP($C45,Sheet1!$A$2:$B$10,2,0)</f>
        <v>141140-91211</v>
      </c>
      <c r="E45" s="8" t="s">
        <v>57</v>
      </c>
      <c r="F45" s="12">
        <v>46002</v>
      </c>
      <c r="G45" s="21">
        <v>0.77083333333333337</v>
      </c>
      <c r="H45" s="2" t="s">
        <v>58</v>
      </c>
      <c r="I45" s="2" t="s">
        <v>42</v>
      </c>
      <c r="J45" s="2">
        <v>20</v>
      </c>
      <c r="K45" s="14">
        <f>VLOOKUP($C45,Sheet1!$A$2:$D$10,4,0)</f>
        <v>2</v>
      </c>
      <c r="L45" s="14" t="str">
        <f>VLOOKUP($C45,Sheet1!$A$2:$E$10,5,0)</f>
        <v>Bin</v>
      </c>
      <c r="M45" s="14">
        <f>J45/K45</f>
        <v>10</v>
      </c>
      <c r="N45" s="2"/>
      <c r="O45" s="2" t="s">
        <v>112</v>
      </c>
      <c r="P45" s="2" t="s">
        <v>878</v>
      </c>
    </row>
    <row r="46" spans="1:17" x14ac:dyDescent="0.25">
      <c r="A46" s="15" t="s">
        <v>650</v>
      </c>
      <c r="B46" s="18" t="s">
        <v>622</v>
      </c>
      <c r="C46" s="2" t="s">
        <v>20</v>
      </c>
      <c r="D46" s="2" t="str">
        <f>VLOOKUP($C46,Sheet1!$A$2:$B$10,2,0)</f>
        <v>141150-91211</v>
      </c>
      <c r="E46" s="8" t="s">
        <v>64</v>
      </c>
      <c r="F46" s="12">
        <v>46002</v>
      </c>
      <c r="G46" s="21">
        <v>0.77083333333333337</v>
      </c>
      <c r="H46" s="2" t="s">
        <v>58</v>
      </c>
      <c r="I46" s="2" t="s">
        <v>42</v>
      </c>
      <c r="J46" s="2">
        <v>20</v>
      </c>
      <c r="K46" s="14">
        <f>VLOOKUP($C46,Sheet1!$A$2:$D$10,4,0)</f>
        <v>2</v>
      </c>
      <c r="L46" s="14" t="str">
        <f>VLOOKUP($C46,Sheet1!$A$2:$E$10,5,0)</f>
        <v>Bin</v>
      </c>
      <c r="M46" s="14">
        <f>J46/K46</f>
        <v>10</v>
      </c>
      <c r="N46" s="2"/>
      <c r="O46" s="2" t="s">
        <v>112</v>
      </c>
      <c r="P46" s="2" t="s">
        <v>878</v>
      </c>
    </row>
    <row r="47" spans="1:17" x14ac:dyDescent="0.25">
      <c r="A47" s="15" t="s">
        <v>650</v>
      </c>
      <c r="B47" s="18" t="s">
        <v>627</v>
      </c>
      <c r="C47" s="2" t="s">
        <v>23</v>
      </c>
      <c r="D47" s="2" t="str">
        <f>VLOOKUP($C47,Sheet1!$A$2:$B$10,2,0)</f>
        <v>141186-74360</v>
      </c>
      <c r="E47" s="8" t="s">
        <v>70</v>
      </c>
      <c r="F47" s="12">
        <v>46002</v>
      </c>
      <c r="G47" s="21">
        <v>0.77083333333333337</v>
      </c>
      <c r="H47" s="2" t="s">
        <v>58</v>
      </c>
      <c r="I47" s="2" t="s">
        <v>42</v>
      </c>
      <c r="J47" s="2">
        <v>80</v>
      </c>
      <c r="K47" s="14">
        <f>VLOOKUP($C47,Sheet1!$A$2:$D$10,4,0)</f>
        <v>40</v>
      </c>
      <c r="L47" s="14" t="str">
        <f>VLOOKUP($C47,Sheet1!$A$2:$E$10,5,0)</f>
        <v>Trolley</v>
      </c>
      <c r="M47" s="14"/>
      <c r="N47" s="2">
        <f>J47/K47</f>
        <v>2</v>
      </c>
      <c r="O47" s="2" t="s">
        <v>112</v>
      </c>
      <c r="P47" s="2">
        <v>910100866</v>
      </c>
    </row>
    <row r="48" spans="1:17" x14ac:dyDescent="0.25">
      <c r="A48" s="15" t="s">
        <v>651</v>
      </c>
      <c r="B48" s="18" t="s">
        <v>632</v>
      </c>
      <c r="C48" s="2" t="s">
        <v>26</v>
      </c>
      <c r="D48" s="2" t="str">
        <f>VLOOKUP($C48,Sheet1!$A$2:$B$10,2,0)</f>
        <v>116040-92240</v>
      </c>
      <c r="E48" s="8" t="s">
        <v>75</v>
      </c>
      <c r="F48" s="12">
        <v>46002</v>
      </c>
      <c r="G48" s="21">
        <v>0.77083333333333337</v>
      </c>
      <c r="H48" s="2" t="s">
        <v>76</v>
      </c>
      <c r="I48" s="2" t="s">
        <v>42</v>
      </c>
      <c r="J48" s="2">
        <v>18</v>
      </c>
      <c r="K48" s="14">
        <f>VLOOKUP($C48,Sheet1!$A$2:$D$10,4,0)</f>
        <v>6</v>
      </c>
      <c r="L48" s="14" t="str">
        <f>VLOOKUP($C48,Sheet1!$A$2:$E$10,5,0)</f>
        <v>Bin</v>
      </c>
      <c r="M48" s="14">
        <f>J48/K48</f>
        <v>3</v>
      </c>
      <c r="N48" s="2"/>
      <c r="O48" s="2" t="s">
        <v>112</v>
      </c>
      <c r="P48" s="2" t="s">
        <v>722</v>
      </c>
      <c r="Q48" t="s">
        <v>1287</v>
      </c>
    </row>
    <row r="49" spans="1:17" x14ac:dyDescent="0.25">
      <c r="A49" s="15" t="s">
        <v>651</v>
      </c>
      <c r="B49" s="18" t="s">
        <v>637</v>
      </c>
      <c r="C49" s="2" t="s">
        <v>32</v>
      </c>
      <c r="D49" s="2" t="str">
        <f>VLOOKUP($C49,Sheet1!$A$2:$B$10,2,0)</f>
        <v>114010-50820</v>
      </c>
      <c r="E49" s="8" t="s">
        <v>82</v>
      </c>
      <c r="F49" s="12">
        <v>46002</v>
      </c>
      <c r="G49" s="21">
        <v>0.77083333333333337</v>
      </c>
      <c r="H49" s="2" t="s">
        <v>76</v>
      </c>
      <c r="I49" s="2" t="s">
        <v>42</v>
      </c>
      <c r="J49" s="2">
        <v>17</v>
      </c>
      <c r="K49" s="14">
        <f>VLOOKUP($C49,Sheet1!$A$2:$D$10,4,0)</f>
        <v>1</v>
      </c>
      <c r="L49" s="14" t="str">
        <f>VLOOKUP($C49,Sheet1!$A$2:$E$10,5,0)</f>
        <v>Bin</v>
      </c>
      <c r="M49" s="14">
        <f>J49/K49</f>
        <v>17</v>
      </c>
      <c r="N49" s="2"/>
      <c r="O49" s="2" t="s">
        <v>112</v>
      </c>
      <c r="P49" s="2" t="s">
        <v>398</v>
      </c>
      <c r="Q49" t="s">
        <v>1287</v>
      </c>
    </row>
    <row r="50" spans="1:17" x14ac:dyDescent="0.25">
      <c r="A50" s="15" t="s">
        <v>651</v>
      </c>
      <c r="B50" s="18" t="s">
        <v>642</v>
      </c>
      <c r="C50" s="2" t="s">
        <v>29</v>
      </c>
      <c r="D50" s="2" t="str">
        <f>VLOOKUP($C50,Sheet1!$A$2:$B$10,2,0)</f>
        <v>114010-50830</v>
      </c>
      <c r="E50" s="8" t="s">
        <v>82</v>
      </c>
      <c r="F50" s="12">
        <v>46002</v>
      </c>
      <c r="G50" s="21">
        <v>0.77083333333333337</v>
      </c>
      <c r="H50" s="2" t="s">
        <v>76</v>
      </c>
      <c r="I50" s="2" t="s">
        <v>42</v>
      </c>
      <c r="J50" s="2">
        <v>10</v>
      </c>
      <c r="K50" s="14">
        <f>VLOOKUP($C50,Sheet1!$A$2:$D$10,4,0)</f>
        <v>1</v>
      </c>
      <c r="L50" s="14" t="str">
        <f>VLOOKUP($C50,Sheet1!$A$2:$E$10,5,0)</f>
        <v>Bin</v>
      </c>
      <c r="M50" s="14">
        <f>J50/K50</f>
        <v>10</v>
      </c>
      <c r="N50" s="2"/>
      <c r="O50" s="2" t="s">
        <v>112</v>
      </c>
      <c r="P50" s="2" t="s">
        <v>169</v>
      </c>
      <c r="Q50" t="s">
        <v>1287</v>
      </c>
    </row>
    <row r="51" spans="1:17" s="11" customForma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>
        <v>108</v>
      </c>
      <c r="N51" s="10">
        <v>8</v>
      </c>
      <c r="O51" s="10"/>
      <c r="P51" s="10"/>
    </row>
    <row r="52" spans="1:17" x14ac:dyDescent="0.25">
      <c r="A52" s="15" t="s">
        <v>673</v>
      </c>
      <c r="B52" s="18" t="s">
        <v>666</v>
      </c>
      <c r="C52" s="2" t="s">
        <v>12</v>
      </c>
      <c r="D52" s="2" t="str">
        <f>VLOOKUP($C52,Sheet1!$A$2:$B$10,2,0)</f>
        <v>141185-74670</v>
      </c>
      <c r="E52" s="8" t="s">
        <v>52</v>
      </c>
      <c r="F52" s="12">
        <v>46002</v>
      </c>
      <c r="G52" s="13">
        <v>0.78125</v>
      </c>
      <c r="H52" s="2" t="s">
        <v>41</v>
      </c>
      <c r="I52" s="2" t="s">
        <v>42</v>
      </c>
      <c r="J52" s="2">
        <v>40</v>
      </c>
      <c r="K52" s="14">
        <f>VLOOKUP($C52,Sheet1!$A$2:$D$10,4,0)</f>
        <v>40</v>
      </c>
      <c r="L52" s="14" t="str">
        <f>VLOOKUP($C52,Sheet1!$A$2:$E$10,5,0)</f>
        <v>Trolley</v>
      </c>
      <c r="M52" s="14"/>
      <c r="N52" s="2">
        <f>J52/K52</f>
        <v>1</v>
      </c>
      <c r="O52" s="2" t="s">
        <v>111</v>
      </c>
      <c r="P52" s="2">
        <v>910103038</v>
      </c>
      <c r="Q52" t="s">
        <v>782</v>
      </c>
    </row>
    <row r="53" spans="1:17" x14ac:dyDescent="0.25">
      <c r="A53" s="15" t="s">
        <v>673</v>
      </c>
      <c r="B53" s="18" t="s">
        <v>667</v>
      </c>
      <c r="C53" s="2" t="s">
        <v>16</v>
      </c>
      <c r="D53" s="2" t="str">
        <f>VLOOKUP($C53,Sheet1!$A$2:$B$10,2,0)</f>
        <v>141140-91211</v>
      </c>
      <c r="E53" s="8" t="s">
        <v>57</v>
      </c>
      <c r="F53" s="12">
        <v>46002</v>
      </c>
      <c r="G53" s="13">
        <v>0.78125</v>
      </c>
      <c r="H53" s="2" t="s">
        <v>58</v>
      </c>
      <c r="I53" s="2" t="s">
        <v>42</v>
      </c>
      <c r="J53" s="2">
        <v>14</v>
      </c>
      <c r="K53" s="14">
        <f>VLOOKUP($C53,Sheet1!$A$2:$D$10,4,0)</f>
        <v>2</v>
      </c>
      <c r="L53" s="14" t="str">
        <f>VLOOKUP($C53,Sheet1!$A$2:$E$10,5,0)</f>
        <v>Bin</v>
      </c>
      <c r="M53" s="14">
        <f>J53/K53</f>
        <v>7</v>
      </c>
      <c r="N53" s="2"/>
      <c r="O53" s="2" t="s">
        <v>111</v>
      </c>
      <c r="P53" s="2" t="s">
        <v>878</v>
      </c>
      <c r="Q53" t="s">
        <v>782</v>
      </c>
    </row>
    <row r="54" spans="1:17" x14ac:dyDescent="0.25">
      <c r="A54" s="15" t="s">
        <v>673</v>
      </c>
      <c r="B54" s="18" t="s">
        <v>668</v>
      </c>
      <c r="C54" s="2" t="s">
        <v>20</v>
      </c>
      <c r="D54" s="2" t="str">
        <f>VLOOKUP($C54,Sheet1!$A$2:$B$10,2,0)</f>
        <v>141150-91211</v>
      </c>
      <c r="E54" s="8" t="s">
        <v>64</v>
      </c>
      <c r="F54" s="12">
        <v>46002</v>
      </c>
      <c r="G54" s="13">
        <v>0.78125</v>
      </c>
      <c r="H54" s="2" t="s">
        <v>58</v>
      </c>
      <c r="I54" s="2" t="s">
        <v>42</v>
      </c>
      <c r="J54" s="2">
        <v>14</v>
      </c>
      <c r="K54" s="14">
        <f>VLOOKUP($C54,Sheet1!$A$2:$D$10,4,0)</f>
        <v>2</v>
      </c>
      <c r="L54" s="14" t="str">
        <f>VLOOKUP($C54,Sheet1!$A$2:$E$10,5,0)</f>
        <v>Bin</v>
      </c>
      <c r="M54" s="14">
        <f>J54/K54</f>
        <v>7</v>
      </c>
      <c r="N54" s="2"/>
      <c r="O54" s="2" t="s">
        <v>111</v>
      </c>
      <c r="P54" s="2" t="s">
        <v>878</v>
      </c>
      <c r="Q54" t="s">
        <v>782</v>
      </c>
    </row>
    <row r="55" spans="1:17" x14ac:dyDescent="0.25">
      <c r="A55" s="15" t="s">
        <v>673</v>
      </c>
      <c r="B55" s="18" t="s">
        <v>669</v>
      </c>
      <c r="C55" s="2" t="s">
        <v>23</v>
      </c>
      <c r="D55" s="2" t="str">
        <f>VLOOKUP($C55,Sheet1!$A$2:$B$10,2,0)</f>
        <v>141186-74360</v>
      </c>
      <c r="E55" s="8" t="s">
        <v>70</v>
      </c>
      <c r="F55" s="12">
        <v>46002</v>
      </c>
      <c r="G55" s="13">
        <v>0.78125</v>
      </c>
      <c r="H55" s="2" t="s">
        <v>58</v>
      </c>
      <c r="I55" s="2" t="s">
        <v>42</v>
      </c>
      <c r="J55" s="2">
        <v>40</v>
      </c>
      <c r="K55" s="14">
        <f>VLOOKUP($C55,Sheet1!$A$2:$D$10,4,0)</f>
        <v>40</v>
      </c>
      <c r="L55" s="14" t="str">
        <f>VLOOKUP($C55,Sheet1!$A$2:$E$10,5,0)</f>
        <v>Trolley</v>
      </c>
      <c r="M55" s="14"/>
      <c r="N55" s="2">
        <f>J55/K55</f>
        <v>1</v>
      </c>
      <c r="O55" s="2" t="s">
        <v>111</v>
      </c>
      <c r="P55" s="2">
        <v>910100866</v>
      </c>
      <c r="Q55" t="s">
        <v>782</v>
      </c>
    </row>
    <row r="56" spans="1:17" x14ac:dyDescent="0.25">
      <c r="A56" s="15" t="s">
        <v>674</v>
      </c>
      <c r="B56" s="18" t="s">
        <v>670</v>
      </c>
      <c r="C56" s="2" t="s">
        <v>26</v>
      </c>
      <c r="D56" s="2" t="str">
        <f>VLOOKUP($C56,Sheet1!$A$2:$B$10,2,0)</f>
        <v>116040-92240</v>
      </c>
      <c r="E56" s="8" t="s">
        <v>75</v>
      </c>
      <c r="F56" s="12">
        <v>46002</v>
      </c>
      <c r="G56" s="13">
        <v>0.78125</v>
      </c>
      <c r="H56" s="2" t="s">
        <v>76</v>
      </c>
      <c r="I56" s="2" t="s">
        <v>42</v>
      </c>
      <c r="J56" s="2">
        <v>18</v>
      </c>
      <c r="K56" s="14">
        <f>VLOOKUP($C56,Sheet1!$A$2:$D$10,4,0)</f>
        <v>6</v>
      </c>
      <c r="L56" s="14" t="str">
        <f>VLOOKUP($C56,Sheet1!$A$2:$E$10,5,0)</f>
        <v>Bin</v>
      </c>
      <c r="M56" s="14">
        <f>J56/K56</f>
        <v>3</v>
      </c>
      <c r="N56" s="2"/>
      <c r="O56" s="2" t="s">
        <v>111</v>
      </c>
      <c r="P56" s="2" t="s">
        <v>882</v>
      </c>
      <c r="Q56" t="s">
        <v>782</v>
      </c>
    </row>
    <row r="57" spans="1:17" x14ac:dyDescent="0.25">
      <c r="A57" s="15" t="s">
        <v>674</v>
      </c>
      <c r="B57" s="18" t="s">
        <v>671</v>
      </c>
      <c r="C57" s="2" t="s">
        <v>32</v>
      </c>
      <c r="D57" s="2" t="str">
        <f>VLOOKUP($C57,Sheet1!$A$2:$B$10,2,0)</f>
        <v>114010-50820</v>
      </c>
      <c r="E57" s="8" t="s">
        <v>82</v>
      </c>
      <c r="F57" s="12">
        <v>46002</v>
      </c>
      <c r="G57" s="13">
        <v>0.78125</v>
      </c>
      <c r="H57" s="2" t="s">
        <v>76</v>
      </c>
      <c r="I57" s="2" t="s">
        <v>42</v>
      </c>
      <c r="J57" s="2">
        <v>4</v>
      </c>
      <c r="K57" s="14">
        <f>VLOOKUP($C57,Sheet1!$A$2:$D$10,4,0)</f>
        <v>1</v>
      </c>
      <c r="L57" s="14" t="str">
        <f>VLOOKUP($C57,Sheet1!$A$2:$E$10,5,0)</f>
        <v>Bin</v>
      </c>
      <c r="M57" s="14">
        <f>J57/K57</f>
        <v>4</v>
      </c>
      <c r="N57" s="2"/>
      <c r="O57" s="2" t="s">
        <v>111</v>
      </c>
      <c r="P57" s="2" t="s">
        <v>883</v>
      </c>
      <c r="Q57" t="s">
        <v>782</v>
      </c>
    </row>
    <row r="58" spans="1:17" x14ac:dyDescent="0.25">
      <c r="A58" s="15" t="s">
        <v>674</v>
      </c>
      <c r="B58" s="18" t="s">
        <v>672</v>
      </c>
      <c r="C58" s="2" t="s">
        <v>29</v>
      </c>
      <c r="D58" s="2" t="str">
        <f>VLOOKUP($C58,Sheet1!$A$2:$B$10,2,0)</f>
        <v>114010-50830</v>
      </c>
      <c r="E58" s="8" t="s">
        <v>82</v>
      </c>
      <c r="F58" s="12">
        <v>46002</v>
      </c>
      <c r="G58" s="13">
        <v>0.78125</v>
      </c>
      <c r="H58" s="2" t="s">
        <v>76</v>
      </c>
      <c r="I58" s="2" t="s">
        <v>42</v>
      </c>
      <c r="J58" s="2">
        <v>10</v>
      </c>
      <c r="K58" s="14">
        <f>VLOOKUP($C58,Sheet1!$A$2:$D$10,4,0)</f>
        <v>1</v>
      </c>
      <c r="L58" s="14" t="str">
        <f>VLOOKUP($C58,Sheet1!$A$2:$E$10,5,0)</f>
        <v>Bin</v>
      </c>
      <c r="M58" s="14">
        <f>J58/K58</f>
        <v>10</v>
      </c>
      <c r="N58" s="2"/>
      <c r="O58" s="2" t="s">
        <v>111</v>
      </c>
      <c r="P58" s="2" t="s">
        <v>169</v>
      </c>
      <c r="Q58" t="s">
        <v>782</v>
      </c>
    </row>
    <row r="59" spans="1:17" s="11" customForma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>
        <v>31</v>
      </c>
      <c r="N59" s="10">
        <v>2</v>
      </c>
      <c r="O59" s="10"/>
      <c r="P59" s="10"/>
    </row>
    <row r="74" spans="1:16" x14ac:dyDescent="0.25">
      <c r="A74" s="2"/>
      <c r="B74" s="2" t="s">
        <v>643</v>
      </c>
      <c r="C74" s="2"/>
      <c r="D74" s="2"/>
      <c r="E74" s="8"/>
      <c r="F74" s="12"/>
      <c r="G74" s="13"/>
      <c r="H74" s="2"/>
      <c r="I74" s="2"/>
      <c r="J74" s="2"/>
      <c r="K74" s="14"/>
      <c r="L74" s="14"/>
      <c r="M74" s="14"/>
      <c r="N74" s="2"/>
      <c r="O74" s="2"/>
      <c r="P74" s="2"/>
    </row>
  </sheetData>
  <mergeCells count="8">
    <mergeCell ref="N33:N34"/>
    <mergeCell ref="N42:N43"/>
    <mergeCell ref="A1:F1"/>
    <mergeCell ref="J1:N1"/>
    <mergeCell ref="L2:N2"/>
    <mergeCell ref="N4:N5"/>
    <mergeCell ref="N6:N7"/>
    <mergeCell ref="N23:N24"/>
  </mergeCells>
  <conditionalFormatting sqref="B2">
    <cfRule type="duplicateValues" dxfId="80" priority="3"/>
    <cfRule type="duplicateValues" dxfId="79" priority="4"/>
  </conditionalFormatting>
  <conditionalFormatting sqref="B33:B50 B23:B31 B4:B21 B52:B58">
    <cfRule type="duplicateValues" dxfId="78" priority="2"/>
  </conditionalFormatting>
  <conditionalFormatting sqref="B74">
    <cfRule type="duplicateValues" dxfId="77" priority="1"/>
  </conditionalFormatting>
  <conditionalFormatting sqref="C2:D2">
    <cfRule type="duplicateValues" dxfId="76" priority="5"/>
    <cfRule type="duplicateValues" dxfId="75" priority="6"/>
  </conditionalFormatting>
  <hyperlinks>
    <hyperlink ref="B74" r:id="rId1" display="http://192.168.1.248/downloads/temp/X539_eNagare_20251210.log" xr:uid="{00000000-0004-0000-0B00-000000000000}"/>
  </hyperlinks>
  <pageMargins left="0.17" right="0.17" top="0.17" bottom="0.17" header="0.17" footer="0.17"/>
  <pageSetup paperSize="9" scale="51"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7"/>
  <sheetViews>
    <sheetView workbookViewId="0">
      <selection activeCell="I11" sqref="I11"/>
    </sheetView>
  </sheetViews>
  <sheetFormatPr defaultColWidth="73" defaultRowHeight="15" x14ac:dyDescent="0.25"/>
  <cols>
    <col min="1" max="1" width="12.28515625" bestFit="1" customWidth="1"/>
    <col min="2" max="2" width="17.85546875" bestFit="1" customWidth="1"/>
    <col min="3" max="3" width="18" bestFit="1" customWidth="1"/>
    <col min="4" max="4" width="14.7109375" bestFit="1" customWidth="1"/>
    <col min="5" max="5" width="17.28515625" bestFit="1" customWidth="1"/>
    <col min="6" max="6" width="21.140625" bestFit="1" customWidth="1"/>
    <col min="7" max="7" width="22" bestFit="1" customWidth="1"/>
    <col min="8" max="8" width="20.5703125" bestFit="1" customWidth="1"/>
    <col min="9" max="9" width="20.28515625" bestFit="1" customWidth="1"/>
    <col min="10" max="10" width="20.28515625" customWidth="1"/>
    <col min="11" max="11" width="10.140625" bestFit="1" customWidth="1"/>
    <col min="12" max="12" width="11" bestFit="1" customWidth="1"/>
    <col min="13" max="13" width="20.140625" bestFit="1" customWidth="1"/>
    <col min="14" max="14" width="20.5703125" bestFit="1" customWidth="1"/>
    <col min="15" max="15" width="8.42578125" bestFit="1" customWidth="1"/>
    <col min="16" max="16" width="9.5703125" bestFit="1" customWidth="1"/>
    <col min="17" max="17" width="10.140625" bestFit="1" customWidth="1"/>
    <col min="18" max="18" width="26.140625" bestFit="1" customWidth="1"/>
  </cols>
  <sheetData>
    <row r="1" spans="1:18" ht="15.75" thickBot="1" x14ac:dyDescent="0.3">
      <c r="A1" s="25" t="s">
        <v>505</v>
      </c>
      <c r="B1" s="25" t="s">
        <v>506</v>
      </c>
      <c r="C1" s="25" t="s">
        <v>507</v>
      </c>
      <c r="D1" s="25" t="s">
        <v>508</v>
      </c>
      <c r="E1" s="25" t="s">
        <v>514</v>
      </c>
      <c r="F1" s="25" t="s">
        <v>509</v>
      </c>
      <c r="G1" s="25" t="s">
        <v>510</v>
      </c>
      <c r="H1" s="10" t="s">
        <v>101</v>
      </c>
      <c r="I1" s="10" t="s">
        <v>96</v>
      </c>
      <c r="J1" s="43"/>
      <c r="K1" s="25" t="s">
        <v>513</v>
      </c>
      <c r="L1" s="25" t="s">
        <v>515</v>
      </c>
      <c r="M1" s="25" t="s">
        <v>516</v>
      </c>
      <c r="N1" s="25" t="s">
        <v>517</v>
      </c>
      <c r="O1" s="25" t="s">
        <v>518</v>
      </c>
      <c r="P1" s="25" t="s">
        <v>519</v>
      </c>
      <c r="Q1" s="25" t="s">
        <v>520</v>
      </c>
      <c r="R1" s="25" t="s">
        <v>521</v>
      </c>
    </row>
    <row r="2" spans="1:18" ht="15.75" thickBot="1" x14ac:dyDescent="0.3">
      <c r="A2" s="26" t="s">
        <v>522</v>
      </c>
      <c r="B2" s="32">
        <v>46002</v>
      </c>
      <c r="C2" s="26"/>
      <c r="D2" s="31" t="s">
        <v>458</v>
      </c>
      <c r="E2" s="26" t="s">
        <v>663</v>
      </c>
      <c r="F2" s="26" t="s">
        <v>662</v>
      </c>
      <c r="G2" s="26">
        <v>2</v>
      </c>
      <c r="H2" s="26">
        <v>1</v>
      </c>
      <c r="I2" s="2" t="s">
        <v>157</v>
      </c>
      <c r="J2" t="s">
        <v>1515</v>
      </c>
      <c r="K2" s="26" t="s">
        <v>524</v>
      </c>
      <c r="L2" s="26" t="s">
        <v>526</v>
      </c>
      <c r="M2" s="26" t="s">
        <v>527</v>
      </c>
      <c r="N2" s="26" t="s">
        <v>528</v>
      </c>
      <c r="O2" s="26">
        <v>6452</v>
      </c>
      <c r="P2" s="26">
        <v>1</v>
      </c>
      <c r="Q2" s="26"/>
      <c r="R2" s="28" t="s">
        <v>529</v>
      </c>
    </row>
    <row r="3" spans="1:18" ht="15.75" thickBot="1" x14ac:dyDescent="0.3">
      <c r="A3" s="26" t="s">
        <v>522</v>
      </c>
      <c r="B3" s="32">
        <v>45992</v>
      </c>
      <c r="C3" s="27">
        <v>46002</v>
      </c>
      <c r="D3" s="31" t="s">
        <v>458</v>
      </c>
      <c r="E3" s="26" t="s">
        <v>659</v>
      </c>
      <c r="F3" s="26" t="s">
        <v>658</v>
      </c>
      <c r="G3" s="26">
        <v>10</v>
      </c>
      <c r="H3" s="26">
        <v>10</v>
      </c>
      <c r="I3" s="2" t="s">
        <v>157</v>
      </c>
      <c r="J3" t="s">
        <v>1515</v>
      </c>
      <c r="K3" s="26" t="s">
        <v>524</v>
      </c>
      <c r="L3" s="26" t="s">
        <v>526</v>
      </c>
      <c r="M3" s="26" t="s">
        <v>527</v>
      </c>
      <c r="N3" s="26" t="s">
        <v>528</v>
      </c>
      <c r="O3" s="26">
        <v>843.5</v>
      </c>
      <c r="P3" s="26">
        <v>2</v>
      </c>
      <c r="Q3" s="26"/>
      <c r="R3" s="28" t="s">
        <v>529</v>
      </c>
    </row>
    <row r="4" spans="1:18" ht="15.75" thickBot="1" x14ac:dyDescent="0.3">
      <c r="A4" s="26" t="s">
        <v>522</v>
      </c>
      <c r="B4" s="32">
        <v>46002</v>
      </c>
      <c r="C4" s="26"/>
      <c r="D4" s="31" t="s">
        <v>458</v>
      </c>
      <c r="E4" s="26" t="s">
        <v>661</v>
      </c>
      <c r="F4" s="26" t="s">
        <v>660</v>
      </c>
      <c r="G4" s="26">
        <v>2</v>
      </c>
      <c r="H4" s="26">
        <v>1</v>
      </c>
      <c r="I4" s="2" t="s">
        <v>157</v>
      </c>
      <c r="J4" t="s">
        <v>1515</v>
      </c>
      <c r="K4" s="26" t="s">
        <v>524</v>
      </c>
      <c r="L4" s="26" t="s">
        <v>526</v>
      </c>
      <c r="M4" s="26" t="s">
        <v>527</v>
      </c>
      <c r="N4" s="26" t="s">
        <v>528</v>
      </c>
      <c r="O4" s="26">
        <v>6452</v>
      </c>
      <c r="P4" s="26">
        <v>3</v>
      </c>
      <c r="Q4" s="26"/>
      <c r="R4" s="28" t="s">
        <v>529</v>
      </c>
    </row>
    <row r="5" spans="1:18" ht="15.75" thickBot="1" x14ac:dyDescent="0.3">
      <c r="A5" s="26" t="s">
        <v>522</v>
      </c>
      <c r="B5" s="32">
        <v>46002</v>
      </c>
      <c r="C5" s="26"/>
      <c r="D5" s="31" t="s">
        <v>458</v>
      </c>
      <c r="E5" s="26" t="s">
        <v>664</v>
      </c>
      <c r="F5" s="26" t="s">
        <v>23</v>
      </c>
      <c r="G5" s="26">
        <v>2</v>
      </c>
      <c r="H5" s="26">
        <v>1</v>
      </c>
      <c r="I5" s="2" t="s">
        <v>157</v>
      </c>
      <c r="J5" t="s">
        <v>1515</v>
      </c>
      <c r="K5" s="26" t="s">
        <v>524</v>
      </c>
      <c r="L5" s="26" t="s">
        <v>526</v>
      </c>
      <c r="M5" s="26" t="s">
        <v>527</v>
      </c>
      <c r="N5" s="26" t="s">
        <v>528</v>
      </c>
      <c r="O5" s="26">
        <v>3733.5</v>
      </c>
      <c r="P5" s="26">
        <v>4</v>
      </c>
      <c r="Q5" s="26"/>
      <c r="R5" s="28" t="s">
        <v>529</v>
      </c>
    </row>
    <row r="7" spans="1:18" x14ac:dyDescent="0.25">
      <c r="A7" t="s">
        <v>665</v>
      </c>
    </row>
  </sheetData>
  <autoFilter ref="A1:R1" xr:uid="{00000000-0009-0000-0000-00000C000000}">
    <sortState xmlns:xlrd2="http://schemas.microsoft.com/office/spreadsheetml/2017/richdata2" ref="A2:R5">
      <sortCondition ref="P1"/>
    </sortState>
  </autoFilter>
  <hyperlinks>
    <hyperlink ref="A7" r:id="rId1" display="http://192.168.1.248/downloads/temp/X53920251211Spares.log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Q52"/>
  <sheetViews>
    <sheetView topLeftCell="A28" workbookViewId="0">
      <selection activeCell="A4" sqref="A4:XFD50"/>
    </sheetView>
  </sheetViews>
  <sheetFormatPr defaultColWidth="75.42578125" defaultRowHeight="15" x14ac:dyDescent="0.25"/>
  <cols>
    <col min="1" max="1" width="15.140625" bestFit="1" customWidth="1"/>
    <col min="2" max="2" width="17.85546875" customWidth="1"/>
    <col min="3" max="3" width="14.140625" bestFit="1" customWidth="1"/>
    <col min="4" max="4" width="14.140625" customWidth="1"/>
    <col min="5" max="5" width="32.5703125" bestFit="1" customWidth="1"/>
    <col min="6" max="6" width="9.7109375" bestFit="1" customWidth="1"/>
    <col min="7" max="7" width="7.7109375" bestFit="1" customWidth="1"/>
    <col min="8" max="8" width="12.140625" bestFit="1" customWidth="1"/>
    <col min="9" max="9" width="4.7109375" bestFit="1" customWidth="1"/>
    <col min="10" max="10" width="8" bestFit="1" customWidth="1"/>
    <col min="11" max="11" width="9" customWidth="1"/>
    <col min="12" max="12" width="11.140625" customWidth="1"/>
    <col min="13" max="13" width="7.140625" bestFit="1" customWidth="1"/>
    <col min="14" max="14" width="7.85546875" bestFit="1" customWidth="1"/>
    <col min="15" max="15" width="10.7109375" customWidth="1"/>
    <col min="16" max="16" width="53.85546875" customWidth="1"/>
    <col min="17" max="17" width="21.7109375" customWidth="1"/>
  </cols>
  <sheetData>
    <row r="1" spans="1:17" ht="23.25" x14ac:dyDescent="0.25">
      <c r="A1" s="53" t="s">
        <v>93</v>
      </c>
      <c r="B1" s="53"/>
      <c r="C1" s="53"/>
      <c r="D1" s="53"/>
      <c r="E1" s="53"/>
      <c r="F1" s="53"/>
      <c r="G1" s="2"/>
      <c r="H1" s="2"/>
      <c r="I1" s="2"/>
      <c r="J1" s="54" t="s">
        <v>94</v>
      </c>
      <c r="K1" s="55"/>
      <c r="L1" s="55"/>
      <c r="M1" s="55"/>
      <c r="N1" s="55"/>
      <c r="O1" s="3"/>
      <c r="P1" s="4"/>
    </row>
    <row r="2" spans="1:17" ht="16.5" customHeight="1" x14ac:dyDescent="0.25">
      <c r="A2" s="5" t="s">
        <v>95</v>
      </c>
      <c r="B2" s="6">
        <v>46003</v>
      </c>
      <c r="C2" s="7"/>
      <c r="D2" s="7"/>
      <c r="E2" s="2"/>
      <c r="F2" s="8"/>
      <c r="G2" s="2"/>
      <c r="H2" s="2"/>
      <c r="I2" s="2"/>
      <c r="J2" s="2"/>
      <c r="K2" s="2"/>
      <c r="L2" s="56" t="s">
        <v>96</v>
      </c>
      <c r="M2" s="57"/>
      <c r="N2" s="58"/>
      <c r="O2" s="2"/>
      <c r="P2" s="2"/>
    </row>
    <row r="3" spans="1:17" s="11" customFormat="1" ht="30" x14ac:dyDescent="0.25">
      <c r="A3" s="10" t="s">
        <v>97</v>
      </c>
      <c r="B3" s="10" t="s">
        <v>35</v>
      </c>
      <c r="C3" s="10" t="s">
        <v>0</v>
      </c>
      <c r="D3" s="10" t="s">
        <v>98</v>
      </c>
      <c r="E3" s="10" t="s">
        <v>2</v>
      </c>
      <c r="F3" s="10" t="s">
        <v>36</v>
      </c>
      <c r="G3" s="10" t="s">
        <v>37</v>
      </c>
      <c r="H3" s="10" t="s">
        <v>38</v>
      </c>
      <c r="I3" s="10" t="s">
        <v>99</v>
      </c>
      <c r="J3" s="10" t="s">
        <v>100</v>
      </c>
      <c r="K3" s="10" t="s">
        <v>101</v>
      </c>
      <c r="L3" s="10" t="s">
        <v>102</v>
      </c>
      <c r="M3" s="10" t="s">
        <v>103</v>
      </c>
      <c r="N3" s="10" t="s">
        <v>104</v>
      </c>
      <c r="O3" s="10" t="s">
        <v>96</v>
      </c>
      <c r="P3" s="10" t="s">
        <v>105</v>
      </c>
    </row>
    <row r="4" spans="1:17" x14ac:dyDescent="0.25">
      <c r="A4" s="15" t="s">
        <v>725</v>
      </c>
      <c r="B4" s="18" t="s">
        <v>675</v>
      </c>
      <c r="C4" s="2" t="s">
        <v>5</v>
      </c>
      <c r="D4" s="2" t="str">
        <f>VLOOKUP($C4,Sheet1!$A$2:$B$10,2,0)</f>
        <v>141110-14600</v>
      </c>
      <c r="E4" s="8" t="s">
        <v>40</v>
      </c>
      <c r="F4" s="12">
        <v>46003</v>
      </c>
      <c r="G4" s="13">
        <v>0.27083333333333331</v>
      </c>
      <c r="H4" s="2" t="s">
        <v>41</v>
      </c>
      <c r="I4" s="2" t="s">
        <v>42</v>
      </c>
      <c r="J4" s="2">
        <v>36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1">
        <v>2</v>
      </c>
      <c r="O4" s="2" t="s">
        <v>113</v>
      </c>
      <c r="P4" s="2" t="s">
        <v>885</v>
      </c>
      <c r="Q4">
        <v>10</v>
      </c>
    </row>
    <row r="5" spans="1:17" x14ac:dyDescent="0.25">
      <c r="A5" s="15" t="s">
        <v>725</v>
      </c>
      <c r="B5" s="18" t="s">
        <v>680</v>
      </c>
      <c r="C5" s="2" t="s">
        <v>9</v>
      </c>
      <c r="D5" s="2" t="str">
        <f>VLOOKUP($C5,Sheet1!$A$2:$B$10,2,0)</f>
        <v>141120-14600</v>
      </c>
      <c r="E5" s="8" t="s">
        <v>47</v>
      </c>
      <c r="F5" s="12">
        <v>46003</v>
      </c>
      <c r="G5" s="13">
        <v>0.27083333333333331</v>
      </c>
      <c r="H5" s="2" t="s">
        <v>41</v>
      </c>
      <c r="I5" s="2" t="s">
        <v>42</v>
      </c>
      <c r="J5" s="2">
        <v>36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2"/>
      <c r="O5" s="2" t="s">
        <v>113</v>
      </c>
      <c r="P5" s="2" t="s">
        <v>884</v>
      </c>
      <c r="Q5">
        <v>10</v>
      </c>
    </row>
    <row r="6" spans="1:17" x14ac:dyDescent="0.25">
      <c r="A6" s="15" t="s">
        <v>725</v>
      </c>
      <c r="B6" s="18" t="s">
        <v>676</v>
      </c>
      <c r="C6" s="2" t="s">
        <v>5</v>
      </c>
      <c r="D6" s="2" t="str">
        <f>VLOOKUP($C6,Sheet1!$A$2:$B$10,2,0)</f>
        <v>141110-14600</v>
      </c>
      <c r="E6" s="8" t="s">
        <v>40</v>
      </c>
      <c r="F6" s="12">
        <v>46003</v>
      </c>
      <c r="G6" s="13">
        <v>0.27083333333333331</v>
      </c>
      <c r="H6" s="2" t="s">
        <v>41</v>
      </c>
      <c r="I6" s="2" t="s">
        <v>42</v>
      </c>
      <c r="J6" s="2">
        <v>18</v>
      </c>
      <c r="K6" s="14">
        <f>VLOOKUP($C6,Sheet1!$A$2:$D$10,4,0)</f>
        <v>18</v>
      </c>
      <c r="L6" s="14" t="str">
        <f>VLOOKUP($C6,Sheet1!$A$2:$E$10,5,0)</f>
        <v>Trolley (H)</v>
      </c>
      <c r="M6" s="14"/>
      <c r="N6" s="51">
        <v>1</v>
      </c>
      <c r="O6" s="2" t="s">
        <v>113</v>
      </c>
      <c r="P6" s="2" t="s">
        <v>877</v>
      </c>
    </row>
    <row r="7" spans="1:17" x14ac:dyDescent="0.25">
      <c r="A7" s="15" t="s">
        <v>725</v>
      </c>
      <c r="B7" s="18" t="s">
        <v>681</v>
      </c>
      <c r="C7" s="2" t="s">
        <v>9</v>
      </c>
      <c r="D7" s="2" t="str">
        <f>VLOOKUP($C7,Sheet1!$A$2:$B$10,2,0)</f>
        <v>141120-14600</v>
      </c>
      <c r="E7" s="8" t="s">
        <v>47</v>
      </c>
      <c r="F7" s="12">
        <v>46003</v>
      </c>
      <c r="G7" s="13">
        <v>0.27083333333333331</v>
      </c>
      <c r="H7" s="2" t="s">
        <v>41</v>
      </c>
      <c r="I7" s="2" t="s">
        <v>42</v>
      </c>
      <c r="J7" s="2">
        <v>18</v>
      </c>
      <c r="K7" s="14">
        <f>VLOOKUP($C7,Sheet1!$A$2:$D$10,4,0)</f>
        <v>18</v>
      </c>
      <c r="L7" s="14" t="str">
        <f>VLOOKUP($C7,Sheet1!$A$2:$E$10,5,0)</f>
        <v>Trolley (H)</v>
      </c>
      <c r="M7" s="14"/>
      <c r="N7" s="52"/>
      <c r="O7" s="2" t="s">
        <v>113</v>
      </c>
      <c r="P7" s="2" t="s">
        <v>881</v>
      </c>
    </row>
    <row r="8" spans="1:17" x14ac:dyDescent="0.25">
      <c r="A8" s="15" t="s">
        <v>725</v>
      </c>
      <c r="B8" s="18" t="s">
        <v>685</v>
      </c>
      <c r="C8" s="2" t="s">
        <v>12</v>
      </c>
      <c r="D8" s="2" t="str">
        <f>VLOOKUP($C8,Sheet1!$A$2:$B$10,2,0)</f>
        <v>141185-74670</v>
      </c>
      <c r="E8" s="8" t="s">
        <v>52</v>
      </c>
      <c r="F8" s="12">
        <v>46003</v>
      </c>
      <c r="G8" s="13">
        <v>0.27083333333333331</v>
      </c>
      <c r="H8" s="2" t="s">
        <v>41</v>
      </c>
      <c r="I8" s="2" t="s">
        <v>42</v>
      </c>
      <c r="J8" s="2">
        <v>80</v>
      </c>
      <c r="K8" s="14">
        <f>VLOOKUP($C8,Sheet1!$A$2:$D$10,4,0)</f>
        <v>40</v>
      </c>
      <c r="L8" s="14" t="str">
        <f>VLOOKUP($C8,Sheet1!$A$2:$E$10,5,0)</f>
        <v>Trolley</v>
      </c>
      <c r="M8" s="14"/>
      <c r="N8" s="2">
        <f>J8/K8</f>
        <v>2</v>
      </c>
      <c r="O8" s="2" t="s">
        <v>113</v>
      </c>
      <c r="P8" s="2">
        <v>910103038</v>
      </c>
    </row>
    <row r="9" spans="1:17" x14ac:dyDescent="0.25">
      <c r="A9" s="15" t="s">
        <v>725</v>
      </c>
      <c r="B9" s="18" t="s">
        <v>689</v>
      </c>
      <c r="C9" s="2" t="s">
        <v>16</v>
      </c>
      <c r="D9" s="2" t="str">
        <f>VLOOKUP($C9,Sheet1!$A$2:$B$10,2,0)</f>
        <v>141140-91211</v>
      </c>
      <c r="E9" s="8" t="s">
        <v>57</v>
      </c>
      <c r="F9" s="12">
        <v>46003</v>
      </c>
      <c r="G9" s="13">
        <v>0.27083333333333331</v>
      </c>
      <c r="H9" s="2" t="s">
        <v>58</v>
      </c>
      <c r="I9" s="2" t="s">
        <v>42</v>
      </c>
      <c r="J9" s="2">
        <v>30</v>
      </c>
      <c r="K9" s="14">
        <f>VLOOKUP($C9,Sheet1!$A$2:$D$10,4,0)</f>
        <v>2</v>
      </c>
      <c r="L9" s="14" t="str">
        <f>VLOOKUP($C9,Sheet1!$A$2:$E$10,5,0)</f>
        <v>Bin</v>
      </c>
      <c r="M9" s="14">
        <f>J9/K9</f>
        <v>15</v>
      </c>
      <c r="N9" s="2"/>
      <c r="O9" s="2" t="s">
        <v>113</v>
      </c>
      <c r="P9" s="2" t="s">
        <v>878</v>
      </c>
    </row>
    <row r="10" spans="1:17" x14ac:dyDescent="0.25">
      <c r="A10" s="15" t="s">
        <v>725</v>
      </c>
      <c r="B10" s="18" t="s">
        <v>690</v>
      </c>
      <c r="C10" s="2" t="s">
        <v>16</v>
      </c>
      <c r="D10" s="2" t="str">
        <f>VLOOKUP($C10,Sheet1!$A$2:$B$10,2,0)</f>
        <v>141140-91211</v>
      </c>
      <c r="E10" s="8" t="s">
        <v>57</v>
      </c>
      <c r="F10" s="12">
        <v>46003</v>
      </c>
      <c r="G10" s="13">
        <v>0.27083333333333331</v>
      </c>
      <c r="H10" s="2" t="s">
        <v>58</v>
      </c>
      <c r="I10" s="2" t="s">
        <v>42</v>
      </c>
      <c r="J10" s="2">
        <v>18</v>
      </c>
      <c r="K10" s="14">
        <f>VLOOKUP($C10,Sheet1!$A$2:$D$10,4,0)</f>
        <v>2</v>
      </c>
      <c r="L10" s="14" t="str">
        <f>VLOOKUP($C10,Sheet1!$A$2:$E$10,5,0)</f>
        <v>Bin</v>
      </c>
      <c r="M10" s="14">
        <f t="shared" ref="M10:M12" si="0">J10/K10</f>
        <v>9</v>
      </c>
      <c r="N10" s="2"/>
      <c r="O10" s="2" t="s">
        <v>113</v>
      </c>
      <c r="P10" s="2" t="s">
        <v>878</v>
      </c>
    </row>
    <row r="11" spans="1:17" x14ac:dyDescent="0.25">
      <c r="A11" s="15" t="s">
        <v>725</v>
      </c>
      <c r="B11" s="18" t="s">
        <v>694</v>
      </c>
      <c r="C11" s="2" t="s">
        <v>20</v>
      </c>
      <c r="D11" s="2" t="str">
        <f>VLOOKUP($C11,Sheet1!$A$2:$B$10,2,0)</f>
        <v>141150-91211</v>
      </c>
      <c r="E11" s="8" t="s">
        <v>64</v>
      </c>
      <c r="F11" s="12">
        <v>46003</v>
      </c>
      <c r="G11" s="13">
        <v>0.27083333333333331</v>
      </c>
      <c r="H11" s="2" t="s">
        <v>58</v>
      </c>
      <c r="I11" s="2" t="s">
        <v>42</v>
      </c>
      <c r="J11" s="2">
        <v>30</v>
      </c>
      <c r="K11" s="14">
        <f>VLOOKUP($C11,Sheet1!$A$2:$D$10,4,0)</f>
        <v>2</v>
      </c>
      <c r="L11" s="14" t="str">
        <f>VLOOKUP($C11,Sheet1!$A$2:$E$10,5,0)</f>
        <v>Bin</v>
      </c>
      <c r="M11" s="14">
        <f t="shared" si="0"/>
        <v>15</v>
      </c>
      <c r="N11" s="2"/>
      <c r="O11" s="2" t="s">
        <v>113</v>
      </c>
      <c r="P11" s="2" t="s">
        <v>878</v>
      </c>
    </row>
    <row r="12" spans="1:17" x14ac:dyDescent="0.25">
      <c r="A12" s="15" t="s">
        <v>725</v>
      </c>
      <c r="B12" s="18" t="s">
        <v>695</v>
      </c>
      <c r="C12" s="2" t="s">
        <v>20</v>
      </c>
      <c r="D12" s="2" t="str">
        <f>VLOOKUP($C12,Sheet1!$A$2:$B$10,2,0)</f>
        <v>141150-91211</v>
      </c>
      <c r="E12" s="8" t="s">
        <v>64</v>
      </c>
      <c r="F12" s="12">
        <v>46003</v>
      </c>
      <c r="G12" s="13">
        <v>0.27083333333333331</v>
      </c>
      <c r="H12" s="2" t="s">
        <v>58</v>
      </c>
      <c r="I12" s="2" t="s">
        <v>42</v>
      </c>
      <c r="J12" s="2">
        <v>16</v>
      </c>
      <c r="K12" s="14">
        <f>VLOOKUP($C12,Sheet1!$A$2:$D$10,4,0)</f>
        <v>2</v>
      </c>
      <c r="L12" s="14" t="str">
        <f>VLOOKUP($C12,Sheet1!$A$2:$E$10,5,0)</f>
        <v>Bin</v>
      </c>
      <c r="M12" s="14">
        <f t="shared" si="0"/>
        <v>8</v>
      </c>
      <c r="N12" s="2"/>
      <c r="O12" s="2" t="s">
        <v>113</v>
      </c>
      <c r="P12" s="2" t="s">
        <v>878</v>
      </c>
    </row>
    <row r="13" spans="1:17" x14ac:dyDescent="0.25">
      <c r="A13" s="15" t="s">
        <v>725</v>
      </c>
      <c r="B13" s="18" t="s">
        <v>699</v>
      </c>
      <c r="C13" s="2" t="s">
        <v>23</v>
      </c>
      <c r="D13" s="2" t="str">
        <f>VLOOKUP($C13,Sheet1!$A$2:$B$10,2,0)</f>
        <v>141186-74360</v>
      </c>
      <c r="E13" s="8" t="s">
        <v>70</v>
      </c>
      <c r="F13" s="12">
        <v>46003</v>
      </c>
      <c r="G13" s="13">
        <v>0.27083333333333331</v>
      </c>
      <c r="H13" s="2" t="s">
        <v>58</v>
      </c>
      <c r="I13" s="2" t="s">
        <v>42</v>
      </c>
      <c r="J13" s="2">
        <v>40</v>
      </c>
      <c r="K13" s="14">
        <f>VLOOKUP($C13,Sheet1!$A$2:$D$10,4,0)</f>
        <v>40</v>
      </c>
      <c r="L13" s="14" t="str">
        <f>VLOOKUP($C13,Sheet1!$A$2:$E$10,5,0)</f>
        <v>Trolley</v>
      </c>
      <c r="M13" s="14"/>
      <c r="N13" s="2">
        <f>J13/K13</f>
        <v>1</v>
      </c>
      <c r="O13" s="2" t="s">
        <v>113</v>
      </c>
      <c r="P13" s="2">
        <v>910100866</v>
      </c>
    </row>
    <row r="14" spans="1:17" x14ac:dyDescent="0.25">
      <c r="A14" s="15" t="s">
        <v>726</v>
      </c>
      <c r="B14" s="18" t="s">
        <v>703</v>
      </c>
      <c r="C14" s="2" t="s">
        <v>26</v>
      </c>
      <c r="D14" s="2" t="str">
        <f>VLOOKUP($C14,Sheet1!$A$2:$B$10,2,0)</f>
        <v>116040-92240</v>
      </c>
      <c r="E14" s="8" t="s">
        <v>75</v>
      </c>
      <c r="F14" s="12">
        <v>46003</v>
      </c>
      <c r="G14" s="13">
        <v>0.27083333333333331</v>
      </c>
      <c r="H14" s="2" t="s">
        <v>76</v>
      </c>
      <c r="I14" s="2" t="s">
        <v>42</v>
      </c>
      <c r="J14" s="2">
        <v>30</v>
      </c>
      <c r="K14" s="14">
        <f>VLOOKUP($C14,Sheet1!$A$2:$D$10,4,0)</f>
        <v>6</v>
      </c>
      <c r="L14" s="14" t="str">
        <f>VLOOKUP($C14,Sheet1!$A$2:$E$10,5,0)</f>
        <v>Bin</v>
      </c>
      <c r="M14" s="14">
        <f t="shared" ref="M14:M19" si="1">J14/K14</f>
        <v>5</v>
      </c>
      <c r="N14" s="2"/>
      <c r="O14" s="2" t="s">
        <v>113</v>
      </c>
      <c r="P14" s="2" t="s">
        <v>882</v>
      </c>
    </row>
    <row r="15" spans="1:17" x14ac:dyDescent="0.25">
      <c r="A15" s="15" t="s">
        <v>726</v>
      </c>
      <c r="B15" s="18" t="s">
        <v>704</v>
      </c>
      <c r="C15" s="2" t="s">
        <v>26</v>
      </c>
      <c r="D15" s="2" t="str">
        <f>VLOOKUP($C15,Sheet1!$A$2:$B$10,2,0)</f>
        <v>116040-92240</v>
      </c>
      <c r="E15" s="8" t="s">
        <v>75</v>
      </c>
      <c r="F15" s="12">
        <v>46003</v>
      </c>
      <c r="G15" s="13">
        <v>0.27083333333333331</v>
      </c>
      <c r="H15" s="2" t="s">
        <v>76</v>
      </c>
      <c r="I15" s="2" t="s">
        <v>42</v>
      </c>
      <c r="J15" s="2">
        <v>18</v>
      </c>
      <c r="K15" s="14">
        <f>VLOOKUP($C15,Sheet1!$A$2:$D$10,4,0)</f>
        <v>6</v>
      </c>
      <c r="L15" s="14" t="str">
        <f>VLOOKUP($C15,Sheet1!$A$2:$E$10,5,0)</f>
        <v>Bin</v>
      </c>
      <c r="M15" s="14">
        <f t="shared" si="1"/>
        <v>3</v>
      </c>
      <c r="N15" s="2"/>
      <c r="O15" s="2" t="s">
        <v>113</v>
      </c>
      <c r="P15" s="2" t="s">
        <v>882</v>
      </c>
    </row>
    <row r="16" spans="1:17" x14ac:dyDescent="0.25">
      <c r="A16" s="15" t="s">
        <v>726</v>
      </c>
      <c r="B16" s="18" t="s">
        <v>708</v>
      </c>
      <c r="C16" s="2" t="s">
        <v>32</v>
      </c>
      <c r="D16" s="2" t="str">
        <f>VLOOKUP($C16,Sheet1!$A$2:$B$10,2,0)</f>
        <v>114010-50820</v>
      </c>
      <c r="E16" s="8" t="s">
        <v>82</v>
      </c>
      <c r="F16" s="12">
        <v>46003</v>
      </c>
      <c r="G16" s="13">
        <v>0.27083333333333331</v>
      </c>
      <c r="H16" s="2" t="s">
        <v>76</v>
      </c>
      <c r="I16" s="2" t="s">
        <v>42</v>
      </c>
      <c r="J16" s="2">
        <v>13</v>
      </c>
      <c r="K16" s="14">
        <f>VLOOKUP($C16,Sheet1!$A$2:$D$10,4,0)</f>
        <v>1</v>
      </c>
      <c r="L16" s="14" t="str">
        <f>VLOOKUP($C16,Sheet1!$A$2:$E$10,5,0)</f>
        <v>Bin</v>
      </c>
      <c r="M16" s="14">
        <f t="shared" si="1"/>
        <v>13</v>
      </c>
      <c r="N16" s="2"/>
      <c r="O16" s="2" t="s">
        <v>113</v>
      </c>
      <c r="P16" s="2" t="s">
        <v>883</v>
      </c>
    </row>
    <row r="17" spans="1:16" x14ac:dyDescent="0.25">
      <c r="A17" s="15" t="s">
        <v>726</v>
      </c>
      <c r="B17" s="18" t="s">
        <v>709</v>
      </c>
      <c r="C17" s="2" t="s">
        <v>32</v>
      </c>
      <c r="D17" s="2" t="str">
        <f>VLOOKUP($C17,Sheet1!$A$2:$B$10,2,0)</f>
        <v>114010-50820</v>
      </c>
      <c r="E17" s="8" t="s">
        <v>82</v>
      </c>
      <c r="F17" s="12">
        <v>46003</v>
      </c>
      <c r="G17" s="13">
        <v>0.27083333333333331</v>
      </c>
      <c r="H17" s="2" t="s">
        <v>76</v>
      </c>
      <c r="I17" s="2" t="s">
        <v>42</v>
      </c>
      <c r="J17" s="2">
        <v>9</v>
      </c>
      <c r="K17" s="14">
        <f>VLOOKUP($C17,Sheet1!$A$2:$D$10,4,0)</f>
        <v>1</v>
      </c>
      <c r="L17" s="14" t="str">
        <f>VLOOKUP($C17,Sheet1!$A$2:$E$10,5,0)</f>
        <v>Bin</v>
      </c>
      <c r="M17" s="14">
        <f t="shared" si="1"/>
        <v>9</v>
      </c>
      <c r="N17" s="2"/>
      <c r="O17" s="2" t="s">
        <v>113</v>
      </c>
      <c r="P17" s="2" t="s">
        <v>883</v>
      </c>
    </row>
    <row r="18" spans="1:16" x14ac:dyDescent="0.25">
      <c r="A18" s="15" t="s">
        <v>726</v>
      </c>
      <c r="B18" s="18" t="s">
        <v>713</v>
      </c>
      <c r="C18" s="2" t="s">
        <v>29</v>
      </c>
      <c r="D18" s="2" t="str">
        <f>VLOOKUP($C18,Sheet1!$A$2:$B$10,2,0)</f>
        <v>114010-50830</v>
      </c>
      <c r="E18" s="8" t="s">
        <v>82</v>
      </c>
      <c r="F18" s="12">
        <v>46003</v>
      </c>
      <c r="G18" s="13">
        <v>0.27083333333333331</v>
      </c>
      <c r="H18" s="2" t="s">
        <v>76</v>
      </c>
      <c r="I18" s="2" t="s">
        <v>42</v>
      </c>
      <c r="J18" s="2">
        <v>17</v>
      </c>
      <c r="K18" s="14">
        <f>VLOOKUP($C18,Sheet1!$A$2:$D$10,4,0)</f>
        <v>1</v>
      </c>
      <c r="L18" s="14" t="str">
        <f>VLOOKUP($C18,Sheet1!$A$2:$E$10,5,0)</f>
        <v>Bin</v>
      </c>
      <c r="M18" s="14">
        <f t="shared" si="1"/>
        <v>17</v>
      </c>
      <c r="N18" s="2"/>
      <c r="O18" s="2" t="s">
        <v>113</v>
      </c>
      <c r="P18" s="2" t="s">
        <v>169</v>
      </c>
    </row>
    <row r="19" spans="1:16" x14ac:dyDescent="0.25">
      <c r="A19" s="15" t="s">
        <v>726</v>
      </c>
      <c r="B19" s="18" t="s">
        <v>714</v>
      </c>
      <c r="C19" s="2" t="s">
        <v>29</v>
      </c>
      <c r="D19" s="2" t="str">
        <f>VLOOKUP($C19,Sheet1!$A$2:$B$10,2,0)</f>
        <v>114010-50830</v>
      </c>
      <c r="E19" s="8" t="s">
        <v>82</v>
      </c>
      <c r="F19" s="12">
        <v>46003</v>
      </c>
      <c r="G19" s="13">
        <v>0.27083333333333331</v>
      </c>
      <c r="H19" s="2" t="s">
        <v>76</v>
      </c>
      <c r="I19" s="2" t="s">
        <v>42</v>
      </c>
      <c r="J19" s="2">
        <v>8</v>
      </c>
      <c r="K19" s="14">
        <f>VLOOKUP($C19,Sheet1!$A$2:$D$10,4,0)</f>
        <v>1</v>
      </c>
      <c r="L19" s="14" t="str">
        <f>VLOOKUP($C19,Sheet1!$A$2:$E$10,5,0)</f>
        <v>Bin</v>
      </c>
      <c r="M19" s="14">
        <f t="shared" si="1"/>
        <v>8</v>
      </c>
      <c r="N19" s="2"/>
      <c r="O19" s="2" t="s">
        <v>113</v>
      </c>
      <c r="P19" s="2" t="s">
        <v>169</v>
      </c>
    </row>
    <row r="20" spans="1:16" s="11" customFormat="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>
        <v>102</v>
      </c>
      <c r="N20" s="10">
        <v>6</v>
      </c>
      <c r="O20" s="10"/>
      <c r="P20" s="10"/>
    </row>
    <row r="21" spans="1:16" x14ac:dyDescent="0.25">
      <c r="A21" s="15" t="s">
        <v>727</v>
      </c>
      <c r="B21" s="18" t="s">
        <v>677</v>
      </c>
      <c r="C21" s="2" t="s">
        <v>5</v>
      </c>
      <c r="D21" s="2" t="str">
        <f>VLOOKUP($C21,Sheet1!$A$2:$B$10,2,0)</f>
        <v>141110-14600</v>
      </c>
      <c r="E21" s="8" t="s">
        <v>40</v>
      </c>
      <c r="F21" s="12">
        <v>46003</v>
      </c>
      <c r="G21" s="13">
        <v>0.5625</v>
      </c>
      <c r="H21" s="2" t="s">
        <v>41</v>
      </c>
      <c r="I21" s="2" t="s">
        <v>42</v>
      </c>
      <c r="J21" s="2">
        <v>18</v>
      </c>
      <c r="K21" s="14">
        <f>VLOOKUP($C21,Sheet1!$A$2:$D$10,4,0)</f>
        <v>18</v>
      </c>
      <c r="L21" s="14" t="str">
        <f>VLOOKUP($C21,Sheet1!$A$2:$E$10,5,0)</f>
        <v>Trolley (H)</v>
      </c>
      <c r="M21" s="14"/>
      <c r="N21" s="51">
        <v>1</v>
      </c>
      <c r="O21" s="2" t="s">
        <v>157</v>
      </c>
      <c r="P21" s="2" t="s">
        <v>877</v>
      </c>
    </row>
    <row r="22" spans="1:16" x14ac:dyDescent="0.25">
      <c r="A22" s="15" t="s">
        <v>727</v>
      </c>
      <c r="B22" s="18" t="s">
        <v>682</v>
      </c>
      <c r="C22" s="2" t="s">
        <v>9</v>
      </c>
      <c r="D22" s="2" t="str">
        <f>VLOOKUP($C22,Sheet1!$A$2:$B$10,2,0)</f>
        <v>141120-14600</v>
      </c>
      <c r="E22" s="8" t="s">
        <v>47</v>
      </c>
      <c r="F22" s="12">
        <v>46003</v>
      </c>
      <c r="G22" s="13">
        <v>0.5625</v>
      </c>
      <c r="H22" s="2" t="s">
        <v>41</v>
      </c>
      <c r="I22" s="2" t="s">
        <v>42</v>
      </c>
      <c r="J22" s="2">
        <v>18</v>
      </c>
      <c r="K22" s="14">
        <f>VLOOKUP($C22,Sheet1!$A$2:$D$10,4,0)</f>
        <v>18</v>
      </c>
      <c r="L22" s="14" t="str">
        <f>VLOOKUP($C22,Sheet1!$A$2:$E$10,5,0)</f>
        <v>Trolley (H)</v>
      </c>
      <c r="M22" s="14"/>
      <c r="N22" s="52"/>
      <c r="O22" s="2" t="s">
        <v>157</v>
      </c>
      <c r="P22" s="2" t="s">
        <v>886</v>
      </c>
    </row>
    <row r="23" spans="1:16" x14ac:dyDescent="0.25">
      <c r="A23" s="15" t="s">
        <v>727</v>
      </c>
      <c r="B23" s="18" t="s">
        <v>686</v>
      </c>
      <c r="C23" s="2" t="s">
        <v>12</v>
      </c>
      <c r="D23" s="2" t="str">
        <f>VLOOKUP($C23,Sheet1!$A$2:$B$10,2,0)</f>
        <v>141185-74670</v>
      </c>
      <c r="E23" s="8" t="s">
        <v>52</v>
      </c>
      <c r="F23" s="12">
        <v>46003</v>
      </c>
      <c r="G23" s="13">
        <v>0.5625</v>
      </c>
      <c r="H23" s="2" t="s">
        <v>41</v>
      </c>
      <c r="I23" s="2" t="s">
        <v>42</v>
      </c>
      <c r="J23" s="2">
        <v>40</v>
      </c>
      <c r="K23" s="14">
        <f>VLOOKUP($C23,Sheet1!$A$2:$D$10,4,0)</f>
        <v>40</v>
      </c>
      <c r="L23" s="14" t="str">
        <f>VLOOKUP($C23,Sheet1!$A$2:$E$10,5,0)</f>
        <v>Trolley</v>
      </c>
      <c r="M23" s="14"/>
      <c r="N23" s="2">
        <f>J23/K23</f>
        <v>1</v>
      </c>
      <c r="O23" s="2" t="s">
        <v>157</v>
      </c>
      <c r="P23" s="2">
        <v>910103038</v>
      </c>
    </row>
    <row r="24" spans="1:16" x14ac:dyDescent="0.25">
      <c r="A24" s="15" t="s">
        <v>727</v>
      </c>
      <c r="B24" s="18" t="s">
        <v>691</v>
      </c>
      <c r="C24" s="2" t="s">
        <v>16</v>
      </c>
      <c r="D24" s="2" t="str">
        <f>VLOOKUP($C24,Sheet1!$A$2:$B$10,2,0)</f>
        <v>141140-91211</v>
      </c>
      <c r="E24" s="8" t="s">
        <v>57</v>
      </c>
      <c r="F24" s="12">
        <v>46003</v>
      </c>
      <c r="G24" s="13">
        <v>0.5625</v>
      </c>
      <c r="H24" s="2" t="s">
        <v>58</v>
      </c>
      <c r="I24" s="2" t="s">
        <v>42</v>
      </c>
      <c r="J24" s="2">
        <v>30</v>
      </c>
      <c r="K24" s="14">
        <f>VLOOKUP($C24,Sheet1!$A$2:$D$10,4,0)</f>
        <v>2</v>
      </c>
      <c r="L24" s="14" t="str">
        <f>VLOOKUP($C24,Sheet1!$A$2:$E$10,5,0)</f>
        <v>Bin</v>
      </c>
      <c r="M24" s="14">
        <f t="shared" ref="M24:M25" si="2">J24/K24</f>
        <v>15</v>
      </c>
      <c r="N24" s="2"/>
      <c r="O24" s="2" t="s">
        <v>157</v>
      </c>
      <c r="P24" s="2" t="s">
        <v>878</v>
      </c>
    </row>
    <row r="25" spans="1:16" x14ac:dyDescent="0.25">
      <c r="A25" s="15" t="s">
        <v>727</v>
      </c>
      <c r="B25" s="18" t="s">
        <v>696</v>
      </c>
      <c r="C25" s="2" t="s">
        <v>20</v>
      </c>
      <c r="D25" s="2" t="str">
        <f>VLOOKUP($C25,Sheet1!$A$2:$B$10,2,0)</f>
        <v>141150-91211</v>
      </c>
      <c r="E25" s="8" t="s">
        <v>64</v>
      </c>
      <c r="F25" s="12">
        <v>46003</v>
      </c>
      <c r="G25" s="13">
        <v>0.5625</v>
      </c>
      <c r="H25" s="2" t="s">
        <v>58</v>
      </c>
      <c r="I25" s="2" t="s">
        <v>42</v>
      </c>
      <c r="J25" s="2">
        <v>30</v>
      </c>
      <c r="K25" s="14">
        <f>VLOOKUP($C25,Sheet1!$A$2:$D$10,4,0)</f>
        <v>2</v>
      </c>
      <c r="L25" s="14" t="str">
        <f>VLOOKUP($C25,Sheet1!$A$2:$E$10,5,0)</f>
        <v>Bin</v>
      </c>
      <c r="M25" s="14">
        <f t="shared" si="2"/>
        <v>15</v>
      </c>
      <c r="N25" s="2"/>
      <c r="O25" s="2" t="s">
        <v>157</v>
      </c>
      <c r="P25" s="2" t="s">
        <v>878</v>
      </c>
    </row>
    <row r="26" spans="1:16" x14ac:dyDescent="0.25">
      <c r="A26" s="15" t="s">
        <v>727</v>
      </c>
      <c r="B26" s="18" t="s">
        <v>700</v>
      </c>
      <c r="C26" s="2" t="s">
        <v>23</v>
      </c>
      <c r="D26" s="2" t="str">
        <f>VLOOKUP($C26,Sheet1!$A$2:$B$10,2,0)</f>
        <v>141186-74360</v>
      </c>
      <c r="E26" s="8" t="s">
        <v>70</v>
      </c>
      <c r="F26" s="12">
        <v>46003</v>
      </c>
      <c r="G26" s="13">
        <v>0.5625</v>
      </c>
      <c r="H26" s="2" t="s">
        <v>58</v>
      </c>
      <c r="I26" s="2" t="s">
        <v>42</v>
      </c>
      <c r="J26" s="2">
        <v>80</v>
      </c>
      <c r="K26" s="14">
        <f>VLOOKUP($C26,Sheet1!$A$2:$D$10,4,0)</f>
        <v>40</v>
      </c>
      <c r="L26" s="14" t="str">
        <f>VLOOKUP($C26,Sheet1!$A$2:$E$10,5,0)</f>
        <v>Trolley</v>
      </c>
      <c r="M26" s="14"/>
      <c r="N26" s="2">
        <f>J26/K26</f>
        <v>2</v>
      </c>
      <c r="O26" s="2" t="s">
        <v>157</v>
      </c>
      <c r="P26" s="2">
        <v>910100866</v>
      </c>
    </row>
    <row r="27" spans="1:16" x14ac:dyDescent="0.25">
      <c r="A27" s="15" t="s">
        <v>728</v>
      </c>
      <c r="B27" s="18" t="s">
        <v>705</v>
      </c>
      <c r="C27" s="2" t="s">
        <v>26</v>
      </c>
      <c r="D27" s="2" t="str">
        <f>VLOOKUP($C27,Sheet1!$A$2:$B$10,2,0)</f>
        <v>116040-92240</v>
      </c>
      <c r="E27" s="8" t="s">
        <v>75</v>
      </c>
      <c r="F27" s="12">
        <v>46003</v>
      </c>
      <c r="G27" s="13">
        <v>0.5625</v>
      </c>
      <c r="H27" s="2" t="s">
        <v>76</v>
      </c>
      <c r="I27" s="2" t="s">
        <v>42</v>
      </c>
      <c r="J27" s="2">
        <v>30</v>
      </c>
      <c r="K27" s="14">
        <f>VLOOKUP($C27,Sheet1!$A$2:$D$10,4,0)</f>
        <v>6</v>
      </c>
      <c r="L27" s="14" t="str">
        <f>VLOOKUP($C27,Sheet1!$A$2:$E$10,5,0)</f>
        <v>Bin</v>
      </c>
      <c r="M27" s="14">
        <f t="shared" ref="M27:M29" si="3">J27/K27</f>
        <v>5</v>
      </c>
      <c r="N27" s="2"/>
      <c r="O27" s="2" t="s">
        <v>157</v>
      </c>
      <c r="P27" s="2" t="s">
        <v>882</v>
      </c>
    </row>
    <row r="28" spans="1:16" x14ac:dyDescent="0.25">
      <c r="A28" s="15" t="s">
        <v>728</v>
      </c>
      <c r="B28" s="18" t="s">
        <v>710</v>
      </c>
      <c r="C28" s="2" t="s">
        <v>32</v>
      </c>
      <c r="D28" s="2" t="str">
        <f>VLOOKUP($C28,Sheet1!$A$2:$B$10,2,0)</f>
        <v>114010-50820</v>
      </c>
      <c r="E28" s="8" t="s">
        <v>82</v>
      </c>
      <c r="F28" s="12">
        <v>46003</v>
      </c>
      <c r="G28" s="13">
        <v>0.5625</v>
      </c>
      <c r="H28" s="2" t="s">
        <v>76</v>
      </c>
      <c r="I28" s="2" t="s">
        <v>42</v>
      </c>
      <c r="J28" s="2">
        <v>7</v>
      </c>
      <c r="K28" s="14">
        <f>VLOOKUP($C28,Sheet1!$A$2:$D$10,4,0)</f>
        <v>1</v>
      </c>
      <c r="L28" s="14" t="str">
        <f>VLOOKUP($C28,Sheet1!$A$2:$E$10,5,0)</f>
        <v>Bin</v>
      </c>
      <c r="M28" s="14">
        <f t="shared" si="3"/>
        <v>7</v>
      </c>
      <c r="N28" s="2"/>
      <c r="O28" s="2" t="s">
        <v>157</v>
      </c>
      <c r="P28" s="2" t="s">
        <v>883</v>
      </c>
    </row>
    <row r="29" spans="1:16" x14ac:dyDescent="0.25">
      <c r="A29" s="15" t="s">
        <v>728</v>
      </c>
      <c r="B29" s="18" t="s">
        <v>715</v>
      </c>
      <c r="C29" s="2" t="s">
        <v>29</v>
      </c>
      <c r="D29" s="2" t="str">
        <f>VLOOKUP($C29,Sheet1!$A$2:$B$10,2,0)</f>
        <v>114010-50830</v>
      </c>
      <c r="E29" s="8" t="s">
        <v>82</v>
      </c>
      <c r="F29" s="12">
        <v>46003</v>
      </c>
      <c r="G29" s="13">
        <v>0.5625</v>
      </c>
      <c r="H29" s="2" t="s">
        <v>76</v>
      </c>
      <c r="I29" s="2" t="s">
        <v>42</v>
      </c>
      <c r="J29" s="2">
        <v>23</v>
      </c>
      <c r="K29" s="14">
        <f>VLOOKUP($C29,Sheet1!$A$2:$D$10,4,0)</f>
        <v>1</v>
      </c>
      <c r="L29" s="14" t="str">
        <f>VLOOKUP($C29,Sheet1!$A$2:$E$10,5,0)</f>
        <v>Bin</v>
      </c>
      <c r="M29" s="14">
        <f t="shared" si="3"/>
        <v>23</v>
      </c>
      <c r="N29" s="2"/>
      <c r="O29" s="2" t="s">
        <v>157</v>
      </c>
      <c r="P29" s="2" t="s">
        <v>169</v>
      </c>
    </row>
    <row r="30" spans="1:16" s="11" customForma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>
        <v>65</v>
      </c>
      <c r="N30" s="10">
        <v>4</v>
      </c>
      <c r="O30" s="10"/>
      <c r="P30" s="10"/>
    </row>
    <row r="31" spans="1:16" x14ac:dyDescent="0.25">
      <c r="A31" s="15" t="s">
        <v>729</v>
      </c>
      <c r="B31" s="18" t="s">
        <v>678</v>
      </c>
      <c r="C31" s="2" t="s">
        <v>5</v>
      </c>
      <c r="D31" s="2" t="str">
        <f>VLOOKUP($C31,Sheet1!$A$2:$B$10,2,0)</f>
        <v>141110-14600</v>
      </c>
      <c r="E31" s="8" t="s">
        <v>40</v>
      </c>
      <c r="F31" s="12">
        <v>46003</v>
      </c>
      <c r="G31" s="13">
        <v>0.64583333333333337</v>
      </c>
      <c r="H31" s="2" t="s">
        <v>41</v>
      </c>
      <c r="I31" s="2" t="s">
        <v>42</v>
      </c>
      <c r="J31" s="2">
        <v>36</v>
      </c>
      <c r="K31" s="14">
        <f>VLOOKUP($C31,Sheet1!$A$2:$D$10,4,0)</f>
        <v>18</v>
      </c>
      <c r="L31" s="14" t="str">
        <f>VLOOKUP($C31,Sheet1!$A$2:$E$10,5,0)</f>
        <v>Trolley (H)</v>
      </c>
      <c r="M31" s="14"/>
      <c r="N31" s="51">
        <v>2</v>
      </c>
      <c r="O31" s="2" t="s">
        <v>112</v>
      </c>
      <c r="P31" s="2" t="s">
        <v>887</v>
      </c>
    </row>
    <row r="32" spans="1:16" x14ac:dyDescent="0.25">
      <c r="A32" s="15" t="s">
        <v>729</v>
      </c>
      <c r="B32" s="18" t="s">
        <v>683</v>
      </c>
      <c r="C32" s="2" t="s">
        <v>9</v>
      </c>
      <c r="D32" s="2" t="str">
        <f>VLOOKUP($C32,Sheet1!$A$2:$B$10,2,0)</f>
        <v>141120-14600</v>
      </c>
      <c r="E32" s="8" t="s">
        <v>47</v>
      </c>
      <c r="F32" s="12">
        <v>46003</v>
      </c>
      <c r="G32" s="13">
        <v>0.64583333333333337</v>
      </c>
      <c r="H32" s="2" t="s">
        <v>41</v>
      </c>
      <c r="I32" s="2" t="s">
        <v>42</v>
      </c>
      <c r="J32" s="2">
        <v>36</v>
      </c>
      <c r="K32" s="14">
        <f>VLOOKUP($C32,Sheet1!$A$2:$D$10,4,0)</f>
        <v>18</v>
      </c>
      <c r="L32" s="14" t="str">
        <f>VLOOKUP($C32,Sheet1!$A$2:$E$10,5,0)</f>
        <v>Trolley (H)</v>
      </c>
      <c r="M32" s="14"/>
      <c r="N32" s="52"/>
      <c r="O32" s="2" t="s">
        <v>112</v>
      </c>
      <c r="P32" s="2" t="s">
        <v>888</v>
      </c>
    </row>
    <row r="33" spans="1:16" x14ac:dyDescent="0.25">
      <c r="A33" s="15" t="s">
        <v>729</v>
      </c>
      <c r="B33" s="18" t="s">
        <v>687</v>
      </c>
      <c r="C33" s="2" t="s">
        <v>12</v>
      </c>
      <c r="D33" s="2" t="str">
        <f>VLOOKUP($C33,Sheet1!$A$2:$B$10,2,0)</f>
        <v>141185-74670</v>
      </c>
      <c r="E33" s="8" t="s">
        <v>52</v>
      </c>
      <c r="F33" s="12">
        <v>46003</v>
      </c>
      <c r="G33" s="13">
        <v>0.64583333333333337</v>
      </c>
      <c r="H33" s="2" t="s">
        <v>41</v>
      </c>
      <c r="I33" s="2" t="s">
        <v>42</v>
      </c>
      <c r="J33" s="2">
        <v>80</v>
      </c>
      <c r="K33" s="14">
        <f>VLOOKUP($C33,Sheet1!$A$2:$D$10,4,0)</f>
        <v>40</v>
      </c>
      <c r="L33" s="14" t="str">
        <f>VLOOKUP($C33,Sheet1!$A$2:$E$10,5,0)</f>
        <v>Trolley</v>
      </c>
      <c r="M33" s="14"/>
      <c r="N33" s="2">
        <f>J33/K33</f>
        <v>2</v>
      </c>
      <c r="O33" s="2" t="s">
        <v>112</v>
      </c>
      <c r="P33" s="2" t="s">
        <v>889</v>
      </c>
    </row>
    <row r="34" spans="1:16" x14ac:dyDescent="0.25">
      <c r="A34" s="15" t="s">
        <v>729</v>
      </c>
      <c r="B34" s="18" t="s">
        <v>692</v>
      </c>
      <c r="C34" s="2" t="s">
        <v>16</v>
      </c>
      <c r="D34" s="2" t="str">
        <f>VLOOKUP($C34,Sheet1!$A$2:$B$10,2,0)</f>
        <v>141140-91211</v>
      </c>
      <c r="E34" s="8" t="s">
        <v>57</v>
      </c>
      <c r="F34" s="12">
        <v>46003</v>
      </c>
      <c r="G34" s="13">
        <v>0.64583333333333337</v>
      </c>
      <c r="H34" s="2" t="s">
        <v>58</v>
      </c>
      <c r="I34" s="2" t="s">
        <v>42</v>
      </c>
      <c r="J34" s="2">
        <v>30</v>
      </c>
      <c r="K34" s="14">
        <f>VLOOKUP($C34,Sheet1!$A$2:$D$10,4,0)</f>
        <v>2</v>
      </c>
      <c r="L34" s="14" t="str">
        <f>VLOOKUP($C34,Sheet1!$A$2:$E$10,5,0)</f>
        <v>Bin</v>
      </c>
      <c r="M34" s="14">
        <f t="shared" ref="M34:M35" si="4">J34/K34</f>
        <v>15</v>
      </c>
      <c r="N34" s="2"/>
      <c r="O34" s="2" t="s">
        <v>112</v>
      </c>
      <c r="P34" s="2" t="s">
        <v>878</v>
      </c>
    </row>
    <row r="35" spans="1:16" x14ac:dyDescent="0.25">
      <c r="A35" s="15" t="s">
        <v>729</v>
      </c>
      <c r="B35" s="18" t="s">
        <v>697</v>
      </c>
      <c r="C35" s="2" t="s">
        <v>20</v>
      </c>
      <c r="D35" s="2" t="str">
        <f>VLOOKUP($C35,Sheet1!$A$2:$B$10,2,0)</f>
        <v>141150-91211</v>
      </c>
      <c r="E35" s="8" t="s">
        <v>64</v>
      </c>
      <c r="F35" s="12">
        <v>46003</v>
      </c>
      <c r="G35" s="13">
        <v>0.64583333333333337</v>
      </c>
      <c r="H35" s="2" t="s">
        <v>58</v>
      </c>
      <c r="I35" s="2" t="s">
        <v>42</v>
      </c>
      <c r="J35" s="2">
        <v>30</v>
      </c>
      <c r="K35" s="14">
        <f>VLOOKUP($C35,Sheet1!$A$2:$D$10,4,0)</f>
        <v>2</v>
      </c>
      <c r="L35" s="14" t="str">
        <f>VLOOKUP($C35,Sheet1!$A$2:$E$10,5,0)</f>
        <v>Bin</v>
      </c>
      <c r="M35" s="14">
        <f t="shared" si="4"/>
        <v>15</v>
      </c>
      <c r="N35" s="2"/>
      <c r="O35" s="2" t="s">
        <v>112</v>
      </c>
      <c r="P35" s="2" t="s">
        <v>878</v>
      </c>
    </row>
    <row r="36" spans="1:16" x14ac:dyDescent="0.25">
      <c r="A36" s="15" t="s">
        <v>729</v>
      </c>
      <c r="B36" s="18" t="s">
        <v>701</v>
      </c>
      <c r="C36" s="2" t="s">
        <v>23</v>
      </c>
      <c r="D36" s="2" t="str">
        <f>VLOOKUP($C36,Sheet1!$A$2:$B$10,2,0)</f>
        <v>141186-74360</v>
      </c>
      <c r="E36" s="8" t="s">
        <v>70</v>
      </c>
      <c r="F36" s="12">
        <v>46003</v>
      </c>
      <c r="G36" s="13">
        <v>0.64583333333333337</v>
      </c>
      <c r="H36" s="2" t="s">
        <v>58</v>
      </c>
      <c r="I36" s="2" t="s">
        <v>42</v>
      </c>
      <c r="J36" s="2">
        <v>40</v>
      </c>
      <c r="K36" s="14">
        <f>VLOOKUP($C36,Sheet1!$A$2:$D$10,4,0)</f>
        <v>40</v>
      </c>
      <c r="L36" s="14" t="str">
        <f>VLOOKUP($C36,Sheet1!$A$2:$E$10,5,0)</f>
        <v>Trolley</v>
      </c>
      <c r="M36" s="14"/>
      <c r="N36" s="2">
        <f>J36/K36</f>
        <v>1</v>
      </c>
      <c r="O36" s="2" t="s">
        <v>112</v>
      </c>
      <c r="P36" s="2">
        <v>910100866</v>
      </c>
    </row>
    <row r="37" spans="1:16" x14ac:dyDescent="0.25">
      <c r="A37" s="15" t="s">
        <v>730</v>
      </c>
      <c r="B37" s="18" t="s">
        <v>706</v>
      </c>
      <c r="C37" s="2" t="s">
        <v>26</v>
      </c>
      <c r="D37" s="2" t="str">
        <f>VLOOKUP($C37,Sheet1!$A$2:$B$10,2,0)</f>
        <v>116040-92240</v>
      </c>
      <c r="E37" s="8" t="s">
        <v>75</v>
      </c>
      <c r="F37" s="12">
        <v>46003</v>
      </c>
      <c r="G37" s="13">
        <v>0.64583333333333337</v>
      </c>
      <c r="H37" s="2" t="s">
        <v>76</v>
      </c>
      <c r="I37" s="2" t="s">
        <v>42</v>
      </c>
      <c r="J37" s="2">
        <v>30</v>
      </c>
      <c r="K37" s="14">
        <f>VLOOKUP($C37,Sheet1!$A$2:$D$10,4,0)</f>
        <v>6</v>
      </c>
      <c r="L37" s="14" t="str">
        <f>VLOOKUP($C37,Sheet1!$A$2:$E$10,5,0)</f>
        <v>Bin</v>
      </c>
      <c r="M37" s="14">
        <f t="shared" ref="M37:M39" si="5">J37/K37</f>
        <v>5</v>
      </c>
      <c r="N37" s="2"/>
      <c r="O37" s="2" t="s">
        <v>112</v>
      </c>
      <c r="P37" s="2" t="s">
        <v>882</v>
      </c>
    </row>
    <row r="38" spans="1:16" x14ac:dyDescent="0.25">
      <c r="A38" s="15" t="s">
        <v>730</v>
      </c>
      <c r="B38" s="18" t="s">
        <v>711</v>
      </c>
      <c r="C38" s="2" t="s">
        <v>32</v>
      </c>
      <c r="D38" s="2" t="str">
        <f>VLOOKUP($C38,Sheet1!$A$2:$B$10,2,0)</f>
        <v>114010-50820</v>
      </c>
      <c r="E38" s="8" t="s">
        <v>82</v>
      </c>
      <c r="F38" s="12">
        <v>46003</v>
      </c>
      <c r="G38" s="13">
        <v>0.64583333333333337</v>
      </c>
      <c r="H38" s="2" t="s">
        <v>76</v>
      </c>
      <c r="I38" s="2" t="s">
        <v>42</v>
      </c>
      <c r="J38" s="2">
        <v>13</v>
      </c>
      <c r="K38" s="14">
        <f>VLOOKUP($C38,Sheet1!$A$2:$D$10,4,0)</f>
        <v>1</v>
      </c>
      <c r="L38" s="14" t="str">
        <f>VLOOKUP($C38,Sheet1!$A$2:$E$10,5,0)</f>
        <v>Bin</v>
      </c>
      <c r="M38" s="14">
        <f t="shared" si="5"/>
        <v>13</v>
      </c>
      <c r="N38" s="2"/>
      <c r="O38" s="2" t="s">
        <v>112</v>
      </c>
      <c r="P38" s="2" t="s">
        <v>883</v>
      </c>
    </row>
    <row r="39" spans="1:16" x14ac:dyDescent="0.25">
      <c r="A39" s="15" t="s">
        <v>730</v>
      </c>
      <c r="B39" s="18" t="s">
        <v>716</v>
      </c>
      <c r="C39" s="2" t="s">
        <v>29</v>
      </c>
      <c r="D39" s="2" t="str">
        <f>VLOOKUP($C39,Sheet1!$A$2:$B$10,2,0)</f>
        <v>114010-50830</v>
      </c>
      <c r="E39" s="8" t="s">
        <v>82</v>
      </c>
      <c r="F39" s="12">
        <v>46003</v>
      </c>
      <c r="G39" s="13">
        <v>0.64583333333333337</v>
      </c>
      <c r="H39" s="2" t="s">
        <v>76</v>
      </c>
      <c r="I39" s="2" t="s">
        <v>42</v>
      </c>
      <c r="J39" s="2">
        <v>16</v>
      </c>
      <c r="K39" s="14">
        <f>VLOOKUP($C39,Sheet1!$A$2:$D$10,4,0)</f>
        <v>1</v>
      </c>
      <c r="L39" s="14" t="str">
        <f>VLOOKUP($C39,Sheet1!$A$2:$E$10,5,0)</f>
        <v>Bin</v>
      </c>
      <c r="M39" s="14">
        <f t="shared" si="5"/>
        <v>16</v>
      </c>
      <c r="N39" s="2"/>
      <c r="O39" s="2" t="s">
        <v>112</v>
      </c>
      <c r="P39" s="2" t="s">
        <v>169</v>
      </c>
    </row>
    <row r="40" spans="1:16" s="11" customForma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>
        <v>64</v>
      </c>
      <c r="N40" s="10">
        <v>5</v>
      </c>
      <c r="O40" s="10"/>
      <c r="P40" s="10"/>
    </row>
    <row r="41" spans="1:16" x14ac:dyDescent="0.25">
      <c r="A41" s="15" t="s">
        <v>731</v>
      </c>
      <c r="B41" s="18" t="s">
        <v>679</v>
      </c>
      <c r="C41" s="2" t="s">
        <v>5</v>
      </c>
      <c r="D41" s="2" t="str">
        <f>VLOOKUP($C41,Sheet1!$A$2:$B$10,2,0)</f>
        <v>141110-14600</v>
      </c>
      <c r="E41" s="8" t="s">
        <v>40</v>
      </c>
      <c r="F41" s="12">
        <v>46003</v>
      </c>
      <c r="G41" s="13">
        <v>0.77083333333333337</v>
      </c>
      <c r="H41" s="2" t="s">
        <v>41</v>
      </c>
      <c r="I41" s="2" t="s">
        <v>42</v>
      </c>
      <c r="J41" s="2">
        <v>54</v>
      </c>
      <c r="K41" s="14">
        <f>VLOOKUP($C41,Sheet1!$A$2:$D$10,4,0)</f>
        <v>18</v>
      </c>
      <c r="L41" s="14" t="str">
        <f>VLOOKUP($C41,Sheet1!$A$2:$E$10,5,0)</f>
        <v>Trolley (H)</v>
      </c>
      <c r="M41" s="14"/>
      <c r="N41" s="51">
        <v>3</v>
      </c>
      <c r="O41" s="2" t="s">
        <v>111</v>
      </c>
      <c r="P41" s="2" t="s">
        <v>890</v>
      </c>
    </row>
    <row r="42" spans="1:16" x14ac:dyDescent="0.25">
      <c r="A42" s="15" t="s">
        <v>731</v>
      </c>
      <c r="B42" s="18" t="s">
        <v>684</v>
      </c>
      <c r="C42" s="2" t="s">
        <v>9</v>
      </c>
      <c r="D42" s="2" t="str">
        <f>VLOOKUP($C42,Sheet1!$A$2:$B$10,2,0)</f>
        <v>141120-14600</v>
      </c>
      <c r="E42" s="8" t="s">
        <v>47</v>
      </c>
      <c r="F42" s="12">
        <v>46003</v>
      </c>
      <c r="G42" s="13">
        <v>0.77083333333333337</v>
      </c>
      <c r="H42" s="2" t="s">
        <v>41</v>
      </c>
      <c r="I42" s="2" t="s">
        <v>42</v>
      </c>
      <c r="J42" s="2">
        <v>54</v>
      </c>
      <c r="K42" s="14">
        <f>VLOOKUP($C42,Sheet1!$A$2:$D$10,4,0)</f>
        <v>18</v>
      </c>
      <c r="L42" s="14" t="str">
        <f>VLOOKUP($C42,Sheet1!$A$2:$E$10,5,0)</f>
        <v>Trolley (H)</v>
      </c>
      <c r="M42" s="14"/>
      <c r="N42" s="52"/>
      <c r="O42" s="2" t="s">
        <v>111</v>
      </c>
      <c r="P42" s="2" t="s">
        <v>891</v>
      </c>
    </row>
    <row r="43" spans="1:16" x14ac:dyDescent="0.25">
      <c r="A43" s="15" t="s">
        <v>731</v>
      </c>
      <c r="B43" s="18" t="s">
        <v>688</v>
      </c>
      <c r="C43" s="2" t="s">
        <v>12</v>
      </c>
      <c r="D43" s="2" t="str">
        <f>VLOOKUP($C43,Sheet1!$A$2:$B$10,2,0)</f>
        <v>141185-74670</v>
      </c>
      <c r="E43" s="8" t="s">
        <v>52</v>
      </c>
      <c r="F43" s="12">
        <v>46003</v>
      </c>
      <c r="G43" s="13">
        <v>0.77083333333333337</v>
      </c>
      <c r="H43" s="2" t="s">
        <v>41</v>
      </c>
      <c r="I43" s="2" t="s">
        <v>42</v>
      </c>
      <c r="J43" s="2">
        <v>80</v>
      </c>
      <c r="K43" s="14">
        <f>VLOOKUP($C43,Sheet1!$A$2:$D$10,4,0)</f>
        <v>40</v>
      </c>
      <c r="L43" s="14" t="str">
        <f>VLOOKUP($C43,Sheet1!$A$2:$E$10,5,0)</f>
        <v>Trolley</v>
      </c>
      <c r="M43" s="14"/>
      <c r="N43" s="2">
        <f>J43/K43</f>
        <v>2</v>
      </c>
      <c r="O43" s="2" t="s">
        <v>111</v>
      </c>
      <c r="P43" s="2">
        <v>910103227</v>
      </c>
    </row>
    <row r="44" spans="1:16" x14ac:dyDescent="0.25">
      <c r="A44" s="15" t="s">
        <v>731</v>
      </c>
      <c r="B44" s="18" t="s">
        <v>693</v>
      </c>
      <c r="C44" s="2" t="s">
        <v>16</v>
      </c>
      <c r="D44" s="2" t="str">
        <f>VLOOKUP($C44,Sheet1!$A$2:$B$10,2,0)</f>
        <v>141140-91211</v>
      </c>
      <c r="E44" s="8" t="s">
        <v>57</v>
      </c>
      <c r="F44" s="12">
        <v>46003</v>
      </c>
      <c r="G44" s="13">
        <v>0.77083333333333337</v>
      </c>
      <c r="H44" s="2" t="s">
        <v>58</v>
      </c>
      <c r="I44" s="2" t="s">
        <v>42</v>
      </c>
      <c r="J44" s="2">
        <v>44</v>
      </c>
      <c r="K44" s="14">
        <f>VLOOKUP($C44,Sheet1!$A$2:$D$10,4,0)</f>
        <v>2</v>
      </c>
      <c r="L44" s="14" t="str">
        <f>VLOOKUP($C44,Sheet1!$A$2:$E$10,5,0)</f>
        <v>Bin</v>
      </c>
      <c r="M44" s="14">
        <f t="shared" ref="M44:M45" si="6">J44/K44</f>
        <v>22</v>
      </c>
      <c r="N44" s="2"/>
      <c r="O44" s="2" t="s">
        <v>111</v>
      </c>
      <c r="P44" s="2" t="s">
        <v>878</v>
      </c>
    </row>
    <row r="45" spans="1:16" x14ac:dyDescent="0.25">
      <c r="A45" s="15" t="s">
        <v>731</v>
      </c>
      <c r="B45" s="18" t="s">
        <v>698</v>
      </c>
      <c r="C45" s="2" t="s">
        <v>20</v>
      </c>
      <c r="D45" s="2" t="str">
        <f>VLOOKUP($C45,Sheet1!$A$2:$B$10,2,0)</f>
        <v>141150-91211</v>
      </c>
      <c r="E45" s="8" t="s">
        <v>64</v>
      </c>
      <c r="F45" s="12">
        <v>46003</v>
      </c>
      <c r="G45" s="13">
        <v>0.77083333333333337</v>
      </c>
      <c r="H45" s="2" t="s">
        <v>58</v>
      </c>
      <c r="I45" s="2" t="s">
        <v>42</v>
      </c>
      <c r="J45" s="2">
        <v>46</v>
      </c>
      <c r="K45" s="14">
        <f>VLOOKUP($C45,Sheet1!$A$2:$D$10,4,0)</f>
        <v>2</v>
      </c>
      <c r="L45" s="14" t="str">
        <f>VLOOKUP($C45,Sheet1!$A$2:$E$10,5,0)</f>
        <v>Bin</v>
      </c>
      <c r="M45" s="14">
        <f t="shared" si="6"/>
        <v>23</v>
      </c>
      <c r="N45" s="2"/>
      <c r="O45" s="2" t="s">
        <v>111</v>
      </c>
      <c r="P45" s="2" t="s">
        <v>878</v>
      </c>
    </row>
    <row r="46" spans="1:16" x14ac:dyDescent="0.25">
      <c r="A46" s="15" t="s">
        <v>731</v>
      </c>
      <c r="B46" s="18" t="s">
        <v>702</v>
      </c>
      <c r="C46" s="2" t="s">
        <v>23</v>
      </c>
      <c r="D46" s="2" t="str">
        <f>VLOOKUP($C46,Sheet1!$A$2:$B$10,2,0)</f>
        <v>141186-74360</v>
      </c>
      <c r="E46" s="8" t="s">
        <v>70</v>
      </c>
      <c r="F46" s="12">
        <v>46003</v>
      </c>
      <c r="G46" s="13">
        <v>0.77083333333333337</v>
      </c>
      <c r="H46" s="2" t="s">
        <v>58</v>
      </c>
      <c r="I46" s="2" t="s">
        <v>42</v>
      </c>
      <c r="J46" s="2">
        <v>120</v>
      </c>
      <c r="K46" s="14">
        <f>VLOOKUP($C46,Sheet1!$A$2:$D$10,4,0)</f>
        <v>40</v>
      </c>
      <c r="L46" s="14" t="str">
        <f>VLOOKUP($C46,Sheet1!$A$2:$E$10,5,0)</f>
        <v>Trolley</v>
      </c>
      <c r="M46" s="14"/>
      <c r="N46" s="2">
        <f>J46/K46</f>
        <v>3</v>
      </c>
      <c r="O46" s="2" t="s">
        <v>111</v>
      </c>
      <c r="P46" s="2">
        <v>910100866</v>
      </c>
    </row>
    <row r="47" spans="1:16" x14ac:dyDescent="0.25">
      <c r="A47" s="15" t="s">
        <v>732</v>
      </c>
      <c r="B47" s="18" t="s">
        <v>707</v>
      </c>
      <c r="C47" s="2" t="s">
        <v>26</v>
      </c>
      <c r="D47" s="2" t="str">
        <f>VLOOKUP($C47,Sheet1!$A$2:$B$10,2,0)</f>
        <v>116040-92240</v>
      </c>
      <c r="E47" s="8" t="s">
        <v>75</v>
      </c>
      <c r="F47" s="12">
        <v>46003</v>
      </c>
      <c r="G47" s="13">
        <v>0.77083333333333337</v>
      </c>
      <c r="H47" s="2" t="s">
        <v>76</v>
      </c>
      <c r="I47" s="2" t="s">
        <v>42</v>
      </c>
      <c r="J47" s="2">
        <v>42</v>
      </c>
      <c r="K47" s="14">
        <f>VLOOKUP($C47,Sheet1!$A$2:$D$10,4,0)</f>
        <v>6</v>
      </c>
      <c r="L47" s="14" t="str">
        <f>VLOOKUP($C47,Sheet1!$A$2:$E$10,5,0)</f>
        <v>Bin</v>
      </c>
      <c r="M47" s="14">
        <f t="shared" ref="M47:M49" si="7">J47/K47</f>
        <v>7</v>
      </c>
      <c r="N47" s="2"/>
      <c r="O47" s="2" t="s">
        <v>111</v>
      </c>
      <c r="P47" s="2" t="s">
        <v>882</v>
      </c>
    </row>
    <row r="48" spans="1:16" x14ac:dyDescent="0.25">
      <c r="A48" s="15" t="s">
        <v>732</v>
      </c>
      <c r="B48" s="18" t="s">
        <v>712</v>
      </c>
      <c r="C48" s="2" t="s">
        <v>32</v>
      </c>
      <c r="D48" s="2" t="str">
        <f>VLOOKUP($C48,Sheet1!$A$2:$B$10,2,0)</f>
        <v>114010-50820</v>
      </c>
      <c r="E48" s="8" t="s">
        <v>82</v>
      </c>
      <c r="F48" s="12">
        <v>46003</v>
      </c>
      <c r="G48" s="13">
        <v>0.77083333333333337</v>
      </c>
      <c r="H48" s="2" t="s">
        <v>76</v>
      </c>
      <c r="I48" s="2" t="s">
        <v>42</v>
      </c>
      <c r="J48" s="2">
        <v>11</v>
      </c>
      <c r="K48" s="14">
        <f>VLOOKUP($C48,Sheet1!$A$2:$D$10,4,0)</f>
        <v>1</v>
      </c>
      <c r="L48" s="14" t="str">
        <f>VLOOKUP($C48,Sheet1!$A$2:$E$10,5,0)</f>
        <v>Bin</v>
      </c>
      <c r="M48" s="14">
        <f t="shared" si="7"/>
        <v>11</v>
      </c>
      <c r="N48" s="2"/>
      <c r="O48" s="2" t="s">
        <v>111</v>
      </c>
      <c r="P48" s="2" t="s">
        <v>883</v>
      </c>
    </row>
    <row r="49" spans="1:16" x14ac:dyDescent="0.25">
      <c r="A49" s="15" t="s">
        <v>732</v>
      </c>
      <c r="B49" s="18" t="s">
        <v>717</v>
      </c>
      <c r="C49" s="2" t="s">
        <v>29</v>
      </c>
      <c r="D49" s="2" t="str">
        <f>VLOOKUP($C49,Sheet1!$A$2:$B$10,2,0)</f>
        <v>114010-50830</v>
      </c>
      <c r="E49" s="8" t="s">
        <v>82</v>
      </c>
      <c r="F49" s="12">
        <v>46003</v>
      </c>
      <c r="G49" s="13">
        <v>0.77083333333333337</v>
      </c>
      <c r="H49" s="2" t="s">
        <v>76</v>
      </c>
      <c r="I49" s="2" t="s">
        <v>42</v>
      </c>
      <c r="J49" s="2">
        <v>35</v>
      </c>
      <c r="K49" s="14">
        <f>VLOOKUP($C49,Sheet1!$A$2:$D$10,4,0)</f>
        <v>1</v>
      </c>
      <c r="L49" s="14" t="str">
        <f>VLOOKUP($C49,Sheet1!$A$2:$E$10,5,0)</f>
        <v>Bin</v>
      </c>
      <c r="M49" s="14">
        <f t="shared" si="7"/>
        <v>35</v>
      </c>
      <c r="N49" s="2"/>
      <c r="O49" s="2" t="s">
        <v>111</v>
      </c>
      <c r="P49" s="2" t="s">
        <v>169</v>
      </c>
    </row>
    <row r="50" spans="1:16" s="11" customForma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>
        <v>98</v>
      </c>
      <c r="N50" s="10">
        <v>8</v>
      </c>
      <c r="O50" s="10"/>
      <c r="P50" s="10"/>
    </row>
    <row r="51" spans="1:16" x14ac:dyDescent="0.25">
      <c r="A51" s="2"/>
      <c r="B51" s="2" t="s">
        <v>718</v>
      </c>
      <c r="C51" s="2"/>
      <c r="D51" s="2"/>
      <c r="E51" s="8"/>
      <c r="F51" s="12"/>
      <c r="G51" s="13"/>
      <c r="H51" s="2"/>
      <c r="I51" s="2"/>
      <c r="J51" s="2"/>
      <c r="K51" s="14"/>
      <c r="L51" s="14"/>
      <c r="M51" s="14"/>
      <c r="N51" s="2"/>
      <c r="O51" s="2"/>
      <c r="P51" s="2"/>
    </row>
    <row r="52" spans="1:16" x14ac:dyDescent="0.25">
      <c r="A52" s="2"/>
      <c r="B52" s="2"/>
      <c r="C52" s="2"/>
      <c r="D52" s="2"/>
      <c r="E52" s="8"/>
      <c r="F52" s="12"/>
      <c r="G52" s="13"/>
      <c r="H52" s="2"/>
      <c r="I52" s="2"/>
      <c r="J52" s="2"/>
      <c r="K52" s="14"/>
      <c r="L52" s="14"/>
      <c r="M52" s="14"/>
      <c r="N52" s="2"/>
      <c r="O52" s="2"/>
      <c r="P52" s="2"/>
    </row>
  </sheetData>
  <mergeCells count="8">
    <mergeCell ref="N41:N42"/>
    <mergeCell ref="A1:F1"/>
    <mergeCell ref="J1:N1"/>
    <mergeCell ref="L2:N2"/>
    <mergeCell ref="N4:N5"/>
    <mergeCell ref="N6:N7"/>
    <mergeCell ref="N21:N22"/>
    <mergeCell ref="N31:N32"/>
  </mergeCells>
  <conditionalFormatting sqref="B2">
    <cfRule type="duplicateValues" dxfId="74" priority="2"/>
    <cfRule type="duplicateValues" dxfId="73" priority="3"/>
  </conditionalFormatting>
  <conditionalFormatting sqref="B4:B19 B21:B29 B31:B39 B51:B52 B41:B49">
    <cfRule type="duplicateValues" dxfId="72" priority="1"/>
  </conditionalFormatting>
  <conditionalFormatting sqref="C2:D2">
    <cfRule type="duplicateValues" dxfId="71" priority="4"/>
    <cfRule type="duplicateValues" dxfId="70" priority="5"/>
  </conditionalFormatting>
  <hyperlinks>
    <hyperlink ref="B51" r:id="rId1" display="http://192.168.1.248/downloads/temp/X539_eNagare_20251211.log" xr:uid="{00000000-0004-0000-0D00-000000000000}"/>
  </hyperlinks>
  <pageMargins left="0.17" right="0.17" top="0.17" bottom="0.17" header="0.17" footer="0.17"/>
  <pageSetup paperSize="9" scale="56" orientation="landscape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Q65"/>
  <sheetViews>
    <sheetView topLeftCell="A21" workbookViewId="0">
      <selection activeCell="A4" sqref="A4:XFD55"/>
    </sheetView>
  </sheetViews>
  <sheetFormatPr defaultColWidth="48.42578125" defaultRowHeight="15" x14ac:dyDescent="0.25"/>
  <cols>
    <col min="1" max="1" width="15.140625" customWidth="1"/>
    <col min="2" max="2" width="17.5703125" customWidth="1"/>
    <col min="3" max="3" width="14.140625" bestFit="1" customWidth="1"/>
    <col min="4" max="4" width="14.140625" customWidth="1"/>
    <col min="5" max="5" width="32.5703125" bestFit="1" customWidth="1"/>
    <col min="6" max="6" width="9.7109375" bestFit="1" customWidth="1"/>
    <col min="7" max="7" width="9.85546875" customWidth="1"/>
    <col min="8" max="8" width="12.140625" customWidth="1"/>
    <col min="9" max="9" width="4.7109375" bestFit="1" customWidth="1"/>
    <col min="10" max="10" width="8" bestFit="1" customWidth="1"/>
    <col min="11" max="11" width="9" customWidth="1"/>
    <col min="12" max="12" width="10.28515625" customWidth="1"/>
    <col min="13" max="13" width="7.85546875" customWidth="1"/>
    <col min="14" max="14" width="7.85546875" bestFit="1" customWidth="1"/>
    <col min="15" max="15" width="10.7109375" customWidth="1"/>
    <col min="16" max="16" width="50.42578125" customWidth="1"/>
  </cols>
  <sheetData>
    <row r="1" spans="1:16" ht="23.25" x14ac:dyDescent="0.25">
      <c r="A1" s="53" t="s">
        <v>93</v>
      </c>
      <c r="B1" s="53"/>
      <c r="C1" s="53"/>
      <c r="D1" s="53"/>
      <c r="E1" s="53"/>
      <c r="F1" s="53"/>
      <c r="G1" s="2"/>
      <c r="H1" s="2"/>
      <c r="I1" s="2"/>
      <c r="J1" s="54" t="s">
        <v>94</v>
      </c>
      <c r="K1" s="55"/>
      <c r="L1" s="55"/>
      <c r="M1" s="55"/>
      <c r="N1" s="55"/>
      <c r="O1" s="3"/>
      <c r="P1" s="4"/>
    </row>
    <row r="2" spans="1:16" ht="16.5" customHeight="1" x14ac:dyDescent="0.25">
      <c r="A2" s="5" t="s">
        <v>95</v>
      </c>
      <c r="B2" s="6">
        <v>46004</v>
      </c>
      <c r="C2" s="7"/>
      <c r="D2" s="7"/>
      <c r="E2" s="2"/>
      <c r="F2" s="8"/>
      <c r="G2" s="2"/>
      <c r="H2" s="2"/>
      <c r="I2" s="2"/>
      <c r="J2" s="2"/>
      <c r="K2" s="2"/>
      <c r="L2" s="56" t="s">
        <v>96</v>
      </c>
      <c r="M2" s="57"/>
      <c r="N2" s="58"/>
      <c r="O2" s="2"/>
      <c r="P2" s="2"/>
    </row>
    <row r="3" spans="1:16" s="11" customFormat="1" ht="30" x14ac:dyDescent="0.25">
      <c r="A3" s="10" t="s">
        <v>97</v>
      </c>
      <c r="B3" s="10" t="s">
        <v>35</v>
      </c>
      <c r="C3" s="10" t="s">
        <v>0</v>
      </c>
      <c r="D3" s="10" t="s">
        <v>98</v>
      </c>
      <c r="E3" s="10" t="s">
        <v>2</v>
      </c>
      <c r="F3" s="10" t="s">
        <v>36</v>
      </c>
      <c r="G3" s="10" t="s">
        <v>37</v>
      </c>
      <c r="H3" s="10" t="s">
        <v>38</v>
      </c>
      <c r="I3" s="10" t="s">
        <v>99</v>
      </c>
      <c r="J3" s="10" t="s">
        <v>100</v>
      </c>
      <c r="K3" s="10" t="s">
        <v>101</v>
      </c>
      <c r="L3" s="10" t="s">
        <v>102</v>
      </c>
      <c r="M3" s="10" t="s">
        <v>103</v>
      </c>
      <c r="N3" s="10" t="s">
        <v>104</v>
      </c>
      <c r="O3" s="10" t="s">
        <v>96</v>
      </c>
      <c r="P3" s="10" t="s">
        <v>105</v>
      </c>
    </row>
    <row r="4" spans="1:16" x14ac:dyDescent="0.25">
      <c r="A4" s="15" t="s">
        <v>773</v>
      </c>
      <c r="B4" s="18" t="s">
        <v>733</v>
      </c>
      <c r="C4" s="2" t="s">
        <v>5</v>
      </c>
      <c r="D4" s="2" t="str">
        <f>VLOOKUP($C4,Sheet1!$A$2:$B$10,2,0)</f>
        <v>141110-14600</v>
      </c>
      <c r="E4" s="8" t="s">
        <v>40</v>
      </c>
      <c r="F4" s="12">
        <v>46004</v>
      </c>
      <c r="G4" s="13">
        <v>0.27083333333333331</v>
      </c>
      <c r="H4" s="2" t="s">
        <v>41</v>
      </c>
      <c r="I4" s="2" t="s">
        <v>42</v>
      </c>
      <c r="J4" s="2">
        <v>36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1">
        <v>2</v>
      </c>
      <c r="O4" s="2" t="s">
        <v>113</v>
      </c>
      <c r="P4" s="2" t="s">
        <v>1043</v>
      </c>
    </row>
    <row r="5" spans="1:16" x14ac:dyDescent="0.25">
      <c r="A5" s="15" t="s">
        <v>773</v>
      </c>
      <c r="B5" s="18" t="s">
        <v>737</v>
      </c>
      <c r="C5" s="2" t="s">
        <v>9</v>
      </c>
      <c r="D5" s="2" t="str">
        <f>VLOOKUP($C5,Sheet1!$A$2:$B$10,2,0)</f>
        <v>141120-14600</v>
      </c>
      <c r="E5" s="8" t="s">
        <v>47</v>
      </c>
      <c r="F5" s="12">
        <v>46004</v>
      </c>
      <c r="G5" s="13">
        <v>0.27083333333333331</v>
      </c>
      <c r="H5" s="2" t="s">
        <v>41</v>
      </c>
      <c r="I5" s="2" t="s">
        <v>42</v>
      </c>
      <c r="J5" s="2">
        <v>36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2"/>
      <c r="O5" s="2" t="s">
        <v>113</v>
      </c>
      <c r="P5" s="2" t="s">
        <v>1043</v>
      </c>
    </row>
    <row r="6" spans="1:16" x14ac:dyDescent="0.25">
      <c r="A6" s="15" t="s">
        <v>773</v>
      </c>
      <c r="B6" s="18" t="s">
        <v>741</v>
      </c>
      <c r="C6" s="2" t="s">
        <v>12</v>
      </c>
      <c r="D6" s="2" t="str">
        <f>VLOOKUP($C6,Sheet1!$A$2:$B$10,2,0)</f>
        <v>141185-74670</v>
      </c>
      <c r="E6" s="8" t="s">
        <v>52</v>
      </c>
      <c r="F6" s="12">
        <v>46004</v>
      </c>
      <c r="G6" s="13">
        <v>0.27083333333333331</v>
      </c>
      <c r="H6" s="2" t="s">
        <v>41</v>
      </c>
      <c r="I6" s="2" t="s">
        <v>42</v>
      </c>
      <c r="J6" s="2">
        <v>80</v>
      </c>
      <c r="K6" s="14">
        <f>VLOOKUP($C6,Sheet1!$A$2:$D$10,4,0)</f>
        <v>40</v>
      </c>
      <c r="L6" s="14" t="str">
        <f>VLOOKUP($C6,Sheet1!$A$2:$E$10,5,0)</f>
        <v>Trolley</v>
      </c>
      <c r="M6" s="14"/>
      <c r="N6" s="2">
        <f>J6/K6</f>
        <v>2</v>
      </c>
      <c r="O6" s="2" t="s">
        <v>113</v>
      </c>
      <c r="P6" s="2">
        <v>910103227</v>
      </c>
    </row>
    <row r="7" spans="1:16" x14ac:dyDescent="0.25">
      <c r="A7" s="15" t="s">
        <v>773</v>
      </c>
      <c r="B7" s="18" t="s">
        <v>745</v>
      </c>
      <c r="C7" s="2" t="s">
        <v>16</v>
      </c>
      <c r="D7" s="2" t="str">
        <f>VLOOKUP($C7,Sheet1!$A$2:$B$10,2,0)</f>
        <v>141140-91211</v>
      </c>
      <c r="E7" s="8" t="s">
        <v>57</v>
      </c>
      <c r="F7" s="12">
        <v>46004</v>
      </c>
      <c r="G7" s="13">
        <v>0.27083333333333331</v>
      </c>
      <c r="H7" s="2" t="s">
        <v>58</v>
      </c>
      <c r="I7" s="2" t="s">
        <v>42</v>
      </c>
      <c r="J7" s="2">
        <v>40</v>
      </c>
      <c r="K7" s="14">
        <f>VLOOKUP($C7,Sheet1!$A$2:$D$10,4,0)</f>
        <v>2</v>
      </c>
      <c r="L7" s="14" t="str">
        <f>VLOOKUP($C7,Sheet1!$A$2:$E$10,5,0)</f>
        <v>Bin</v>
      </c>
      <c r="M7" s="14">
        <f>J7/K7</f>
        <v>20</v>
      </c>
      <c r="N7" s="2"/>
      <c r="O7" s="2" t="s">
        <v>113</v>
      </c>
      <c r="P7" s="2" t="s">
        <v>878</v>
      </c>
    </row>
    <row r="8" spans="1:16" x14ac:dyDescent="0.25">
      <c r="A8" s="15" t="s">
        <v>773</v>
      </c>
      <c r="B8" s="18" t="s">
        <v>746</v>
      </c>
      <c r="C8" s="2" t="s">
        <v>16</v>
      </c>
      <c r="D8" s="2" t="str">
        <f>VLOOKUP($C8,Sheet1!$A$2:$B$10,2,0)</f>
        <v>141140-91211</v>
      </c>
      <c r="E8" s="8" t="s">
        <v>57</v>
      </c>
      <c r="F8" s="12">
        <v>46004</v>
      </c>
      <c r="G8" s="13">
        <v>0.27083333333333331</v>
      </c>
      <c r="H8" s="2" t="s">
        <v>58</v>
      </c>
      <c r="I8" s="2" t="s">
        <v>42</v>
      </c>
      <c r="J8" s="2">
        <v>2</v>
      </c>
      <c r="K8" s="14">
        <f>VLOOKUP($C8,Sheet1!$A$2:$D$10,4,0)</f>
        <v>2</v>
      </c>
      <c r="L8" s="14" t="str">
        <f>VLOOKUP($C8,Sheet1!$A$2:$E$10,5,0)</f>
        <v>Bin</v>
      </c>
      <c r="M8" s="14">
        <f t="shared" ref="M8:M10" si="0">J8/K8</f>
        <v>1</v>
      </c>
      <c r="N8" s="2"/>
      <c r="O8" s="2" t="s">
        <v>113</v>
      </c>
      <c r="P8" s="2" t="s">
        <v>878</v>
      </c>
    </row>
    <row r="9" spans="1:16" x14ac:dyDescent="0.25">
      <c r="A9" s="15" t="s">
        <v>773</v>
      </c>
      <c r="B9" s="18" t="s">
        <v>750</v>
      </c>
      <c r="C9" s="2" t="s">
        <v>20</v>
      </c>
      <c r="D9" s="2" t="str">
        <f>VLOOKUP($C9,Sheet1!$A$2:$B$10,2,0)</f>
        <v>141150-91211</v>
      </c>
      <c r="E9" s="8" t="s">
        <v>64</v>
      </c>
      <c r="F9" s="12">
        <v>46004</v>
      </c>
      <c r="G9" s="13">
        <v>0.27083333333333331</v>
      </c>
      <c r="H9" s="2" t="s">
        <v>58</v>
      </c>
      <c r="I9" s="2" t="s">
        <v>42</v>
      </c>
      <c r="J9" s="2">
        <v>40</v>
      </c>
      <c r="K9" s="14">
        <f>VLOOKUP($C9,Sheet1!$A$2:$D$10,4,0)</f>
        <v>2</v>
      </c>
      <c r="L9" s="14" t="str">
        <f>VLOOKUP($C9,Sheet1!$A$2:$E$10,5,0)</f>
        <v>Bin</v>
      </c>
      <c r="M9" s="14">
        <f t="shared" si="0"/>
        <v>20</v>
      </c>
      <c r="N9" s="2"/>
      <c r="O9" s="2" t="s">
        <v>113</v>
      </c>
      <c r="P9" s="2" t="s">
        <v>878</v>
      </c>
    </row>
    <row r="10" spans="1:16" x14ac:dyDescent="0.25">
      <c r="A10" s="15" t="s">
        <v>773</v>
      </c>
      <c r="B10" s="18" t="s">
        <v>751</v>
      </c>
      <c r="C10" s="2" t="s">
        <v>20</v>
      </c>
      <c r="D10" s="2" t="str">
        <f>VLOOKUP($C10,Sheet1!$A$2:$B$10,2,0)</f>
        <v>141150-91211</v>
      </c>
      <c r="E10" s="8" t="s">
        <v>64</v>
      </c>
      <c r="F10" s="12">
        <v>46004</v>
      </c>
      <c r="G10" s="13">
        <v>0.27083333333333331</v>
      </c>
      <c r="H10" s="2" t="s">
        <v>58</v>
      </c>
      <c r="I10" s="2" t="s">
        <v>42</v>
      </c>
      <c r="J10" s="2">
        <v>2</v>
      </c>
      <c r="K10" s="14">
        <f>VLOOKUP($C10,Sheet1!$A$2:$D$10,4,0)</f>
        <v>2</v>
      </c>
      <c r="L10" s="14" t="str">
        <f>VLOOKUP($C10,Sheet1!$A$2:$E$10,5,0)</f>
        <v>Bin</v>
      </c>
      <c r="M10" s="14">
        <f t="shared" si="0"/>
        <v>1</v>
      </c>
      <c r="N10" s="2"/>
      <c r="O10" s="2" t="s">
        <v>113</v>
      </c>
      <c r="P10" s="2" t="s">
        <v>878</v>
      </c>
    </row>
    <row r="11" spans="1:16" x14ac:dyDescent="0.25">
      <c r="A11" s="15" t="s">
        <v>773</v>
      </c>
      <c r="B11" s="18" t="s">
        <v>755</v>
      </c>
      <c r="C11" s="2" t="s">
        <v>23</v>
      </c>
      <c r="D11" s="2" t="str">
        <f>VLOOKUP($C11,Sheet1!$A$2:$B$10,2,0)</f>
        <v>141186-74360</v>
      </c>
      <c r="E11" s="8" t="s">
        <v>70</v>
      </c>
      <c r="F11" s="12">
        <v>46004</v>
      </c>
      <c r="G11" s="13">
        <v>0.27083333333333331</v>
      </c>
      <c r="H11" s="2" t="s">
        <v>58</v>
      </c>
      <c r="I11" s="2" t="s">
        <v>42</v>
      </c>
      <c r="J11" s="2">
        <v>80</v>
      </c>
      <c r="K11" s="14">
        <f>VLOOKUP($C11,Sheet1!$A$2:$D$10,4,0)</f>
        <v>40</v>
      </c>
      <c r="L11" s="14" t="str">
        <f>VLOOKUP($C11,Sheet1!$A$2:$E$10,5,0)</f>
        <v>Trolley</v>
      </c>
      <c r="M11" s="14"/>
      <c r="N11" s="2">
        <f>J11/K11</f>
        <v>2</v>
      </c>
      <c r="O11" s="2" t="s">
        <v>113</v>
      </c>
      <c r="P11" s="2">
        <v>910100866</v>
      </c>
    </row>
    <row r="12" spans="1:16" x14ac:dyDescent="0.25">
      <c r="A12" s="15" t="s">
        <v>774</v>
      </c>
      <c r="B12" s="18" t="s">
        <v>759</v>
      </c>
      <c r="C12" s="2" t="s">
        <v>26</v>
      </c>
      <c r="D12" s="2" t="str">
        <f>VLOOKUP($C12,Sheet1!$A$2:$B$10,2,0)</f>
        <v>116040-92240</v>
      </c>
      <c r="E12" s="8" t="s">
        <v>75</v>
      </c>
      <c r="F12" s="12">
        <v>46004</v>
      </c>
      <c r="G12" s="13">
        <v>0.27083333333333331</v>
      </c>
      <c r="H12" s="2" t="s">
        <v>76</v>
      </c>
      <c r="I12" s="2" t="s">
        <v>42</v>
      </c>
      <c r="J12" s="2">
        <v>36</v>
      </c>
      <c r="K12" s="14">
        <f>VLOOKUP($C12,Sheet1!$A$2:$D$10,4,0)</f>
        <v>6</v>
      </c>
      <c r="L12" s="14" t="str">
        <f>VLOOKUP($C12,Sheet1!$A$2:$E$10,5,0)</f>
        <v>Bin</v>
      </c>
      <c r="M12" s="14">
        <f t="shared" ref="M12:M15" si="1">J12/K12</f>
        <v>6</v>
      </c>
      <c r="N12" s="2"/>
      <c r="O12" s="2" t="s">
        <v>113</v>
      </c>
      <c r="P12" s="2" t="s">
        <v>882</v>
      </c>
    </row>
    <row r="13" spans="1:16" x14ac:dyDescent="0.25">
      <c r="A13" s="15" t="s">
        <v>774</v>
      </c>
      <c r="B13" s="18" t="s">
        <v>763</v>
      </c>
      <c r="C13" s="2" t="s">
        <v>32</v>
      </c>
      <c r="D13" s="2" t="str">
        <f>VLOOKUP($C13,Sheet1!$A$2:$B$10,2,0)</f>
        <v>114010-50820</v>
      </c>
      <c r="E13" s="8" t="s">
        <v>82</v>
      </c>
      <c r="F13" s="12">
        <v>46004</v>
      </c>
      <c r="G13" s="13">
        <v>0.27083333333333331</v>
      </c>
      <c r="H13" s="2" t="s">
        <v>76</v>
      </c>
      <c r="I13" s="2" t="s">
        <v>42</v>
      </c>
      <c r="J13" s="2">
        <v>13</v>
      </c>
      <c r="K13" s="14">
        <f>VLOOKUP($C13,Sheet1!$A$2:$D$10,4,0)</f>
        <v>1</v>
      </c>
      <c r="L13" s="14" t="str">
        <f>VLOOKUP($C13,Sheet1!$A$2:$E$10,5,0)</f>
        <v>Bin</v>
      </c>
      <c r="M13" s="14">
        <f t="shared" si="1"/>
        <v>13</v>
      </c>
      <c r="N13" s="2"/>
      <c r="O13" s="2" t="s">
        <v>113</v>
      </c>
      <c r="P13" s="2" t="s">
        <v>883</v>
      </c>
    </row>
    <row r="14" spans="1:16" x14ac:dyDescent="0.25">
      <c r="A14" s="15" t="s">
        <v>774</v>
      </c>
      <c r="B14" s="18" t="s">
        <v>767</v>
      </c>
      <c r="C14" s="2" t="s">
        <v>29</v>
      </c>
      <c r="D14" s="2" t="str">
        <f>VLOOKUP($C14,Sheet1!$A$2:$B$10,2,0)</f>
        <v>114010-50830</v>
      </c>
      <c r="E14" s="8" t="s">
        <v>82</v>
      </c>
      <c r="F14" s="12">
        <v>46004</v>
      </c>
      <c r="G14" s="13">
        <v>0.27083333333333331</v>
      </c>
      <c r="H14" s="2" t="s">
        <v>76</v>
      </c>
      <c r="I14" s="2" t="s">
        <v>42</v>
      </c>
      <c r="J14" s="2">
        <v>27</v>
      </c>
      <c r="K14" s="14">
        <f>VLOOKUP($C14,Sheet1!$A$2:$D$10,4,0)</f>
        <v>1</v>
      </c>
      <c r="L14" s="14" t="str">
        <f>VLOOKUP($C14,Sheet1!$A$2:$E$10,5,0)</f>
        <v>Bin</v>
      </c>
      <c r="M14" s="14">
        <f t="shared" si="1"/>
        <v>27</v>
      </c>
      <c r="N14" s="2"/>
      <c r="O14" s="2" t="s">
        <v>113</v>
      </c>
      <c r="P14" s="2" t="s">
        <v>1044</v>
      </c>
    </row>
    <row r="15" spans="1:16" x14ac:dyDescent="0.25">
      <c r="A15" s="15" t="s">
        <v>774</v>
      </c>
      <c r="B15" s="18" t="s">
        <v>768</v>
      </c>
      <c r="C15" s="2" t="s">
        <v>29</v>
      </c>
      <c r="D15" s="2" t="str">
        <f>VLOOKUP($C15,Sheet1!$A$2:$B$10,2,0)</f>
        <v>114010-50830</v>
      </c>
      <c r="E15" s="8" t="s">
        <v>82</v>
      </c>
      <c r="F15" s="12">
        <v>46004</v>
      </c>
      <c r="G15" s="13">
        <v>0.27083333333333331</v>
      </c>
      <c r="H15" s="2" t="s">
        <v>76</v>
      </c>
      <c r="I15" s="2" t="s">
        <v>42</v>
      </c>
      <c r="J15" s="2">
        <v>2</v>
      </c>
      <c r="K15" s="14">
        <f>VLOOKUP($C15,Sheet1!$A$2:$D$10,4,0)</f>
        <v>1</v>
      </c>
      <c r="L15" s="14" t="str">
        <f>VLOOKUP($C15,Sheet1!$A$2:$E$10,5,0)</f>
        <v>Bin</v>
      </c>
      <c r="M15" s="14">
        <f t="shared" si="1"/>
        <v>2</v>
      </c>
      <c r="N15" s="2"/>
      <c r="O15" s="2" t="s">
        <v>113</v>
      </c>
      <c r="P15" s="2" t="s">
        <v>722</v>
      </c>
    </row>
    <row r="16" spans="1:16" s="11" customFormat="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>
        <v>90</v>
      </c>
      <c r="N16" s="10">
        <v>6</v>
      </c>
      <c r="O16" s="10"/>
      <c r="P16" s="10"/>
    </row>
    <row r="17" spans="1:17" x14ac:dyDescent="0.25">
      <c r="A17" s="15" t="s">
        <v>775</v>
      </c>
      <c r="B17" s="18" t="s">
        <v>734</v>
      </c>
      <c r="C17" s="2" t="s">
        <v>5</v>
      </c>
      <c r="D17" s="2" t="str">
        <f>VLOOKUP($C17,Sheet1!$A$2:$B$10,2,0)</f>
        <v>141110-14600</v>
      </c>
      <c r="E17" s="8" t="s">
        <v>40</v>
      </c>
      <c r="F17" s="12">
        <v>46004</v>
      </c>
      <c r="G17" s="13">
        <v>0.5625</v>
      </c>
      <c r="H17" s="2" t="s">
        <v>41</v>
      </c>
      <c r="I17" s="2" t="s">
        <v>42</v>
      </c>
      <c r="J17" s="2">
        <v>36</v>
      </c>
      <c r="K17" s="14">
        <f>VLOOKUP($C17,Sheet1!$A$2:$D$10,4,0)</f>
        <v>18</v>
      </c>
      <c r="L17" s="14" t="str">
        <f>VLOOKUP($C17,Sheet1!$A$2:$E$10,5,0)</f>
        <v>Trolley (H)</v>
      </c>
      <c r="M17" s="14"/>
      <c r="N17" s="51">
        <v>2</v>
      </c>
      <c r="O17" s="2" t="s">
        <v>157</v>
      </c>
      <c r="P17" s="2" t="s">
        <v>1043</v>
      </c>
    </row>
    <row r="18" spans="1:17" x14ac:dyDescent="0.25">
      <c r="A18" s="15" t="s">
        <v>775</v>
      </c>
      <c r="B18" s="18" t="s">
        <v>738</v>
      </c>
      <c r="C18" s="2" t="s">
        <v>9</v>
      </c>
      <c r="D18" s="2" t="str">
        <f>VLOOKUP($C18,Sheet1!$A$2:$B$10,2,0)</f>
        <v>141120-14600</v>
      </c>
      <c r="E18" s="8" t="s">
        <v>47</v>
      </c>
      <c r="F18" s="12">
        <v>46004</v>
      </c>
      <c r="G18" s="13">
        <v>0.5625</v>
      </c>
      <c r="H18" s="2" t="s">
        <v>41</v>
      </c>
      <c r="I18" s="2" t="s">
        <v>42</v>
      </c>
      <c r="J18" s="2">
        <v>36</v>
      </c>
      <c r="K18" s="14">
        <f>VLOOKUP($C18,Sheet1!$A$2:$D$10,4,0)</f>
        <v>18</v>
      </c>
      <c r="L18" s="14" t="str">
        <f>VLOOKUP($C18,Sheet1!$A$2:$E$10,5,0)</f>
        <v>Trolley (H)</v>
      </c>
      <c r="M18" s="14"/>
      <c r="N18" s="52"/>
      <c r="O18" s="2" t="s">
        <v>157</v>
      </c>
      <c r="P18" s="2" t="s">
        <v>1043</v>
      </c>
    </row>
    <row r="19" spans="1:17" x14ac:dyDescent="0.25">
      <c r="A19" s="15" t="s">
        <v>775</v>
      </c>
      <c r="B19" s="18" t="s">
        <v>742</v>
      </c>
      <c r="C19" s="2" t="s">
        <v>12</v>
      </c>
      <c r="D19" s="2" t="str">
        <f>VLOOKUP($C19,Sheet1!$A$2:$B$10,2,0)</f>
        <v>141185-74670</v>
      </c>
      <c r="E19" s="8" t="s">
        <v>52</v>
      </c>
      <c r="F19" s="12">
        <v>46004</v>
      </c>
      <c r="G19" s="13">
        <v>0.5625</v>
      </c>
      <c r="H19" s="2" t="s">
        <v>41</v>
      </c>
      <c r="I19" s="2" t="s">
        <v>42</v>
      </c>
      <c r="J19" s="2">
        <v>80</v>
      </c>
      <c r="K19" s="14">
        <f>VLOOKUP($C19,Sheet1!$A$2:$D$10,4,0)</f>
        <v>40</v>
      </c>
      <c r="L19" s="14" t="str">
        <f>VLOOKUP($C19,Sheet1!$A$2:$E$10,5,0)</f>
        <v>Trolley</v>
      </c>
      <c r="M19" s="14"/>
      <c r="N19" s="2">
        <f>J19/K19</f>
        <v>2</v>
      </c>
      <c r="O19" s="2" t="s">
        <v>157</v>
      </c>
      <c r="P19" s="2">
        <v>910103227</v>
      </c>
    </row>
    <row r="20" spans="1:17" x14ac:dyDescent="0.25">
      <c r="A20" s="15" t="s">
        <v>775</v>
      </c>
      <c r="B20" s="18" t="s">
        <v>747</v>
      </c>
      <c r="C20" s="2" t="s">
        <v>16</v>
      </c>
      <c r="D20" s="2" t="str">
        <f>VLOOKUP($C20,Sheet1!$A$2:$B$10,2,0)</f>
        <v>141140-91211</v>
      </c>
      <c r="E20" s="8" t="s">
        <v>57</v>
      </c>
      <c r="F20" s="12">
        <v>46004</v>
      </c>
      <c r="G20" s="13">
        <v>0.5625</v>
      </c>
      <c r="H20" s="2" t="s">
        <v>58</v>
      </c>
      <c r="I20" s="2" t="s">
        <v>42</v>
      </c>
      <c r="J20" s="2">
        <v>36</v>
      </c>
      <c r="K20" s="14">
        <f>VLOOKUP($C20,Sheet1!$A$2:$D$10,4,0)</f>
        <v>2</v>
      </c>
      <c r="L20" s="14" t="str">
        <f>VLOOKUP($C20,Sheet1!$A$2:$E$10,5,0)</f>
        <v>Bin</v>
      </c>
      <c r="M20" s="14">
        <f t="shared" ref="M20:M21" si="2">J20/K20</f>
        <v>18</v>
      </c>
      <c r="N20" s="2"/>
      <c r="O20" s="2" t="s">
        <v>157</v>
      </c>
      <c r="P20" s="2" t="s">
        <v>878</v>
      </c>
    </row>
    <row r="21" spans="1:17" x14ac:dyDescent="0.25">
      <c r="A21" s="15" t="s">
        <v>775</v>
      </c>
      <c r="B21" s="18" t="s">
        <v>752</v>
      </c>
      <c r="C21" s="2" t="s">
        <v>20</v>
      </c>
      <c r="D21" s="2" t="str">
        <f>VLOOKUP($C21,Sheet1!$A$2:$B$10,2,0)</f>
        <v>141150-91211</v>
      </c>
      <c r="E21" s="8" t="s">
        <v>64</v>
      </c>
      <c r="F21" s="12">
        <v>46004</v>
      </c>
      <c r="G21" s="13">
        <v>0.5625</v>
      </c>
      <c r="H21" s="2" t="s">
        <v>58</v>
      </c>
      <c r="I21" s="2" t="s">
        <v>42</v>
      </c>
      <c r="J21" s="2">
        <v>36</v>
      </c>
      <c r="K21" s="14">
        <f>VLOOKUP($C21,Sheet1!$A$2:$D$10,4,0)</f>
        <v>2</v>
      </c>
      <c r="L21" s="14" t="str">
        <f>VLOOKUP($C21,Sheet1!$A$2:$E$10,5,0)</f>
        <v>Bin</v>
      </c>
      <c r="M21" s="14">
        <f t="shared" si="2"/>
        <v>18</v>
      </c>
      <c r="N21" s="2"/>
      <c r="O21" s="2" t="s">
        <v>157</v>
      </c>
      <c r="P21" s="2" t="s">
        <v>878</v>
      </c>
    </row>
    <row r="22" spans="1:17" x14ac:dyDescent="0.25">
      <c r="A22" s="15" t="s">
        <v>775</v>
      </c>
      <c r="B22" s="18" t="s">
        <v>756</v>
      </c>
      <c r="C22" s="2" t="s">
        <v>23</v>
      </c>
      <c r="D22" s="2" t="str">
        <f>VLOOKUP($C22,Sheet1!$A$2:$B$10,2,0)</f>
        <v>141186-74360</v>
      </c>
      <c r="E22" s="8" t="s">
        <v>70</v>
      </c>
      <c r="F22" s="12">
        <v>46004</v>
      </c>
      <c r="G22" s="13">
        <v>0.5625</v>
      </c>
      <c r="H22" s="2" t="s">
        <v>58</v>
      </c>
      <c r="I22" s="2" t="s">
        <v>42</v>
      </c>
      <c r="J22" s="2">
        <v>40</v>
      </c>
      <c r="K22" s="14">
        <f>VLOOKUP($C22,Sheet1!$A$2:$D$10,4,0)</f>
        <v>40</v>
      </c>
      <c r="L22" s="14" t="str">
        <f>VLOOKUP($C22,Sheet1!$A$2:$E$10,5,0)</f>
        <v>Trolley</v>
      </c>
      <c r="M22" s="14"/>
      <c r="N22" s="2">
        <f>J22/K22</f>
        <v>1</v>
      </c>
      <c r="O22" s="2" t="s">
        <v>157</v>
      </c>
      <c r="P22" s="2">
        <v>910103227</v>
      </c>
    </row>
    <row r="23" spans="1:17" x14ac:dyDescent="0.25">
      <c r="A23" s="15" t="s">
        <v>776</v>
      </c>
      <c r="B23" s="18" t="s">
        <v>760</v>
      </c>
      <c r="C23" s="2" t="s">
        <v>26</v>
      </c>
      <c r="D23" s="2" t="str">
        <f>VLOOKUP($C23,Sheet1!$A$2:$B$10,2,0)</f>
        <v>116040-92240</v>
      </c>
      <c r="E23" s="8" t="s">
        <v>75</v>
      </c>
      <c r="F23" s="12">
        <v>46004</v>
      </c>
      <c r="G23" s="13">
        <v>0.5625</v>
      </c>
      <c r="H23" s="2" t="s">
        <v>76</v>
      </c>
      <c r="I23" s="2" t="s">
        <v>42</v>
      </c>
      <c r="J23" s="2">
        <v>36</v>
      </c>
      <c r="K23" s="14">
        <f>VLOOKUP($C23,Sheet1!$A$2:$D$10,4,0)</f>
        <v>6</v>
      </c>
      <c r="L23" s="14" t="str">
        <f>VLOOKUP($C23,Sheet1!$A$2:$E$10,5,0)</f>
        <v>Bin</v>
      </c>
      <c r="M23" s="14">
        <f t="shared" ref="M23:M25" si="3">J23/K23</f>
        <v>6</v>
      </c>
      <c r="N23" s="2"/>
      <c r="O23" s="2" t="s">
        <v>157</v>
      </c>
      <c r="P23" s="2" t="s">
        <v>882</v>
      </c>
    </row>
    <row r="24" spans="1:17" x14ac:dyDescent="0.25">
      <c r="A24" s="15" t="s">
        <v>776</v>
      </c>
      <c r="B24" s="18" t="s">
        <v>764</v>
      </c>
      <c r="C24" s="2" t="s">
        <v>32</v>
      </c>
      <c r="D24" s="2" t="str">
        <f>VLOOKUP($C24,Sheet1!$A$2:$B$10,2,0)</f>
        <v>114010-50820</v>
      </c>
      <c r="E24" s="8" t="s">
        <v>82</v>
      </c>
      <c r="F24" s="12">
        <v>46004</v>
      </c>
      <c r="G24" s="13">
        <v>0.5625</v>
      </c>
      <c r="H24" s="2" t="s">
        <v>76</v>
      </c>
      <c r="I24" s="2" t="s">
        <v>42</v>
      </c>
      <c r="J24" s="2">
        <v>17</v>
      </c>
      <c r="K24" s="14">
        <f>VLOOKUP($C24,Sheet1!$A$2:$D$10,4,0)</f>
        <v>1</v>
      </c>
      <c r="L24" s="14" t="str">
        <f>VLOOKUP($C24,Sheet1!$A$2:$E$10,5,0)</f>
        <v>Bin</v>
      </c>
      <c r="M24" s="14">
        <f t="shared" si="3"/>
        <v>17</v>
      </c>
      <c r="N24" s="2"/>
      <c r="O24" s="2" t="s">
        <v>157</v>
      </c>
      <c r="P24" s="2" t="s">
        <v>883</v>
      </c>
    </row>
    <row r="25" spans="1:17" x14ac:dyDescent="0.25">
      <c r="A25" s="15" t="s">
        <v>776</v>
      </c>
      <c r="B25" s="18" t="s">
        <v>769</v>
      </c>
      <c r="C25" s="2" t="s">
        <v>29</v>
      </c>
      <c r="D25" s="2" t="str">
        <f>VLOOKUP($C25,Sheet1!$A$2:$B$10,2,0)</f>
        <v>114010-50830</v>
      </c>
      <c r="E25" s="8" t="s">
        <v>82</v>
      </c>
      <c r="F25" s="12">
        <v>46004</v>
      </c>
      <c r="G25" s="13">
        <v>0.5625</v>
      </c>
      <c r="H25" s="2" t="s">
        <v>76</v>
      </c>
      <c r="I25" s="2" t="s">
        <v>42</v>
      </c>
      <c r="J25" s="2">
        <v>19</v>
      </c>
      <c r="K25" s="14">
        <f>VLOOKUP($C25,Sheet1!$A$2:$D$10,4,0)</f>
        <v>1</v>
      </c>
      <c r="L25" s="14" t="str">
        <f>VLOOKUP($C25,Sheet1!$A$2:$E$10,5,0)</f>
        <v>Bin</v>
      </c>
      <c r="M25" s="14">
        <f t="shared" si="3"/>
        <v>19</v>
      </c>
      <c r="N25" s="2"/>
      <c r="O25" s="2" t="s">
        <v>157</v>
      </c>
      <c r="P25" s="2" t="s">
        <v>1044</v>
      </c>
    </row>
    <row r="26" spans="1:17" x14ac:dyDescent="0.25">
      <c r="A26" s="15" t="s">
        <v>794</v>
      </c>
      <c r="B26" s="18" t="s">
        <v>785</v>
      </c>
      <c r="C26" s="2" t="s">
        <v>5</v>
      </c>
      <c r="D26" s="2" t="str">
        <f>VLOOKUP($C26,Sheet1!$A$2:$B$10,2,0)</f>
        <v>141110-14600</v>
      </c>
      <c r="E26" s="8" t="s">
        <v>793</v>
      </c>
      <c r="F26" s="12">
        <v>46004</v>
      </c>
      <c r="G26" s="13"/>
      <c r="H26" s="2" t="s">
        <v>784</v>
      </c>
      <c r="I26" s="2"/>
      <c r="J26" s="14">
        <v>17</v>
      </c>
      <c r="K26" s="14">
        <f>VLOOKUP($C26,Sheet1!$A$2:$D$10,4,0)</f>
        <v>18</v>
      </c>
      <c r="L26" s="14" t="str">
        <f>VLOOKUP($C26,Sheet1!$A$2:$E$10,5,0)</f>
        <v>Trolley (H)</v>
      </c>
      <c r="M26" s="14"/>
      <c r="N26" s="51">
        <v>1</v>
      </c>
      <c r="O26" s="2" t="s">
        <v>157</v>
      </c>
      <c r="P26" s="2" t="s">
        <v>1045</v>
      </c>
      <c r="Q26" t="s">
        <v>793</v>
      </c>
    </row>
    <row r="27" spans="1:17" x14ac:dyDescent="0.25">
      <c r="A27" s="15" t="s">
        <v>794</v>
      </c>
      <c r="B27" s="18" t="s">
        <v>786</v>
      </c>
      <c r="C27" s="2" t="s">
        <v>9</v>
      </c>
      <c r="D27" s="2" t="str">
        <f>VLOOKUP($C27,Sheet1!$A$2:$B$10,2,0)</f>
        <v>141120-14600</v>
      </c>
      <c r="E27" s="8" t="s">
        <v>793</v>
      </c>
      <c r="F27" s="12">
        <v>46004</v>
      </c>
      <c r="G27" s="13"/>
      <c r="H27" s="2" t="s">
        <v>784</v>
      </c>
      <c r="I27" s="2"/>
      <c r="J27" s="14">
        <v>17</v>
      </c>
      <c r="K27" s="14">
        <f>VLOOKUP($C27,Sheet1!$A$2:$D$10,4,0)</f>
        <v>18</v>
      </c>
      <c r="L27" s="14" t="str">
        <f>VLOOKUP($C27,Sheet1!$A$2:$E$10,5,0)</f>
        <v>Trolley (H)</v>
      </c>
      <c r="M27" s="14"/>
      <c r="N27" s="52"/>
      <c r="O27" s="2" t="s">
        <v>157</v>
      </c>
      <c r="P27" s="2" t="s">
        <v>1045</v>
      </c>
      <c r="Q27" t="s">
        <v>793</v>
      </c>
    </row>
    <row r="28" spans="1:17" x14ac:dyDescent="0.25">
      <c r="A28" s="15" t="s">
        <v>794</v>
      </c>
      <c r="B28" s="18" t="s">
        <v>787</v>
      </c>
      <c r="C28" s="2" t="s">
        <v>12</v>
      </c>
      <c r="D28" s="2" t="str">
        <f>VLOOKUP($C28,Sheet1!$A$2:$B$10,2,0)</f>
        <v>141185-74670</v>
      </c>
      <c r="E28" s="8" t="s">
        <v>793</v>
      </c>
      <c r="F28" s="12">
        <v>46004</v>
      </c>
      <c r="G28" s="13"/>
      <c r="H28" s="2" t="s">
        <v>784</v>
      </c>
      <c r="I28" s="2"/>
      <c r="J28" s="14">
        <v>34</v>
      </c>
      <c r="K28" s="14">
        <f>VLOOKUP($C28,Sheet1!$A$2:$D$10,4,0)</f>
        <v>40</v>
      </c>
      <c r="L28" s="14" t="str">
        <f>VLOOKUP($C28,Sheet1!$A$2:$E$10,5,0)</f>
        <v>Trolley</v>
      </c>
      <c r="M28" s="14"/>
      <c r="N28" s="2">
        <v>1</v>
      </c>
      <c r="O28" s="2" t="s">
        <v>157</v>
      </c>
      <c r="P28" s="2">
        <v>910103842</v>
      </c>
      <c r="Q28" t="s">
        <v>793</v>
      </c>
    </row>
    <row r="29" spans="1:17" x14ac:dyDescent="0.25">
      <c r="A29" s="15" t="s">
        <v>794</v>
      </c>
      <c r="B29" s="18" t="s">
        <v>788</v>
      </c>
      <c r="C29" s="2" t="s">
        <v>16</v>
      </c>
      <c r="D29" s="2" t="str">
        <f>VLOOKUP($C29,Sheet1!$A$2:$B$10,2,0)</f>
        <v>141140-91211</v>
      </c>
      <c r="E29" s="8" t="s">
        <v>793</v>
      </c>
      <c r="F29" s="12">
        <v>46004</v>
      </c>
      <c r="G29" s="13"/>
      <c r="H29" s="2" t="s">
        <v>784</v>
      </c>
      <c r="I29" s="2"/>
      <c r="J29" s="14">
        <v>17</v>
      </c>
      <c r="K29" s="14">
        <f>VLOOKUP($C29,Sheet1!$A$2:$D$10,4,0)</f>
        <v>2</v>
      </c>
      <c r="L29" s="14" t="str">
        <f>VLOOKUP($C29,Sheet1!$A$2:$E$10,5,0)</f>
        <v>Bin</v>
      </c>
      <c r="M29" s="14">
        <v>9</v>
      </c>
      <c r="N29" s="2"/>
      <c r="O29" s="2" t="s">
        <v>157</v>
      </c>
      <c r="P29" s="2" t="s">
        <v>878</v>
      </c>
      <c r="Q29" t="s">
        <v>793</v>
      </c>
    </row>
    <row r="30" spans="1:17" x14ac:dyDescent="0.25">
      <c r="A30" s="15" t="s">
        <v>794</v>
      </c>
      <c r="B30" s="18" t="s">
        <v>789</v>
      </c>
      <c r="C30" s="2" t="s">
        <v>20</v>
      </c>
      <c r="D30" s="2" t="str">
        <f>VLOOKUP($C30,Sheet1!$A$2:$B$10,2,0)</f>
        <v>141150-91211</v>
      </c>
      <c r="E30" s="8" t="s">
        <v>793</v>
      </c>
      <c r="F30" s="12">
        <v>46004</v>
      </c>
      <c r="G30" s="13"/>
      <c r="H30" s="2" t="s">
        <v>784</v>
      </c>
      <c r="I30" s="2"/>
      <c r="J30" s="14">
        <v>17</v>
      </c>
      <c r="K30" s="14">
        <f>VLOOKUP($C30,Sheet1!$A$2:$D$10,4,0)</f>
        <v>2</v>
      </c>
      <c r="L30" s="14" t="str">
        <f>VLOOKUP($C30,Sheet1!$A$2:$E$10,5,0)</f>
        <v>Bin</v>
      </c>
      <c r="M30" s="14">
        <v>9</v>
      </c>
      <c r="N30" s="2"/>
      <c r="O30" s="2" t="s">
        <v>157</v>
      </c>
      <c r="P30" s="2" t="s">
        <v>878</v>
      </c>
      <c r="Q30" t="s">
        <v>793</v>
      </c>
    </row>
    <row r="31" spans="1:17" x14ac:dyDescent="0.25">
      <c r="A31" s="15" t="s">
        <v>794</v>
      </c>
      <c r="B31" s="18" t="s">
        <v>790</v>
      </c>
      <c r="C31" s="2" t="s">
        <v>23</v>
      </c>
      <c r="D31" s="2" t="str">
        <f>VLOOKUP($C31,Sheet1!$A$2:$B$10,2,0)</f>
        <v>141186-74360</v>
      </c>
      <c r="E31" s="8" t="s">
        <v>793</v>
      </c>
      <c r="F31" s="12">
        <v>46004</v>
      </c>
      <c r="G31" s="13"/>
      <c r="H31" s="2" t="s">
        <v>784</v>
      </c>
      <c r="I31" s="2"/>
      <c r="J31" s="14">
        <v>34</v>
      </c>
      <c r="K31" s="14">
        <f>VLOOKUP($C31,Sheet1!$A$2:$D$10,4,0)</f>
        <v>40</v>
      </c>
      <c r="L31" s="14" t="str">
        <f>VLOOKUP($C31,Sheet1!$A$2:$E$10,5,0)</f>
        <v>Trolley</v>
      </c>
      <c r="M31" s="14"/>
      <c r="N31" s="2">
        <v>1</v>
      </c>
      <c r="O31" s="2" t="s">
        <v>157</v>
      </c>
      <c r="P31" s="2">
        <v>910104268</v>
      </c>
      <c r="Q31" t="s">
        <v>793</v>
      </c>
    </row>
    <row r="32" spans="1:17" x14ac:dyDescent="0.25">
      <c r="A32" s="15" t="s">
        <v>795</v>
      </c>
      <c r="B32" s="18" t="s">
        <v>791</v>
      </c>
      <c r="C32" s="2" t="s">
        <v>26</v>
      </c>
      <c r="D32" s="2" t="str">
        <f>VLOOKUP($C32,Sheet1!$A$2:$B$10,2,0)</f>
        <v>116040-92240</v>
      </c>
      <c r="E32" s="8" t="s">
        <v>793</v>
      </c>
      <c r="F32" s="12">
        <v>46004</v>
      </c>
      <c r="G32" s="13"/>
      <c r="H32" s="2" t="s">
        <v>784</v>
      </c>
      <c r="I32" s="2"/>
      <c r="J32" s="14">
        <v>17</v>
      </c>
      <c r="K32" s="14">
        <f>VLOOKUP($C32,Sheet1!$A$2:$D$10,4,0)</f>
        <v>6</v>
      </c>
      <c r="L32" s="14" t="str">
        <f>VLOOKUP($C32,Sheet1!$A$2:$E$10,5,0)</f>
        <v>Bin</v>
      </c>
      <c r="M32" s="30">
        <f>J32/K32</f>
        <v>2.8333333333333335</v>
      </c>
      <c r="N32" s="2"/>
      <c r="O32" s="2" t="s">
        <v>157</v>
      </c>
      <c r="P32" s="2" t="s">
        <v>883</v>
      </c>
      <c r="Q32" t="s">
        <v>793</v>
      </c>
    </row>
    <row r="33" spans="1:17" x14ac:dyDescent="0.25">
      <c r="A33" s="15" t="s">
        <v>795</v>
      </c>
      <c r="B33" s="18" t="s">
        <v>792</v>
      </c>
      <c r="C33" s="2" t="s">
        <v>32</v>
      </c>
      <c r="D33" s="2" t="str">
        <f>VLOOKUP($C33,Sheet1!$A$2:$B$10,2,0)</f>
        <v>114010-50820</v>
      </c>
      <c r="E33" s="8" t="s">
        <v>793</v>
      </c>
      <c r="F33" s="12">
        <v>46004</v>
      </c>
      <c r="G33" s="13"/>
      <c r="H33" s="2" t="s">
        <v>784</v>
      </c>
      <c r="I33" s="2"/>
      <c r="J33" s="14">
        <v>17</v>
      </c>
      <c r="K33" s="14">
        <f>VLOOKUP($C33,Sheet1!$A$2:$D$10,4,0)</f>
        <v>1</v>
      </c>
      <c r="L33" s="14" t="str">
        <f>VLOOKUP($C33,Sheet1!$A$2:$E$10,5,0)</f>
        <v>Bin</v>
      </c>
      <c r="M33" s="14">
        <f>J33/K33</f>
        <v>17</v>
      </c>
      <c r="N33" s="2"/>
      <c r="O33" s="2" t="s">
        <v>157</v>
      </c>
      <c r="P33" s="2" t="s">
        <v>1057</v>
      </c>
      <c r="Q33" t="s">
        <v>793</v>
      </c>
    </row>
    <row r="34" spans="1:17" s="11" customForma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>
        <v>3</v>
      </c>
      <c r="O34" s="10"/>
      <c r="P34" s="10"/>
    </row>
    <row r="35" spans="1:17" x14ac:dyDescent="0.25">
      <c r="A35" s="15" t="s">
        <v>777</v>
      </c>
      <c r="B35" s="18" t="s">
        <v>735</v>
      </c>
      <c r="C35" s="2" t="s">
        <v>5</v>
      </c>
      <c r="D35" s="2" t="str">
        <f>VLOOKUP($C35,Sheet1!$A$2:$B$10,2,0)</f>
        <v>141110-14600</v>
      </c>
      <c r="E35" s="8" t="s">
        <v>40</v>
      </c>
      <c r="F35" s="12">
        <v>46004</v>
      </c>
      <c r="G35" s="13">
        <v>0.6875</v>
      </c>
      <c r="H35" s="2" t="s">
        <v>41</v>
      </c>
      <c r="I35" s="2" t="s">
        <v>42</v>
      </c>
      <c r="J35" s="2">
        <v>36</v>
      </c>
      <c r="K35" s="14">
        <f>VLOOKUP($C35,Sheet1!$A$2:$D$10,4,0)</f>
        <v>18</v>
      </c>
      <c r="L35" s="14" t="str">
        <f>VLOOKUP($C35,Sheet1!$A$2:$E$10,5,0)</f>
        <v>Trolley (H)</v>
      </c>
      <c r="M35" s="14"/>
      <c r="N35" s="51">
        <v>2</v>
      </c>
      <c r="O35" s="2" t="s">
        <v>112</v>
      </c>
      <c r="P35" s="2" t="s">
        <v>1043</v>
      </c>
    </row>
    <row r="36" spans="1:17" x14ac:dyDescent="0.25">
      <c r="A36" s="15" t="s">
        <v>777</v>
      </c>
      <c r="B36" s="18" t="s">
        <v>739</v>
      </c>
      <c r="C36" s="2" t="s">
        <v>9</v>
      </c>
      <c r="D36" s="2" t="str">
        <f>VLOOKUP($C36,Sheet1!$A$2:$B$10,2,0)</f>
        <v>141120-14600</v>
      </c>
      <c r="E36" s="8" t="s">
        <v>47</v>
      </c>
      <c r="F36" s="12">
        <v>46004</v>
      </c>
      <c r="G36" s="13">
        <v>0.6875</v>
      </c>
      <c r="H36" s="2" t="s">
        <v>41</v>
      </c>
      <c r="I36" s="2" t="s">
        <v>42</v>
      </c>
      <c r="J36" s="2">
        <v>36</v>
      </c>
      <c r="K36" s="14">
        <f>VLOOKUP($C36,Sheet1!$A$2:$D$10,4,0)</f>
        <v>18</v>
      </c>
      <c r="L36" s="14" t="str">
        <f>VLOOKUP($C36,Sheet1!$A$2:$E$10,5,0)</f>
        <v>Trolley (H)</v>
      </c>
      <c r="M36" s="14"/>
      <c r="N36" s="52"/>
      <c r="O36" s="2" t="s">
        <v>112</v>
      </c>
      <c r="P36" s="2" t="s">
        <v>1043</v>
      </c>
    </row>
    <row r="37" spans="1:17" x14ac:dyDescent="0.25">
      <c r="A37" s="15" t="s">
        <v>777</v>
      </c>
      <c r="B37" s="18" t="s">
        <v>743</v>
      </c>
      <c r="C37" s="2" t="s">
        <v>12</v>
      </c>
      <c r="D37" s="2" t="str">
        <f>VLOOKUP($C37,Sheet1!$A$2:$B$10,2,0)</f>
        <v>141185-74670</v>
      </c>
      <c r="E37" s="8" t="s">
        <v>52</v>
      </c>
      <c r="F37" s="12">
        <v>46004</v>
      </c>
      <c r="G37" s="13">
        <v>0.6875</v>
      </c>
      <c r="H37" s="2" t="s">
        <v>41</v>
      </c>
      <c r="I37" s="2" t="s">
        <v>42</v>
      </c>
      <c r="J37" s="2">
        <v>40</v>
      </c>
      <c r="K37" s="14">
        <f>VLOOKUP($C37,Sheet1!$A$2:$D$10,4,0)</f>
        <v>40</v>
      </c>
      <c r="L37" s="14" t="str">
        <f>VLOOKUP($C37,Sheet1!$A$2:$E$10,5,0)</f>
        <v>Trolley</v>
      </c>
      <c r="M37" s="14"/>
      <c r="N37" s="2">
        <f>J37/K37</f>
        <v>1</v>
      </c>
      <c r="O37" s="2" t="s">
        <v>112</v>
      </c>
      <c r="P37" s="2">
        <v>910103227</v>
      </c>
    </row>
    <row r="38" spans="1:17" x14ac:dyDescent="0.25">
      <c r="A38" s="15" t="s">
        <v>777</v>
      </c>
      <c r="B38" s="18" t="s">
        <v>748</v>
      </c>
      <c r="C38" s="2" t="s">
        <v>16</v>
      </c>
      <c r="D38" s="2" t="str">
        <f>VLOOKUP($C38,Sheet1!$A$2:$B$10,2,0)</f>
        <v>141140-91211</v>
      </c>
      <c r="E38" s="8" t="s">
        <v>57</v>
      </c>
      <c r="F38" s="12">
        <v>46004</v>
      </c>
      <c r="G38" s="13">
        <v>0.6875</v>
      </c>
      <c r="H38" s="2" t="s">
        <v>58</v>
      </c>
      <c r="I38" s="2" t="s">
        <v>42</v>
      </c>
      <c r="J38" s="2">
        <v>30</v>
      </c>
      <c r="K38" s="14">
        <f>VLOOKUP($C38,Sheet1!$A$2:$D$10,4,0)</f>
        <v>2</v>
      </c>
      <c r="L38" s="14" t="str">
        <f>VLOOKUP($C38,Sheet1!$A$2:$E$10,5,0)</f>
        <v>Bin</v>
      </c>
      <c r="M38" s="14">
        <f t="shared" ref="M38:M39" si="4">J38/K38</f>
        <v>15</v>
      </c>
      <c r="N38" s="2"/>
      <c r="O38" s="2" t="s">
        <v>112</v>
      </c>
      <c r="P38" s="2" t="s">
        <v>878</v>
      </c>
    </row>
    <row r="39" spans="1:17" x14ac:dyDescent="0.25">
      <c r="A39" s="15" t="s">
        <v>777</v>
      </c>
      <c r="B39" s="18" t="s">
        <v>753</v>
      </c>
      <c r="C39" s="2" t="s">
        <v>20</v>
      </c>
      <c r="D39" s="2" t="str">
        <f>VLOOKUP($C39,Sheet1!$A$2:$B$10,2,0)</f>
        <v>141150-91211</v>
      </c>
      <c r="E39" s="8" t="s">
        <v>64</v>
      </c>
      <c r="F39" s="12">
        <v>46004</v>
      </c>
      <c r="G39" s="13">
        <v>0.6875</v>
      </c>
      <c r="H39" s="2" t="s">
        <v>58</v>
      </c>
      <c r="I39" s="2" t="s">
        <v>42</v>
      </c>
      <c r="J39" s="2">
        <v>30</v>
      </c>
      <c r="K39" s="14">
        <f>VLOOKUP($C39,Sheet1!$A$2:$D$10,4,0)</f>
        <v>2</v>
      </c>
      <c r="L39" s="14" t="str">
        <f>VLOOKUP($C39,Sheet1!$A$2:$E$10,5,0)</f>
        <v>Bin</v>
      </c>
      <c r="M39" s="14">
        <f t="shared" si="4"/>
        <v>15</v>
      </c>
      <c r="N39" s="2"/>
      <c r="O39" s="2" t="s">
        <v>112</v>
      </c>
      <c r="P39" s="2" t="s">
        <v>878</v>
      </c>
    </row>
    <row r="40" spans="1:17" x14ac:dyDescent="0.25">
      <c r="A40" s="15" t="s">
        <v>777</v>
      </c>
      <c r="B40" s="18" t="s">
        <v>757</v>
      </c>
      <c r="C40" s="2" t="s">
        <v>23</v>
      </c>
      <c r="D40" s="2" t="str">
        <f>VLOOKUP($C40,Sheet1!$A$2:$B$10,2,0)</f>
        <v>141186-74360</v>
      </c>
      <c r="E40" s="8" t="s">
        <v>70</v>
      </c>
      <c r="F40" s="12">
        <v>46004</v>
      </c>
      <c r="G40" s="13">
        <v>0.6875</v>
      </c>
      <c r="H40" s="2" t="s">
        <v>58</v>
      </c>
      <c r="I40" s="2" t="s">
        <v>42</v>
      </c>
      <c r="J40" s="2">
        <v>80</v>
      </c>
      <c r="K40" s="14">
        <f>VLOOKUP($C40,Sheet1!$A$2:$D$10,4,0)</f>
        <v>40</v>
      </c>
      <c r="L40" s="14" t="str">
        <f>VLOOKUP($C40,Sheet1!$A$2:$E$10,5,0)</f>
        <v>Trolley</v>
      </c>
      <c r="M40" s="14"/>
      <c r="N40" s="2">
        <f>J40/K40</f>
        <v>2</v>
      </c>
      <c r="O40" s="2" t="s">
        <v>112</v>
      </c>
      <c r="P40" s="2" t="s">
        <v>1046</v>
      </c>
    </row>
    <row r="41" spans="1:17" x14ac:dyDescent="0.25">
      <c r="A41" s="15" t="s">
        <v>779</v>
      </c>
      <c r="B41" s="18" t="s">
        <v>761</v>
      </c>
      <c r="C41" s="2" t="s">
        <v>26</v>
      </c>
      <c r="D41" s="2" t="str">
        <f>VLOOKUP($C41,Sheet1!$A$2:$B$10,2,0)</f>
        <v>116040-92240</v>
      </c>
      <c r="E41" s="8" t="s">
        <v>75</v>
      </c>
      <c r="F41" s="12">
        <v>46004</v>
      </c>
      <c r="G41" s="13">
        <v>0.6875</v>
      </c>
      <c r="H41" s="2" t="s">
        <v>76</v>
      </c>
      <c r="I41" s="2" t="s">
        <v>42</v>
      </c>
      <c r="J41" s="2">
        <v>30</v>
      </c>
      <c r="K41" s="14">
        <f>VLOOKUP($C41,Sheet1!$A$2:$D$10,4,0)</f>
        <v>6</v>
      </c>
      <c r="L41" s="14" t="str">
        <f>VLOOKUP($C41,Sheet1!$A$2:$E$10,5,0)</f>
        <v>Bin</v>
      </c>
      <c r="M41" s="14">
        <f t="shared" ref="M41:M43" si="5">J41/K41</f>
        <v>5</v>
      </c>
      <c r="N41" s="2"/>
      <c r="O41" s="2" t="s">
        <v>112</v>
      </c>
      <c r="P41" s="2" t="s">
        <v>882</v>
      </c>
    </row>
    <row r="42" spans="1:17" x14ac:dyDescent="0.25">
      <c r="A42" s="15" t="s">
        <v>779</v>
      </c>
      <c r="B42" s="18" t="s">
        <v>765</v>
      </c>
      <c r="C42" s="2" t="s">
        <v>32</v>
      </c>
      <c r="D42" s="2" t="str">
        <f>VLOOKUP($C42,Sheet1!$A$2:$B$10,2,0)</f>
        <v>114010-50820</v>
      </c>
      <c r="E42" s="8" t="s">
        <v>82</v>
      </c>
      <c r="F42" s="12">
        <v>46004</v>
      </c>
      <c r="G42" s="13">
        <v>0.6875</v>
      </c>
      <c r="H42" s="2" t="s">
        <v>76</v>
      </c>
      <c r="I42" s="2" t="s">
        <v>42</v>
      </c>
      <c r="J42" s="2">
        <v>9</v>
      </c>
      <c r="K42" s="14">
        <f>VLOOKUP($C42,Sheet1!$A$2:$D$10,4,0)</f>
        <v>1</v>
      </c>
      <c r="L42" s="14" t="str">
        <f>VLOOKUP($C42,Sheet1!$A$2:$E$10,5,0)</f>
        <v>Bin</v>
      </c>
      <c r="M42" s="14">
        <f t="shared" si="5"/>
        <v>9</v>
      </c>
      <c r="N42" s="2"/>
      <c r="O42" s="2" t="s">
        <v>112</v>
      </c>
      <c r="P42" s="2" t="s">
        <v>883</v>
      </c>
    </row>
    <row r="43" spans="1:17" ht="15.75" thickBot="1" x14ac:dyDescent="0.3">
      <c r="A43" s="15" t="s">
        <v>779</v>
      </c>
      <c r="B43" s="18" t="s">
        <v>770</v>
      </c>
      <c r="C43" s="2" t="s">
        <v>29</v>
      </c>
      <c r="D43" s="2" t="str">
        <f>VLOOKUP($C43,Sheet1!$A$2:$B$10,2,0)</f>
        <v>114010-50830</v>
      </c>
      <c r="E43" s="8" t="s">
        <v>82</v>
      </c>
      <c r="F43" s="12">
        <v>46004</v>
      </c>
      <c r="G43" s="17">
        <v>0.6875</v>
      </c>
      <c r="H43" s="2" t="s">
        <v>76</v>
      </c>
      <c r="I43" s="2" t="s">
        <v>42</v>
      </c>
      <c r="J43" s="2">
        <v>21</v>
      </c>
      <c r="K43" s="14">
        <f>VLOOKUP($C43,Sheet1!$A$2:$D$10,4,0)</f>
        <v>1</v>
      </c>
      <c r="L43" s="14" t="str">
        <f>VLOOKUP($C43,Sheet1!$A$2:$E$10,5,0)</f>
        <v>Bin</v>
      </c>
      <c r="M43" s="14">
        <f t="shared" si="5"/>
        <v>21</v>
      </c>
      <c r="N43" s="2"/>
      <c r="O43" s="2" t="s">
        <v>112</v>
      </c>
      <c r="P43" s="2" t="s">
        <v>722</v>
      </c>
    </row>
    <row r="44" spans="1:17" ht="15.75" thickTop="1" x14ac:dyDescent="0.25">
      <c r="A44" s="15" t="s">
        <v>778</v>
      </c>
      <c r="B44" s="18" t="s">
        <v>744</v>
      </c>
      <c r="C44" s="18" t="s">
        <v>12</v>
      </c>
      <c r="D44" s="2" t="str">
        <f>VLOOKUP($C44,Sheet1!$A$2:$B$10,2,0)</f>
        <v>141185-74670</v>
      </c>
      <c r="E44" s="8" t="s">
        <v>52</v>
      </c>
      <c r="F44" s="12">
        <v>46004</v>
      </c>
      <c r="G44" s="29">
        <v>0.8125</v>
      </c>
      <c r="H44" s="2" t="s">
        <v>41</v>
      </c>
      <c r="I44" s="2" t="s">
        <v>42</v>
      </c>
      <c r="J44" s="2">
        <v>40</v>
      </c>
      <c r="K44" s="14">
        <f>VLOOKUP($C44,Sheet1!$A$2:$D$10,4,0)</f>
        <v>40</v>
      </c>
      <c r="L44" s="14" t="str">
        <f>VLOOKUP($C44,Sheet1!$A$2:$E$10,5,0)</f>
        <v>Trolley</v>
      </c>
      <c r="M44" s="14"/>
      <c r="N44" s="2">
        <f>J44/K44</f>
        <v>1</v>
      </c>
      <c r="O44" s="2" t="s">
        <v>112</v>
      </c>
      <c r="P44" s="2">
        <v>910103227</v>
      </c>
    </row>
    <row r="45" spans="1:17" s="11" customForma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>
        <v>65</v>
      </c>
      <c r="N45" s="10">
        <v>6</v>
      </c>
      <c r="O45" s="10"/>
      <c r="P45" s="10"/>
    </row>
    <row r="46" spans="1:17" x14ac:dyDescent="0.25">
      <c r="A46" s="15" t="s">
        <v>780</v>
      </c>
      <c r="B46" s="18" t="s">
        <v>736</v>
      </c>
      <c r="C46" s="2" t="s">
        <v>5</v>
      </c>
      <c r="D46" s="2" t="str">
        <f>VLOOKUP($C46,Sheet1!$A$2:$B$10,2,0)</f>
        <v>141110-14600</v>
      </c>
      <c r="E46" s="8" t="s">
        <v>40</v>
      </c>
      <c r="F46" s="12">
        <v>46004</v>
      </c>
      <c r="G46" s="13">
        <v>0.8125</v>
      </c>
      <c r="H46" s="2" t="s">
        <v>41</v>
      </c>
      <c r="I46" s="2" t="s">
        <v>42</v>
      </c>
      <c r="J46" s="2">
        <v>54</v>
      </c>
      <c r="K46" s="14">
        <f>VLOOKUP($C46,Sheet1!$A$2:$D$10,4,0)</f>
        <v>18</v>
      </c>
      <c r="L46" s="14" t="str">
        <f>VLOOKUP($C46,Sheet1!$A$2:$E$10,5,0)</f>
        <v>Trolley (H)</v>
      </c>
      <c r="M46" s="14"/>
      <c r="N46" s="51">
        <v>3</v>
      </c>
      <c r="O46" s="2" t="s">
        <v>111</v>
      </c>
      <c r="P46" s="2" t="s">
        <v>1043</v>
      </c>
    </row>
    <row r="47" spans="1:17" x14ac:dyDescent="0.25">
      <c r="A47" s="15" t="s">
        <v>780</v>
      </c>
      <c r="B47" s="18" t="s">
        <v>740</v>
      </c>
      <c r="C47" s="2" t="s">
        <v>9</v>
      </c>
      <c r="D47" s="2" t="str">
        <f>VLOOKUP($C47,Sheet1!$A$2:$B$10,2,0)</f>
        <v>141120-14600</v>
      </c>
      <c r="E47" s="8" t="s">
        <v>47</v>
      </c>
      <c r="F47" s="12">
        <v>46004</v>
      </c>
      <c r="G47" s="13">
        <v>0.8125</v>
      </c>
      <c r="H47" s="2" t="s">
        <v>41</v>
      </c>
      <c r="I47" s="2" t="s">
        <v>42</v>
      </c>
      <c r="J47" s="2">
        <v>54</v>
      </c>
      <c r="K47" s="14">
        <f>VLOOKUP($C47,Sheet1!$A$2:$D$10,4,0)</f>
        <v>18</v>
      </c>
      <c r="L47" s="14" t="str">
        <f>VLOOKUP($C47,Sheet1!$A$2:$E$10,5,0)</f>
        <v>Trolley (H)</v>
      </c>
      <c r="M47" s="14"/>
      <c r="N47" s="52"/>
      <c r="O47" s="2" t="s">
        <v>111</v>
      </c>
      <c r="P47" s="2" t="s">
        <v>1043</v>
      </c>
    </row>
    <row r="48" spans="1:17" x14ac:dyDescent="0.25">
      <c r="A48" s="15" t="s">
        <v>780</v>
      </c>
      <c r="B48" s="18" t="s">
        <v>744</v>
      </c>
      <c r="C48" s="18" t="s">
        <v>12</v>
      </c>
      <c r="D48" s="2" t="str">
        <f>VLOOKUP($C48,Sheet1!$A$2:$B$10,2,0)</f>
        <v>141185-74670</v>
      </c>
      <c r="E48" s="8" t="s">
        <v>52</v>
      </c>
      <c r="F48" s="12">
        <v>46004</v>
      </c>
      <c r="G48" s="13">
        <v>0.8125</v>
      </c>
      <c r="H48" s="2" t="s">
        <v>41</v>
      </c>
      <c r="I48" s="2" t="s">
        <v>42</v>
      </c>
      <c r="J48" s="2">
        <v>80</v>
      </c>
      <c r="K48" s="14">
        <f>VLOOKUP($C48,Sheet1!$A$2:$D$10,4,0)</f>
        <v>40</v>
      </c>
      <c r="L48" s="14" t="str">
        <f>VLOOKUP($C48,Sheet1!$A$2:$E$10,5,0)</f>
        <v>Trolley</v>
      </c>
      <c r="M48" s="14"/>
      <c r="N48" s="2">
        <f>J48/K48</f>
        <v>2</v>
      </c>
      <c r="O48" s="2" t="s">
        <v>111</v>
      </c>
      <c r="P48" s="2">
        <v>910103227</v>
      </c>
    </row>
    <row r="49" spans="1:16" x14ac:dyDescent="0.25">
      <c r="A49" s="15" t="s">
        <v>780</v>
      </c>
      <c r="B49" s="18" t="s">
        <v>749</v>
      </c>
      <c r="C49" s="2" t="s">
        <v>16</v>
      </c>
      <c r="D49" s="2" t="str">
        <f>VLOOKUP($C49,Sheet1!$A$2:$B$10,2,0)</f>
        <v>141140-91211</v>
      </c>
      <c r="E49" s="8" t="s">
        <v>57</v>
      </c>
      <c r="F49" s="12">
        <v>46004</v>
      </c>
      <c r="G49" s="13">
        <v>0.8125</v>
      </c>
      <c r="H49" s="2" t="s">
        <v>58</v>
      </c>
      <c r="I49" s="2" t="s">
        <v>42</v>
      </c>
      <c r="J49" s="2">
        <v>44</v>
      </c>
      <c r="K49" s="14">
        <f>VLOOKUP($C49,Sheet1!$A$2:$D$10,4,0)</f>
        <v>2</v>
      </c>
      <c r="L49" s="14" t="str">
        <f>VLOOKUP($C49,Sheet1!$A$2:$E$10,5,0)</f>
        <v>Bin</v>
      </c>
      <c r="M49" s="14">
        <f t="shared" ref="M49:M50" si="6">J49/K49</f>
        <v>22</v>
      </c>
      <c r="N49" s="2"/>
      <c r="O49" s="2" t="s">
        <v>111</v>
      </c>
      <c r="P49" s="2" t="s">
        <v>878</v>
      </c>
    </row>
    <row r="50" spans="1:16" x14ac:dyDescent="0.25">
      <c r="A50" s="15" t="s">
        <v>780</v>
      </c>
      <c r="B50" s="18" t="s">
        <v>754</v>
      </c>
      <c r="C50" s="2" t="s">
        <v>20</v>
      </c>
      <c r="D50" s="2" t="str">
        <f>VLOOKUP($C50,Sheet1!$A$2:$B$10,2,0)</f>
        <v>141150-91211</v>
      </c>
      <c r="E50" s="8" t="s">
        <v>64</v>
      </c>
      <c r="F50" s="12">
        <v>46004</v>
      </c>
      <c r="G50" s="13">
        <v>0.8125</v>
      </c>
      <c r="H50" s="2" t="s">
        <v>58</v>
      </c>
      <c r="I50" s="2" t="s">
        <v>42</v>
      </c>
      <c r="J50" s="2">
        <v>46</v>
      </c>
      <c r="K50" s="14">
        <f>VLOOKUP($C50,Sheet1!$A$2:$D$10,4,0)</f>
        <v>2</v>
      </c>
      <c r="L50" s="14" t="str">
        <f>VLOOKUP($C50,Sheet1!$A$2:$E$10,5,0)</f>
        <v>Bin</v>
      </c>
      <c r="M50" s="14">
        <f t="shared" si="6"/>
        <v>23</v>
      </c>
      <c r="N50" s="2"/>
      <c r="O50" s="2" t="s">
        <v>111</v>
      </c>
      <c r="P50" s="2" t="s">
        <v>878</v>
      </c>
    </row>
    <row r="51" spans="1:16" x14ac:dyDescent="0.25">
      <c r="A51" s="15" t="s">
        <v>780</v>
      </c>
      <c r="B51" s="18" t="s">
        <v>758</v>
      </c>
      <c r="C51" s="2" t="s">
        <v>23</v>
      </c>
      <c r="D51" s="2" t="str">
        <f>VLOOKUP($C51,Sheet1!$A$2:$B$10,2,0)</f>
        <v>141186-74360</v>
      </c>
      <c r="E51" s="8" t="s">
        <v>70</v>
      </c>
      <c r="F51" s="12">
        <v>46004</v>
      </c>
      <c r="G51" s="13">
        <v>0.8125</v>
      </c>
      <c r="H51" s="2" t="s">
        <v>58</v>
      </c>
      <c r="I51" s="2" t="s">
        <v>42</v>
      </c>
      <c r="J51" s="2">
        <v>120</v>
      </c>
      <c r="K51" s="14">
        <f>VLOOKUP($C51,Sheet1!$A$2:$D$10,4,0)</f>
        <v>40</v>
      </c>
      <c r="L51" s="14" t="str">
        <f>VLOOKUP($C51,Sheet1!$A$2:$E$10,5,0)</f>
        <v>Trolley</v>
      </c>
      <c r="M51" s="14"/>
      <c r="N51" s="2">
        <f>J51/K51</f>
        <v>3</v>
      </c>
      <c r="O51" s="2" t="s">
        <v>111</v>
      </c>
      <c r="P51" s="2">
        <v>910103227</v>
      </c>
    </row>
    <row r="52" spans="1:16" x14ac:dyDescent="0.25">
      <c r="A52" s="15" t="s">
        <v>781</v>
      </c>
      <c r="B52" s="18" t="s">
        <v>762</v>
      </c>
      <c r="C52" s="2" t="s">
        <v>26</v>
      </c>
      <c r="D52" s="2" t="str">
        <f>VLOOKUP($C52,Sheet1!$A$2:$B$10,2,0)</f>
        <v>116040-92240</v>
      </c>
      <c r="E52" s="8" t="s">
        <v>75</v>
      </c>
      <c r="F52" s="12">
        <v>46004</v>
      </c>
      <c r="G52" s="13">
        <v>0.8125</v>
      </c>
      <c r="H52" s="2" t="s">
        <v>76</v>
      </c>
      <c r="I52" s="2" t="s">
        <v>42</v>
      </c>
      <c r="J52" s="2">
        <v>48</v>
      </c>
      <c r="K52" s="14">
        <f>VLOOKUP($C52,Sheet1!$A$2:$D$10,4,0)</f>
        <v>6</v>
      </c>
      <c r="L52" s="14" t="str">
        <f>VLOOKUP($C52,Sheet1!$A$2:$E$10,5,0)</f>
        <v>Bin</v>
      </c>
      <c r="M52" s="14">
        <f t="shared" ref="M52:M54" si="7">J52/K52</f>
        <v>8</v>
      </c>
      <c r="N52" s="2"/>
      <c r="O52" s="2" t="s">
        <v>111</v>
      </c>
      <c r="P52" s="2" t="s">
        <v>882</v>
      </c>
    </row>
    <row r="53" spans="1:16" x14ac:dyDescent="0.25">
      <c r="A53" s="15" t="s">
        <v>781</v>
      </c>
      <c r="B53" s="18" t="s">
        <v>766</v>
      </c>
      <c r="C53" s="2" t="s">
        <v>32</v>
      </c>
      <c r="D53" s="2" t="str">
        <f>VLOOKUP($C53,Sheet1!$A$2:$B$10,2,0)</f>
        <v>114010-50820</v>
      </c>
      <c r="E53" s="8" t="s">
        <v>82</v>
      </c>
      <c r="F53" s="12">
        <v>46004</v>
      </c>
      <c r="G53" s="13">
        <v>0.8125</v>
      </c>
      <c r="H53" s="2" t="s">
        <v>76</v>
      </c>
      <c r="I53" s="2" t="s">
        <v>42</v>
      </c>
      <c r="J53" s="2">
        <v>21</v>
      </c>
      <c r="K53" s="14">
        <f>VLOOKUP($C53,Sheet1!$A$2:$D$10,4,0)</f>
        <v>1</v>
      </c>
      <c r="L53" s="14" t="str">
        <f>VLOOKUP($C53,Sheet1!$A$2:$E$10,5,0)</f>
        <v>Bin</v>
      </c>
      <c r="M53" s="14">
        <f t="shared" si="7"/>
        <v>21</v>
      </c>
      <c r="N53" s="2"/>
      <c r="O53" s="2" t="s">
        <v>111</v>
      </c>
      <c r="P53" s="2" t="s">
        <v>883</v>
      </c>
    </row>
    <row r="54" spans="1:16" x14ac:dyDescent="0.25">
      <c r="A54" s="15" t="s">
        <v>781</v>
      </c>
      <c r="B54" s="18" t="s">
        <v>771</v>
      </c>
      <c r="C54" s="2" t="s">
        <v>29</v>
      </c>
      <c r="D54" s="2" t="str">
        <f>VLOOKUP($C54,Sheet1!$A$2:$B$10,2,0)</f>
        <v>114010-50830</v>
      </c>
      <c r="E54" s="8" t="s">
        <v>82</v>
      </c>
      <c r="F54" s="12">
        <v>46004</v>
      </c>
      <c r="G54" s="13">
        <v>0.8125</v>
      </c>
      <c r="H54" s="2" t="s">
        <v>76</v>
      </c>
      <c r="I54" s="2" t="s">
        <v>42</v>
      </c>
      <c r="J54" s="2">
        <v>24</v>
      </c>
      <c r="K54" s="14">
        <f>VLOOKUP($C54,Sheet1!$A$2:$D$10,4,0)</f>
        <v>1</v>
      </c>
      <c r="L54" s="14" t="str">
        <f>VLOOKUP($C54,Sheet1!$A$2:$E$10,5,0)</f>
        <v>Bin</v>
      </c>
      <c r="M54" s="14">
        <f t="shared" si="7"/>
        <v>24</v>
      </c>
      <c r="N54" s="2"/>
      <c r="O54" s="2" t="s">
        <v>111</v>
      </c>
      <c r="P54" s="2" t="s">
        <v>722</v>
      </c>
    </row>
    <row r="55" spans="1:16" s="11" customForma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>
        <v>98</v>
      </c>
      <c r="N55" s="10">
        <v>8</v>
      </c>
      <c r="O55" s="10"/>
      <c r="P55" s="10"/>
    </row>
    <row r="65" spans="1:16" x14ac:dyDescent="0.25">
      <c r="A65" s="2"/>
      <c r="B65" s="2" t="s">
        <v>772</v>
      </c>
      <c r="C65" s="2"/>
      <c r="D65" s="2"/>
      <c r="E65" s="8"/>
      <c r="F65" s="12"/>
      <c r="G65" s="13"/>
      <c r="H65" s="2"/>
      <c r="I65" s="2"/>
      <c r="J65" s="2"/>
      <c r="K65" s="14"/>
      <c r="L65" s="14"/>
      <c r="M65" s="14"/>
      <c r="N65" s="2"/>
      <c r="O65" s="2"/>
      <c r="P65" s="2"/>
    </row>
  </sheetData>
  <mergeCells count="8">
    <mergeCell ref="N26:N27"/>
    <mergeCell ref="N35:N36"/>
    <mergeCell ref="N46:N47"/>
    <mergeCell ref="A1:F1"/>
    <mergeCell ref="J1:N1"/>
    <mergeCell ref="L2:N2"/>
    <mergeCell ref="N4:N5"/>
    <mergeCell ref="N17:N18"/>
  </mergeCells>
  <conditionalFormatting sqref="B2">
    <cfRule type="duplicateValues" dxfId="69" priority="4"/>
    <cfRule type="duplicateValues" dxfId="68" priority="5"/>
  </conditionalFormatting>
  <conditionalFormatting sqref="B26:B33">
    <cfRule type="duplicateValues" dxfId="67" priority="2"/>
  </conditionalFormatting>
  <conditionalFormatting sqref="B65 B17:B25 B35:B44 B4:B15 B46:B54">
    <cfRule type="duplicateValues" dxfId="66" priority="3"/>
  </conditionalFormatting>
  <conditionalFormatting sqref="C44">
    <cfRule type="duplicateValues" dxfId="65" priority="1"/>
  </conditionalFormatting>
  <conditionalFormatting sqref="C2:D2">
    <cfRule type="duplicateValues" dxfId="64" priority="6"/>
    <cfRule type="duplicateValues" dxfId="63" priority="7"/>
  </conditionalFormatting>
  <hyperlinks>
    <hyperlink ref="B65" r:id="rId1" display="http://192.168.1.248/downloads/temp/X539_eNagare_20251212.log" xr:uid="{00000000-0004-0000-0E00-000000000000}"/>
  </hyperlinks>
  <pageMargins left="0.17" right="0.17" top="0.17" bottom="0.17" header="0.17" footer="0.17"/>
  <pageSetup paperSize="9" scale="51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P64"/>
  <sheetViews>
    <sheetView topLeftCell="A37" zoomScaleNormal="100" workbookViewId="0">
      <selection activeCell="A4" sqref="A4:XFD62"/>
    </sheetView>
  </sheetViews>
  <sheetFormatPr defaultColWidth="44.28515625" defaultRowHeight="15" x14ac:dyDescent="0.25"/>
  <cols>
    <col min="1" max="1" width="15.140625" customWidth="1"/>
    <col min="2" max="2" width="18.140625" customWidth="1"/>
    <col min="3" max="3" width="14.140625" bestFit="1" customWidth="1"/>
    <col min="4" max="4" width="14.140625" customWidth="1"/>
    <col min="5" max="5" width="32.5703125" bestFit="1" customWidth="1"/>
    <col min="6" max="6" width="10.140625" customWidth="1"/>
    <col min="7" max="7" width="9.140625" customWidth="1"/>
    <col min="8" max="8" width="10.7109375" bestFit="1" customWidth="1"/>
    <col min="9" max="9" width="5.42578125" customWidth="1"/>
    <col min="10" max="10" width="8" bestFit="1" customWidth="1"/>
    <col min="11" max="11" width="9" customWidth="1"/>
    <col min="12" max="12" width="10.28515625" customWidth="1"/>
    <col min="13" max="13" width="7.140625" bestFit="1" customWidth="1"/>
    <col min="14" max="14" width="7.85546875" bestFit="1" customWidth="1"/>
    <col min="15" max="15" width="10.7109375" customWidth="1"/>
    <col min="16" max="16" width="50.5703125" customWidth="1"/>
  </cols>
  <sheetData>
    <row r="1" spans="1:16" ht="23.25" x14ac:dyDescent="0.25">
      <c r="A1" s="53" t="s">
        <v>93</v>
      </c>
      <c r="B1" s="53"/>
      <c r="C1" s="53"/>
      <c r="D1" s="53"/>
      <c r="E1" s="53"/>
      <c r="F1" s="53"/>
      <c r="G1" s="2"/>
      <c r="H1" s="2"/>
      <c r="I1" s="2"/>
      <c r="J1" s="54" t="s">
        <v>94</v>
      </c>
      <c r="K1" s="55"/>
      <c r="L1" s="55"/>
      <c r="M1" s="55"/>
      <c r="N1" s="55"/>
      <c r="O1" s="3"/>
      <c r="P1" s="4"/>
    </row>
    <row r="2" spans="1:16" ht="16.5" customHeight="1" x14ac:dyDescent="0.25">
      <c r="A2" s="5" t="s">
        <v>95</v>
      </c>
      <c r="B2" s="6">
        <v>46006</v>
      </c>
      <c r="C2" s="7"/>
      <c r="D2" s="7"/>
      <c r="E2" s="2"/>
      <c r="F2" s="8"/>
      <c r="G2" s="2"/>
      <c r="H2" s="2"/>
      <c r="I2" s="2"/>
      <c r="J2" s="2"/>
      <c r="K2" s="2"/>
      <c r="L2" s="56" t="s">
        <v>96</v>
      </c>
      <c r="M2" s="57"/>
      <c r="N2" s="58"/>
      <c r="O2" s="2"/>
      <c r="P2" s="2"/>
    </row>
    <row r="3" spans="1:16" s="11" customFormat="1" ht="30" x14ac:dyDescent="0.25">
      <c r="A3" s="10" t="s">
        <v>97</v>
      </c>
      <c r="B3" s="10" t="s">
        <v>35</v>
      </c>
      <c r="C3" s="10" t="s">
        <v>0</v>
      </c>
      <c r="D3" s="10" t="s">
        <v>98</v>
      </c>
      <c r="E3" s="10" t="s">
        <v>2</v>
      </c>
      <c r="F3" s="10" t="s">
        <v>36</v>
      </c>
      <c r="G3" s="10" t="s">
        <v>37</v>
      </c>
      <c r="H3" s="10" t="s">
        <v>38</v>
      </c>
      <c r="I3" s="10" t="s">
        <v>99</v>
      </c>
      <c r="J3" s="10" t="s">
        <v>100</v>
      </c>
      <c r="K3" s="10" t="s">
        <v>101</v>
      </c>
      <c r="L3" s="10" t="s">
        <v>102</v>
      </c>
      <c r="M3" s="10" t="s">
        <v>103</v>
      </c>
      <c r="N3" s="10" t="s">
        <v>104</v>
      </c>
      <c r="O3" s="10" t="s">
        <v>96</v>
      </c>
      <c r="P3" s="10" t="s">
        <v>105</v>
      </c>
    </row>
    <row r="4" spans="1:16" x14ac:dyDescent="0.25">
      <c r="A4" s="15" t="s">
        <v>851</v>
      </c>
      <c r="B4" s="18" t="s">
        <v>796</v>
      </c>
      <c r="C4" s="2" t="s">
        <v>5</v>
      </c>
      <c r="D4" s="2" t="str">
        <f>VLOOKUP($C4,Sheet1!$A$2:$B$10,2,0)</f>
        <v>141110-14600</v>
      </c>
      <c r="E4" s="8" t="s">
        <v>40</v>
      </c>
      <c r="F4" s="12">
        <v>46006</v>
      </c>
      <c r="G4" s="13">
        <v>0.27083333333333331</v>
      </c>
      <c r="H4" s="2" t="s">
        <v>41</v>
      </c>
      <c r="I4" s="2" t="s">
        <v>42</v>
      </c>
      <c r="J4" s="2">
        <v>36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1">
        <v>2</v>
      </c>
      <c r="O4" s="2" t="s">
        <v>112</v>
      </c>
      <c r="P4" s="2" t="s">
        <v>1043</v>
      </c>
    </row>
    <row r="5" spans="1:16" x14ac:dyDescent="0.25">
      <c r="A5" s="15" t="s">
        <v>851</v>
      </c>
      <c r="B5" s="18" t="s">
        <v>802</v>
      </c>
      <c r="C5" s="2" t="s">
        <v>9</v>
      </c>
      <c r="D5" s="2" t="str">
        <f>VLOOKUP($C5,Sheet1!$A$2:$B$10,2,0)</f>
        <v>141120-14600</v>
      </c>
      <c r="E5" s="8" t="s">
        <v>47</v>
      </c>
      <c r="F5" s="12">
        <v>46006</v>
      </c>
      <c r="G5" s="13">
        <v>0.27083333333333331</v>
      </c>
      <c r="H5" s="2" t="s">
        <v>41</v>
      </c>
      <c r="I5" s="2" t="s">
        <v>42</v>
      </c>
      <c r="J5" s="2">
        <v>36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2"/>
      <c r="O5" s="2" t="s">
        <v>112</v>
      </c>
      <c r="P5" s="2" t="s">
        <v>1043</v>
      </c>
    </row>
    <row r="6" spans="1:16" x14ac:dyDescent="0.25">
      <c r="A6" s="15" t="s">
        <v>851</v>
      </c>
      <c r="B6" s="18" t="s">
        <v>797</v>
      </c>
      <c r="C6" s="2" t="s">
        <v>5</v>
      </c>
      <c r="D6" s="2" t="str">
        <f>VLOOKUP($C6,Sheet1!$A$2:$B$10,2,0)</f>
        <v>141110-14600</v>
      </c>
      <c r="E6" s="8" t="s">
        <v>40</v>
      </c>
      <c r="F6" s="12">
        <v>46006</v>
      </c>
      <c r="G6" s="13">
        <v>0.27083333333333331</v>
      </c>
      <c r="H6" s="2" t="s">
        <v>41</v>
      </c>
      <c r="I6" s="2" t="s">
        <v>42</v>
      </c>
      <c r="J6" s="2">
        <v>36</v>
      </c>
      <c r="K6" s="14">
        <f>VLOOKUP($C6,Sheet1!$A$2:$D$10,4,0)</f>
        <v>18</v>
      </c>
      <c r="L6" s="14" t="str">
        <f>VLOOKUP($C6,Sheet1!$A$2:$E$10,5,0)</f>
        <v>Trolley (H)</v>
      </c>
      <c r="M6" s="14"/>
      <c r="N6" s="51">
        <v>2</v>
      </c>
      <c r="O6" s="2" t="s">
        <v>112</v>
      </c>
      <c r="P6" s="2" t="s">
        <v>1043</v>
      </c>
    </row>
    <row r="7" spans="1:16" x14ac:dyDescent="0.25">
      <c r="A7" s="15" t="s">
        <v>851</v>
      </c>
      <c r="B7" s="18" t="s">
        <v>803</v>
      </c>
      <c r="C7" s="2" t="s">
        <v>9</v>
      </c>
      <c r="D7" s="2" t="str">
        <f>VLOOKUP($C7,Sheet1!$A$2:$B$10,2,0)</f>
        <v>141120-14600</v>
      </c>
      <c r="E7" s="8" t="s">
        <v>47</v>
      </c>
      <c r="F7" s="12">
        <v>46006</v>
      </c>
      <c r="G7" s="13">
        <v>0.27083333333333331</v>
      </c>
      <c r="H7" s="2" t="s">
        <v>41</v>
      </c>
      <c r="I7" s="2" t="s">
        <v>42</v>
      </c>
      <c r="J7" s="2">
        <v>36</v>
      </c>
      <c r="K7" s="14">
        <f>VLOOKUP($C7,Sheet1!$A$2:$D$10,4,0)</f>
        <v>18</v>
      </c>
      <c r="L7" s="14" t="str">
        <f>VLOOKUP($C7,Sheet1!$A$2:$E$10,5,0)</f>
        <v>Trolley (H)</v>
      </c>
      <c r="M7" s="14"/>
      <c r="N7" s="52"/>
      <c r="O7" s="2" t="s">
        <v>112</v>
      </c>
      <c r="P7" s="2" t="s">
        <v>1043</v>
      </c>
    </row>
    <row r="8" spans="1:16" x14ac:dyDescent="0.25">
      <c r="A8" s="15" t="s">
        <v>851</v>
      </c>
      <c r="B8" s="18" t="s">
        <v>808</v>
      </c>
      <c r="C8" s="2" t="s">
        <v>12</v>
      </c>
      <c r="D8" s="2" t="str">
        <f>VLOOKUP($C8,Sheet1!$A$2:$B$10,2,0)</f>
        <v>141185-74670</v>
      </c>
      <c r="E8" s="8" t="s">
        <v>52</v>
      </c>
      <c r="F8" s="12">
        <v>46006</v>
      </c>
      <c r="G8" s="13">
        <v>0.27083333333333331</v>
      </c>
      <c r="H8" s="2" t="s">
        <v>41</v>
      </c>
      <c r="I8" s="2" t="s">
        <v>42</v>
      </c>
      <c r="J8" s="2">
        <v>40</v>
      </c>
      <c r="K8" s="14">
        <f>VLOOKUP($C8,Sheet1!$A$2:$D$10,4,0)</f>
        <v>40</v>
      </c>
      <c r="L8" s="14" t="str">
        <f>VLOOKUP($C8,Sheet1!$A$2:$E$10,5,0)</f>
        <v>Trolley</v>
      </c>
      <c r="M8" s="14"/>
      <c r="N8" s="2">
        <f>J8/K8</f>
        <v>1</v>
      </c>
      <c r="O8" s="2" t="s">
        <v>112</v>
      </c>
      <c r="P8" s="2">
        <v>910103227</v>
      </c>
    </row>
    <row r="9" spans="1:16" x14ac:dyDescent="0.25">
      <c r="A9" s="15" t="s">
        <v>851</v>
      </c>
      <c r="B9" s="18" t="s">
        <v>809</v>
      </c>
      <c r="C9" s="2" t="s">
        <v>12</v>
      </c>
      <c r="D9" s="2" t="str">
        <f>VLOOKUP($C9,Sheet1!$A$2:$B$10,2,0)</f>
        <v>141185-74670</v>
      </c>
      <c r="E9" s="8" t="s">
        <v>52</v>
      </c>
      <c r="F9" s="12">
        <v>46006</v>
      </c>
      <c r="G9" s="13">
        <v>0.27083333333333331</v>
      </c>
      <c r="H9" s="2" t="s">
        <v>41</v>
      </c>
      <c r="I9" s="2" t="s">
        <v>42</v>
      </c>
      <c r="J9" s="2">
        <v>40</v>
      </c>
      <c r="K9" s="14">
        <f>VLOOKUP($C9,Sheet1!$A$2:$D$10,4,0)</f>
        <v>40</v>
      </c>
      <c r="L9" s="14" t="str">
        <f>VLOOKUP($C9,Sheet1!$A$2:$E$10,5,0)</f>
        <v>Trolley</v>
      </c>
      <c r="M9" s="14"/>
      <c r="N9" s="2">
        <f>J9/K9</f>
        <v>1</v>
      </c>
      <c r="O9" s="2" t="s">
        <v>112</v>
      </c>
      <c r="P9" s="2">
        <v>910103227</v>
      </c>
    </row>
    <row r="10" spans="1:16" x14ac:dyDescent="0.25">
      <c r="A10" s="15" t="s">
        <v>851</v>
      </c>
      <c r="B10" s="18" t="s">
        <v>814</v>
      </c>
      <c r="C10" s="2" t="s">
        <v>16</v>
      </c>
      <c r="D10" s="2" t="str">
        <f>VLOOKUP($C10,Sheet1!$A$2:$B$10,2,0)</f>
        <v>141140-91211</v>
      </c>
      <c r="E10" s="8" t="s">
        <v>57</v>
      </c>
      <c r="F10" s="12">
        <v>46006</v>
      </c>
      <c r="G10" s="13">
        <v>0.27083333333333331</v>
      </c>
      <c r="H10" s="2" t="s">
        <v>58</v>
      </c>
      <c r="I10" s="2" t="s">
        <v>42</v>
      </c>
      <c r="J10" s="2">
        <v>30</v>
      </c>
      <c r="K10" s="14">
        <f>VLOOKUP($C10,Sheet1!$A$2:$D$10,4,0)</f>
        <v>2</v>
      </c>
      <c r="L10" s="14" t="str">
        <f>VLOOKUP($C10,Sheet1!$A$2:$E$10,5,0)</f>
        <v>Bin</v>
      </c>
      <c r="M10" s="14">
        <f>J10/K10</f>
        <v>15</v>
      </c>
      <c r="N10" s="2"/>
      <c r="O10" s="2" t="s">
        <v>112</v>
      </c>
      <c r="P10" s="2" t="s">
        <v>878</v>
      </c>
    </row>
    <row r="11" spans="1:16" x14ac:dyDescent="0.25">
      <c r="A11" s="15" t="s">
        <v>851</v>
      </c>
      <c r="B11" s="18" t="s">
        <v>815</v>
      </c>
      <c r="C11" s="2" t="s">
        <v>16</v>
      </c>
      <c r="D11" s="2" t="str">
        <f>VLOOKUP($C11,Sheet1!$A$2:$B$10,2,0)</f>
        <v>141140-91211</v>
      </c>
      <c r="E11" s="8" t="s">
        <v>57</v>
      </c>
      <c r="F11" s="12">
        <v>46006</v>
      </c>
      <c r="G11" s="13">
        <v>0.27083333333333331</v>
      </c>
      <c r="H11" s="2" t="s">
        <v>58</v>
      </c>
      <c r="I11" s="2" t="s">
        <v>42</v>
      </c>
      <c r="J11" s="2">
        <v>26</v>
      </c>
      <c r="K11" s="14">
        <f>VLOOKUP($C11,Sheet1!$A$2:$D$10,4,0)</f>
        <v>2</v>
      </c>
      <c r="L11" s="14" t="str">
        <f>VLOOKUP($C11,Sheet1!$A$2:$E$10,5,0)</f>
        <v>Bin</v>
      </c>
      <c r="M11" s="14">
        <f t="shared" ref="M11:M13" si="0">J11/K11</f>
        <v>13</v>
      </c>
      <c r="N11" s="2"/>
      <c r="O11" s="2" t="s">
        <v>112</v>
      </c>
      <c r="P11" s="2" t="s">
        <v>878</v>
      </c>
    </row>
    <row r="12" spans="1:16" x14ac:dyDescent="0.25">
      <c r="A12" s="15" t="s">
        <v>851</v>
      </c>
      <c r="B12" s="18" t="s">
        <v>820</v>
      </c>
      <c r="C12" s="2" t="s">
        <v>20</v>
      </c>
      <c r="D12" s="2" t="str">
        <f>VLOOKUP($C12,Sheet1!$A$2:$B$10,2,0)</f>
        <v>141150-91211</v>
      </c>
      <c r="E12" s="8" t="s">
        <v>64</v>
      </c>
      <c r="F12" s="12">
        <v>46006</v>
      </c>
      <c r="G12" s="13">
        <v>0.27083333333333331</v>
      </c>
      <c r="H12" s="2" t="s">
        <v>58</v>
      </c>
      <c r="I12" s="2" t="s">
        <v>42</v>
      </c>
      <c r="J12" s="2">
        <v>30</v>
      </c>
      <c r="K12" s="14">
        <f>VLOOKUP($C12,Sheet1!$A$2:$D$10,4,0)</f>
        <v>2</v>
      </c>
      <c r="L12" s="14" t="str">
        <f>VLOOKUP($C12,Sheet1!$A$2:$E$10,5,0)</f>
        <v>Bin</v>
      </c>
      <c r="M12" s="14">
        <f t="shared" si="0"/>
        <v>15</v>
      </c>
      <c r="N12" s="2"/>
      <c r="O12" s="2" t="s">
        <v>112</v>
      </c>
      <c r="P12" s="2" t="s">
        <v>878</v>
      </c>
    </row>
    <row r="13" spans="1:16" x14ac:dyDescent="0.25">
      <c r="A13" s="15" t="s">
        <v>851</v>
      </c>
      <c r="B13" s="18" t="s">
        <v>821</v>
      </c>
      <c r="C13" s="2" t="s">
        <v>20</v>
      </c>
      <c r="D13" s="2" t="str">
        <f>VLOOKUP($C13,Sheet1!$A$2:$B$10,2,0)</f>
        <v>141150-91211</v>
      </c>
      <c r="E13" s="8" t="s">
        <v>64</v>
      </c>
      <c r="F13" s="12">
        <v>46006</v>
      </c>
      <c r="G13" s="13">
        <v>0.27083333333333331</v>
      </c>
      <c r="H13" s="2" t="s">
        <v>58</v>
      </c>
      <c r="I13" s="2" t="s">
        <v>42</v>
      </c>
      <c r="J13" s="2">
        <v>26</v>
      </c>
      <c r="K13" s="14">
        <f>VLOOKUP($C13,Sheet1!$A$2:$D$10,4,0)</f>
        <v>2</v>
      </c>
      <c r="L13" s="14" t="str">
        <f>VLOOKUP($C13,Sheet1!$A$2:$E$10,5,0)</f>
        <v>Bin</v>
      </c>
      <c r="M13" s="14">
        <f t="shared" si="0"/>
        <v>13</v>
      </c>
      <c r="N13" s="2"/>
      <c r="O13" s="2" t="s">
        <v>112</v>
      </c>
      <c r="P13" s="2" t="s">
        <v>878</v>
      </c>
    </row>
    <row r="14" spans="1:16" x14ac:dyDescent="0.25">
      <c r="A14" s="15" t="s">
        <v>851</v>
      </c>
      <c r="B14" s="18" t="s">
        <v>826</v>
      </c>
      <c r="C14" s="2" t="s">
        <v>23</v>
      </c>
      <c r="D14" s="2" t="str">
        <f>VLOOKUP($C14,Sheet1!$A$2:$B$10,2,0)</f>
        <v>141186-74360</v>
      </c>
      <c r="E14" s="8" t="s">
        <v>70</v>
      </c>
      <c r="F14" s="12">
        <v>46006</v>
      </c>
      <c r="G14" s="13">
        <v>0.27083333333333331</v>
      </c>
      <c r="H14" s="2" t="s">
        <v>58</v>
      </c>
      <c r="I14" s="2" t="s">
        <v>42</v>
      </c>
      <c r="J14" s="2">
        <v>40</v>
      </c>
      <c r="K14" s="14">
        <f>VLOOKUP($C14,Sheet1!$A$2:$D$10,4,0)</f>
        <v>40</v>
      </c>
      <c r="L14" s="14" t="str">
        <f>VLOOKUP($C14,Sheet1!$A$2:$E$10,5,0)</f>
        <v>Trolley</v>
      </c>
      <c r="M14" s="14"/>
      <c r="N14" s="2">
        <f t="shared" ref="N14:N15" si="1">J14/K14</f>
        <v>1</v>
      </c>
      <c r="O14" s="2" t="s">
        <v>112</v>
      </c>
      <c r="P14" s="2">
        <v>910103227</v>
      </c>
    </row>
    <row r="15" spans="1:16" x14ac:dyDescent="0.25">
      <c r="A15" s="15" t="s">
        <v>851</v>
      </c>
      <c r="B15" s="18" t="s">
        <v>827</v>
      </c>
      <c r="C15" s="2" t="s">
        <v>23</v>
      </c>
      <c r="D15" s="2" t="str">
        <f>VLOOKUP($C15,Sheet1!$A$2:$B$10,2,0)</f>
        <v>141186-74360</v>
      </c>
      <c r="E15" s="8" t="s">
        <v>70</v>
      </c>
      <c r="F15" s="12">
        <v>46006</v>
      </c>
      <c r="G15" s="13">
        <v>0.27083333333333331</v>
      </c>
      <c r="H15" s="2" t="s">
        <v>58</v>
      </c>
      <c r="I15" s="2" t="s">
        <v>42</v>
      </c>
      <c r="J15" s="2">
        <v>40</v>
      </c>
      <c r="K15" s="14">
        <f>VLOOKUP($C15,Sheet1!$A$2:$D$10,4,0)</f>
        <v>40</v>
      </c>
      <c r="L15" s="14" t="str">
        <f>VLOOKUP($C15,Sheet1!$A$2:$E$10,5,0)</f>
        <v>Trolley</v>
      </c>
      <c r="M15" s="14"/>
      <c r="N15" s="2">
        <f t="shared" si="1"/>
        <v>1</v>
      </c>
      <c r="O15" s="2" t="s">
        <v>112</v>
      </c>
      <c r="P15" s="2">
        <v>910103227</v>
      </c>
    </row>
    <row r="16" spans="1:16" x14ac:dyDescent="0.25">
      <c r="A16" s="15" t="s">
        <v>852</v>
      </c>
      <c r="B16" s="18" t="s">
        <v>832</v>
      </c>
      <c r="C16" s="2" t="s">
        <v>26</v>
      </c>
      <c r="D16" s="2" t="str">
        <f>VLOOKUP($C16,Sheet1!$A$2:$B$10,2,0)</f>
        <v>116040-92240</v>
      </c>
      <c r="E16" s="8" t="s">
        <v>75</v>
      </c>
      <c r="F16" s="12">
        <v>46006</v>
      </c>
      <c r="G16" s="13">
        <v>0.27083333333333331</v>
      </c>
      <c r="H16" s="2" t="s">
        <v>76</v>
      </c>
      <c r="I16" s="2" t="s">
        <v>42</v>
      </c>
      <c r="J16" s="2">
        <v>30</v>
      </c>
      <c r="K16" s="14">
        <f>VLOOKUP($C16,Sheet1!$A$2:$D$10,4,0)</f>
        <v>6</v>
      </c>
      <c r="L16" s="14" t="str">
        <f>VLOOKUP($C16,Sheet1!$A$2:$E$10,5,0)</f>
        <v>Bin</v>
      </c>
      <c r="M16" s="14">
        <f t="shared" ref="M16:M21" si="2">J16/K16</f>
        <v>5</v>
      </c>
      <c r="N16" s="2"/>
      <c r="O16" s="2" t="s">
        <v>112</v>
      </c>
      <c r="P16" s="2" t="s">
        <v>882</v>
      </c>
    </row>
    <row r="17" spans="1:16" x14ac:dyDescent="0.25">
      <c r="A17" s="15" t="s">
        <v>852</v>
      </c>
      <c r="B17" s="18" t="s">
        <v>833</v>
      </c>
      <c r="C17" s="2" t="s">
        <v>26</v>
      </c>
      <c r="D17" s="2" t="str">
        <f>VLOOKUP($C17,Sheet1!$A$2:$B$10,2,0)</f>
        <v>116040-92240</v>
      </c>
      <c r="E17" s="8" t="s">
        <v>75</v>
      </c>
      <c r="F17" s="12">
        <v>46006</v>
      </c>
      <c r="G17" s="13">
        <v>0.27083333333333331</v>
      </c>
      <c r="H17" s="2" t="s">
        <v>76</v>
      </c>
      <c r="I17" s="2" t="s">
        <v>42</v>
      </c>
      <c r="J17" s="2">
        <v>24</v>
      </c>
      <c r="K17" s="14">
        <f>VLOOKUP($C17,Sheet1!$A$2:$D$10,4,0)</f>
        <v>6</v>
      </c>
      <c r="L17" s="14" t="str">
        <f>VLOOKUP($C17,Sheet1!$A$2:$E$10,5,0)</f>
        <v>Bin</v>
      </c>
      <c r="M17" s="14">
        <f t="shared" si="2"/>
        <v>4</v>
      </c>
      <c r="N17" s="2"/>
      <c r="O17" s="2" t="s">
        <v>112</v>
      </c>
      <c r="P17" s="2" t="s">
        <v>882</v>
      </c>
    </row>
    <row r="18" spans="1:16" x14ac:dyDescent="0.25">
      <c r="A18" s="15" t="s">
        <v>852</v>
      </c>
      <c r="B18" s="18" t="s">
        <v>838</v>
      </c>
      <c r="C18" s="2" t="s">
        <v>32</v>
      </c>
      <c r="D18" s="2" t="str">
        <f>VLOOKUP($C18,Sheet1!$A$2:$B$10,2,0)</f>
        <v>114010-50820</v>
      </c>
      <c r="E18" s="8" t="s">
        <v>82</v>
      </c>
      <c r="F18" s="12">
        <v>46006</v>
      </c>
      <c r="G18" s="13">
        <v>0.27083333333333331</v>
      </c>
      <c r="H18" s="2" t="s">
        <v>76</v>
      </c>
      <c r="I18" s="2" t="s">
        <v>42</v>
      </c>
      <c r="J18" s="2">
        <v>8</v>
      </c>
      <c r="K18" s="14">
        <f>VLOOKUP($C18,Sheet1!$A$2:$D$10,4,0)</f>
        <v>1</v>
      </c>
      <c r="L18" s="14" t="str">
        <f>VLOOKUP($C18,Sheet1!$A$2:$E$10,5,0)</f>
        <v>Bin</v>
      </c>
      <c r="M18" s="14">
        <f t="shared" si="2"/>
        <v>8</v>
      </c>
      <c r="N18" s="2"/>
      <c r="O18" s="2" t="s">
        <v>112</v>
      </c>
      <c r="P18" s="2" t="s">
        <v>883</v>
      </c>
    </row>
    <row r="19" spans="1:16" x14ac:dyDescent="0.25">
      <c r="A19" s="15" t="s">
        <v>852</v>
      </c>
      <c r="B19" s="18" t="s">
        <v>839</v>
      </c>
      <c r="C19" s="2" t="s">
        <v>32</v>
      </c>
      <c r="D19" s="2" t="str">
        <f>VLOOKUP($C19,Sheet1!$A$2:$B$10,2,0)</f>
        <v>114010-50820</v>
      </c>
      <c r="E19" s="8" t="s">
        <v>82</v>
      </c>
      <c r="F19" s="12">
        <v>46006</v>
      </c>
      <c r="G19" s="13">
        <v>0.27083333333333331</v>
      </c>
      <c r="H19" s="2" t="s">
        <v>76</v>
      </c>
      <c r="I19" s="2" t="s">
        <v>42</v>
      </c>
      <c r="J19" s="2">
        <v>11</v>
      </c>
      <c r="K19" s="14">
        <f>VLOOKUP($C19,Sheet1!$A$2:$D$10,4,0)</f>
        <v>1</v>
      </c>
      <c r="L19" s="14" t="str">
        <f>VLOOKUP($C19,Sheet1!$A$2:$E$10,5,0)</f>
        <v>Bin</v>
      </c>
      <c r="M19" s="14">
        <f t="shared" si="2"/>
        <v>11</v>
      </c>
      <c r="N19" s="2"/>
      <c r="O19" s="2" t="s">
        <v>112</v>
      </c>
      <c r="P19" s="2" t="s">
        <v>883</v>
      </c>
    </row>
    <row r="20" spans="1:16" x14ac:dyDescent="0.25">
      <c r="A20" s="15" t="s">
        <v>852</v>
      </c>
      <c r="B20" s="18" t="s">
        <v>844</v>
      </c>
      <c r="C20" s="2" t="s">
        <v>29</v>
      </c>
      <c r="D20" s="2" t="str">
        <f>VLOOKUP($C20,Sheet1!$A$2:$B$10,2,0)</f>
        <v>114010-50830</v>
      </c>
      <c r="E20" s="8" t="s">
        <v>82</v>
      </c>
      <c r="F20" s="12">
        <v>46006</v>
      </c>
      <c r="G20" s="13">
        <v>0.27083333333333331</v>
      </c>
      <c r="H20" s="2" t="s">
        <v>76</v>
      </c>
      <c r="I20" s="2" t="s">
        <v>42</v>
      </c>
      <c r="J20" s="2">
        <v>22</v>
      </c>
      <c r="K20" s="14">
        <f>VLOOKUP($C20,Sheet1!$A$2:$D$10,4,0)</f>
        <v>1</v>
      </c>
      <c r="L20" s="14" t="str">
        <f>VLOOKUP($C20,Sheet1!$A$2:$E$10,5,0)</f>
        <v>Bin</v>
      </c>
      <c r="M20" s="14">
        <f t="shared" si="2"/>
        <v>22</v>
      </c>
      <c r="N20" s="2"/>
      <c r="O20" s="2" t="s">
        <v>112</v>
      </c>
      <c r="P20" s="2" t="s">
        <v>722</v>
      </c>
    </row>
    <row r="21" spans="1:16" x14ac:dyDescent="0.25">
      <c r="A21" s="15" t="s">
        <v>852</v>
      </c>
      <c r="B21" s="18" t="s">
        <v>845</v>
      </c>
      <c r="C21" s="2" t="s">
        <v>29</v>
      </c>
      <c r="D21" s="2" t="str">
        <f>VLOOKUP($C21,Sheet1!$A$2:$B$10,2,0)</f>
        <v>114010-50830</v>
      </c>
      <c r="E21" s="8" t="s">
        <v>82</v>
      </c>
      <c r="F21" s="12">
        <v>46006</v>
      </c>
      <c r="G21" s="13">
        <v>0.27083333333333331</v>
      </c>
      <c r="H21" s="2" t="s">
        <v>76</v>
      </c>
      <c r="I21" s="2" t="s">
        <v>42</v>
      </c>
      <c r="J21" s="2">
        <v>15</v>
      </c>
      <c r="K21" s="14">
        <f>VLOOKUP($C21,Sheet1!$A$2:$D$10,4,0)</f>
        <v>1</v>
      </c>
      <c r="L21" s="14" t="str">
        <f>VLOOKUP($C21,Sheet1!$A$2:$E$10,5,0)</f>
        <v>Bin</v>
      </c>
      <c r="M21" s="14">
        <f t="shared" si="2"/>
        <v>15</v>
      </c>
      <c r="N21" s="2"/>
      <c r="O21" s="2" t="s">
        <v>112</v>
      </c>
      <c r="P21" s="2" t="s">
        <v>722</v>
      </c>
    </row>
    <row r="22" spans="1:16" s="11" customForma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>
        <v>121</v>
      </c>
      <c r="N22" s="10">
        <v>8</v>
      </c>
      <c r="O22" s="10"/>
      <c r="P22" s="10"/>
    </row>
    <row r="23" spans="1:16" x14ac:dyDescent="0.25">
      <c r="A23" s="15" t="s">
        <v>853</v>
      </c>
      <c r="B23" s="18" t="s">
        <v>798</v>
      </c>
      <c r="C23" s="2" t="s">
        <v>5</v>
      </c>
      <c r="D23" s="2" t="str">
        <f>VLOOKUP($C23,Sheet1!$A$2:$B$10,2,0)</f>
        <v>141110-14600</v>
      </c>
      <c r="E23" s="8" t="s">
        <v>40</v>
      </c>
      <c r="F23" s="12">
        <v>46006</v>
      </c>
      <c r="G23" s="13">
        <v>0.4375</v>
      </c>
      <c r="H23" s="2" t="s">
        <v>41</v>
      </c>
      <c r="I23" s="2" t="s">
        <v>42</v>
      </c>
      <c r="J23" s="2">
        <v>18</v>
      </c>
      <c r="K23" s="14">
        <f>VLOOKUP($C23,Sheet1!$A$2:$D$10,4,0)</f>
        <v>18</v>
      </c>
      <c r="L23" s="14" t="str">
        <f>VLOOKUP($C23,Sheet1!$A$2:$E$10,5,0)</f>
        <v>Trolley (H)</v>
      </c>
      <c r="M23" s="14"/>
      <c r="N23" s="51">
        <v>1</v>
      </c>
      <c r="O23" s="2" t="s">
        <v>861</v>
      </c>
      <c r="P23" s="2" t="s">
        <v>1043</v>
      </c>
    </row>
    <row r="24" spans="1:16" x14ac:dyDescent="0.25">
      <c r="A24" s="15" t="s">
        <v>853</v>
      </c>
      <c r="B24" s="18" t="s">
        <v>804</v>
      </c>
      <c r="C24" s="2" t="s">
        <v>9</v>
      </c>
      <c r="D24" s="2" t="str">
        <f>VLOOKUP($C24,Sheet1!$A$2:$B$10,2,0)</f>
        <v>141120-14600</v>
      </c>
      <c r="E24" s="8" t="s">
        <v>47</v>
      </c>
      <c r="F24" s="12">
        <v>46006</v>
      </c>
      <c r="G24" s="13">
        <v>0.4375</v>
      </c>
      <c r="H24" s="2" t="s">
        <v>41</v>
      </c>
      <c r="I24" s="2" t="s">
        <v>42</v>
      </c>
      <c r="J24" s="2">
        <v>18</v>
      </c>
      <c r="K24" s="14">
        <f>VLOOKUP($C24,Sheet1!$A$2:$D$10,4,0)</f>
        <v>18</v>
      </c>
      <c r="L24" s="14" t="str">
        <f>VLOOKUP($C24,Sheet1!$A$2:$E$10,5,0)</f>
        <v>Trolley (H)</v>
      </c>
      <c r="M24" s="14"/>
      <c r="N24" s="52"/>
      <c r="O24" s="2" t="s">
        <v>861</v>
      </c>
      <c r="P24" s="2" t="s">
        <v>1043</v>
      </c>
    </row>
    <row r="25" spans="1:16" x14ac:dyDescent="0.25">
      <c r="A25" s="15" t="s">
        <v>853</v>
      </c>
      <c r="B25" s="18" t="s">
        <v>810</v>
      </c>
      <c r="C25" s="2" t="s">
        <v>12</v>
      </c>
      <c r="D25" s="2" t="str">
        <f>VLOOKUP($C25,Sheet1!$A$2:$B$10,2,0)</f>
        <v>141185-74670</v>
      </c>
      <c r="E25" s="8" t="s">
        <v>52</v>
      </c>
      <c r="F25" s="12">
        <v>46006</v>
      </c>
      <c r="G25" s="13">
        <v>0.4375</v>
      </c>
      <c r="H25" s="2" t="s">
        <v>41</v>
      </c>
      <c r="I25" s="2" t="s">
        <v>42</v>
      </c>
      <c r="J25" s="2">
        <v>40</v>
      </c>
      <c r="K25" s="14">
        <f>VLOOKUP($C25,Sheet1!$A$2:$D$10,4,0)</f>
        <v>40</v>
      </c>
      <c r="L25" s="14" t="str">
        <f>VLOOKUP($C25,Sheet1!$A$2:$E$10,5,0)</f>
        <v>Trolley</v>
      </c>
      <c r="M25" s="14"/>
      <c r="N25" s="2">
        <f>J25/K25</f>
        <v>1</v>
      </c>
      <c r="O25" s="2" t="s">
        <v>861</v>
      </c>
      <c r="P25" s="2">
        <v>910103227</v>
      </c>
    </row>
    <row r="26" spans="1:16" x14ac:dyDescent="0.25">
      <c r="A26" s="15" t="s">
        <v>853</v>
      </c>
      <c r="B26" s="18" t="s">
        <v>816</v>
      </c>
      <c r="C26" s="2" t="s">
        <v>16</v>
      </c>
      <c r="D26" s="2" t="str">
        <f>VLOOKUP($C26,Sheet1!$A$2:$B$10,2,0)</f>
        <v>141140-91211</v>
      </c>
      <c r="E26" s="8" t="s">
        <v>57</v>
      </c>
      <c r="F26" s="12">
        <v>46006</v>
      </c>
      <c r="G26" s="13">
        <v>0.4375</v>
      </c>
      <c r="H26" s="2" t="s">
        <v>58</v>
      </c>
      <c r="I26" s="2" t="s">
        <v>42</v>
      </c>
      <c r="J26" s="2">
        <v>16</v>
      </c>
      <c r="K26" s="14">
        <f>VLOOKUP($C26,Sheet1!$A$2:$D$10,4,0)</f>
        <v>2</v>
      </c>
      <c r="L26" s="14" t="str">
        <f>VLOOKUP($C26,Sheet1!$A$2:$E$10,5,0)</f>
        <v>Bin</v>
      </c>
      <c r="M26" s="14">
        <f t="shared" ref="M26:M27" si="3">J26/K26</f>
        <v>8</v>
      </c>
      <c r="N26" s="2"/>
      <c r="O26" s="2" t="s">
        <v>861</v>
      </c>
      <c r="P26" s="2" t="s">
        <v>878</v>
      </c>
    </row>
    <row r="27" spans="1:16" x14ac:dyDescent="0.25">
      <c r="A27" s="15" t="s">
        <v>853</v>
      </c>
      <c r="B27" s="18" t="s">
        <v>822</v>
      </c>
      <c r="C27" s="2" t="s">
        <v>20</v>
      </c>
      <c r="D27" s="2" t="str">
        <f>VLOOKUP($C27,Sheet1!$A$2:$B$10,2,0)</f>
        <v>141150-91211</v>
      </c>
      <c r="E27" s="8" t="s">
        <v>64</v>
      </c>
      <c r="F27" s="12">
        <v>46006</v>
      </c>
      <c r="G27" s="13">
        <v>0.4375</v>
      </c>
      <c r="H27" s="2" t="s">
        <v>58</v>
      </c>
      <c r="I27" s="2" t="s">
        <v>42</v>
      </c>
      <c r="J27" s="2">
        <v>16</v>
      </c>
      <c r="K27" s="14">
        <f>VLOOKUP($C27,Sheet1!$A$2:$D$10,4,0)</f>
        <v>2</v>
      </c>
      <c r="L27" s="14" t="str">
        <f>VLOOKUP($C27,Sheet1!$A$2:$E$10,5,0)</f>
        <v>Bin</v>
      </c>
      <c r="M27" s="14">
        <f t="shared" si="3"/>
        <v>8</v>
      </c>
      <c r="N27" s="2"/>
      <c r="O27" s="2" t="s">
        <v>861</v>
      </c>
      <c r="P27" s="2" t="s">
        <v>878</v>
      </c>
    </row>
    <row r="28" spans="1:16" x14ac:dyDescent="0.25">
      <c r="A28" s="15" t="s">
        <v>853</v>
      </c>
      <c r="B28" s="18" t="s">
        <v>828</v>
      </c>
      <c r="C28" s="2" t="s">
        <v>23</v>
      </c>
      <c r="D28" s="2" t="str">
        <f>VLOOKUP($C28,Sheet1!$A$2:$B$10,2,0)</f>
        <v>141186-74360</v>
      </c>
      <c r="E28" s="8" t="s">
        <v>70</v>
      </c>
      <c r="F28" s="12">
        <v>46006</v>
      </c>
      <c r="G28" s="13">
        <v>0.4375</v>
      </c>
      <c r="H28" s="2" t="s">
        <v>58</v>
      </c>
      <c r="I28" s="2" t="s">
        <v>42</v>
      </c>
      <c r="J28" s="2">
        <v>40</v>
      </c>
      <c r="K28" s="14">
        <f>VLOOKUP($C28,Sheet1!$A$2:$D$10,4,0)</f>
        <v>40</v>
      </c>
      <c r="L28" s="14" t="str">
        <f>VLOOKUP($C28,Sheet1!$A$2:$E$10,5,0)</f>
        <v>Trolley</v>
      </c>
      <c r="M28" s="14"/>
      <c r="N28" s="2">
        <f>J28/K28</f>
        <v>1</v>
      </c>
      <c r="O28" s="2" t="s">
        <v>861</v>
      </c>
      <c r="P28" s="2">
        <v>910100866</v>
      </c>
    </row>
    <row r="29" spans="1:16" x14ac:dyDescent="0.25">
      <c r="A29" s="15" t="s">
        <v>854</v>
      </c>
      <c r="B29" s="18" t="s">
        <v>834</v>
      </c>
      <c r="C29" s="2" t="s">
        <v>26</v>
      </c>
      <c r="D29" s="2" t="str">
        <f>VLOOKUP($C29,Sheet1!$A$2:$B$10,2,0)</f>
        <v>116040-92240</v>
      </c>
      <c r="E29" s="8" t="s">
        <v>75</v>
      </c>
      <c r="F29" s="12">
        <v>46006</v>
      </c>
      <c r="G29" s="13">
        <v>0.4375</v>
      </c>
      <c r="H29" s="2" t="s">
        <v>76</v>
      </c>
      <c r="I29" s="2" t="s">
        <v>42</v>
      </c>
      <c r="J29" s="2">
        <v>18</v>
      </c>
      <c r="K29" s="14">
        <f>VLOOKUP($C29,Sheet1!$A$2:$D$10,4,0)</f>
        <v>6</v>
      </c>
      <c r="L29" s="14" t="str">
        <f>VLOOKUP($C29,Sheet1!$A$2:$E$10,5,0)</f>
        <v>Bin</v>
      </c>
      <c r="M29" s="14">
        <f t="shared" ref="M29:M31" si="4">J29/K29</f>
        <v>3</v>
      </c>
      <c r="N29" s="2"/>
      <c r="O29" s="2" t="s">
        <v>861</v>
      </c>
      <c r="P29" s="2" t="s">
        <v>882</v>
      </c>
    </row>
    <row r="30" spans="1:16" x14ac:dyDescent="0.25">
      <c r="A30" s="15" t="s">
        <v>854</v>
      </c>
      <c r="B30" s="18" t="s">
        <v>840</v>
      </c>
      <c r="C30" s="2" t="s">
        <v>32</v>
      </c>
      <c r="D30" s="2" t="str">
        <f>VLOOKUP($C30,Sheet1!$A$2:$B$10,2,0)</f>
        <v>114010-50820</v>
      </c>
      <c r="E30" s="8" t="s">
        <v>82</v>
      </c>
      <c r="F30" s="12">
        <v>46006</v>
      </c>
      <c r="G30" s="13">
        <v>0.4375</v>
      </c>
      <c r="H30" s="2" t="s">
        <v>76</v>
      </c>
      <c r="I30" s="2" t="s">
        <v>42</v>
      </c>
      <c r="J30" s="2">
        <v>7</v>
      </c>
      <c r="K30" s="14">
        <f>VLOOKUP($C30,Sheet1!$A$2:$D$10,4,0)</f>
        <v>1</v>
      </c>
      <c r="L30" s="14" t="str">
        <f>VLOOKUP($C30,Sheet1!$A$2:$E$10,5,0)</f>
        <v>Bin</v>
      </c>
      <c r="M30" s="14">
        <f t="shared" si="4"/>
        <v>7</v>
      </c>
      <c r="N30" s="2"/>
      <c r="O30" s="2" t="s">
        <v>861</v>
      </c>
      <c r="P30" s="2" t="s">
        <v>883</v>
      </c>
    </row>
    <row r="31" spans="1:16" x14ac:dyDescent="0.25">
      <c r="A31" s="15" t="s">
        <v>854</v>
      </c>
      <c r="B31" s="18" t="s">
        <v>846</v>
      </c>
      <c r="C31" s="2" t="s">
        <v>29</v>
      </c>
      <c r="D31" s="2" t="str">
        <f>VLOOKUP($C31,Sheet1!$A$2:$B$10,2,0)</f>
        <v>114010-50830</v>
      </c>
      <c r="E31" s="8" t="s">
        <v>82</v>
      </c>
      <c r="F31" s="12">
        <v>46006</v>
      </c>
      <c r="G31" s="13">
        <v>0.4375</v>
      </c>
      <c r="H31" s="2" t="s">
        <v>76</v>
      </c>
      <c r="I31" s="2" t="s">
        <v>42</v>
      </c>
      <c r="J31" s="2">
        <v>9</v>
      </c>
      <c r="K31" s="14">
        <f>VLOOKUP($C31,Sheet1!$A$2:$D$10,4,0)</f>
        <v>1</v>
      </c>
      <c r="L31" s="14" t="str">
        <f>VLOOKUP($C31,Sheet1!$A$2:$E$10,5,0)</f>
        <v>Bin</v>
      </c>
      <c r="M31" s="14">
        <f t="shared" si="4"/>
        <v>9</v>
      </c>
      <c r="N31" s="2"/>
      <c r="O31" s="2" t="s">
        <v>861</v>
      </c>
      <c r="P31" s="2" t="s">
        <v>722</v>
      </c>
    </row>
    <row r="32" spans="1:16" s="11" customForma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>
        <v>35</v>
      </c>
      <c r="N32" s="10">
        <v>3</v>
      </c>
      <c r="O32" s="10"/>
      <c r="P32" s="10"/>
    </row>
    <row r="33" spans="1:16" x14ac:dyDescent="0.25">
      <c r="A33" s="15" t="s">
        <v>855</v>
      </c>
      <c r="B33" s="18" t="s">
        <v>799</v>
      </c>
      <c r="C33" s="2" t="s">
        <v>5</v>
      </c>
      <c r="D33" s="2" t="str">
        <f>VLOOKUP($C33,Sheet1!$A$2:$B$10,2,0)</f>
        <v>141110-14600</v>
      </c>
      <c r="E33" s="8" t="s">
        <v>40</v>
      </c>
      <c r="F33" s="12">
        <v>46006</v>
      </c>
      <c r="G33" s="13">
        <v>0.47916666666666669</v>
      </c>
      <c r="H33" s="2" t="s">
        <v>41</v>
      </c>
      <c r="I33" s="2" t="s">
        <v>42</v>
      </c>
      <c r="J33" s="2">
        <v>36</v>
      </c>
      <c r="K33" s="14">
        <f>VLOOKUP($C33,Sheet1!$A$2:$D$10,4,0)</f>
        <v>18</v>
      </c>
      <c r="L33" s="14" t="str">
        <f>VLOOKUP($C33,Sheet1!$A$2:$E$10,5,0)</f>
        <v>Trolley (H)</v>
      </c>
      <c r="M33" s="14"/>
      <c r="N33" s="51">
        <v>2</v>
      </c>
      <c r="O33" s="2" t="s">
        <v>113</v>
      </c>
      <c r="P33" s="2" t="s">
        <v>1043</v>
      </c>
    </row>
    <row r="34" spans="1:16" x14ac:dyDescent="0.25">
      <c r="A34" s="15" t="s">
        <v>855</v>
      </c>
      <c r="B34" s="18" t="s">
        <v>805</v>
      </c>
      <c r="C34" s="2" t="s">
        <v>9</v>
      </c>
      <c r="D34" s="2" t="str">
        <f>VLOOKUP($C34,Sheet1!$A$2:$B$10,2,0)</f>
        <v>141120-14600</v>
      </c>
      <c r="E34" s="8" t="s">
        <v>47</v>
      </c>
      <c r="F34" s="12">
        <v>46006</v>
      </c>
      <c r="G34" s="13">
        <v>0.47916666666666669</v>
      </c>
      <c r="H34" s="2" t="s">
        <v>41</v>
      </c>
      <c r="I34" s="2" t="s">
        <v>42</v>
      </c>
      <c r="J34" s="2">
        <v>36</v>
      </c>
      <c r="K34" s="14">
        <f>VLOOKUP($C34,Sheet1!$A$2:$D$10,4,0)</f>
        <v>18</v>
      </c>
      <c r="L34" s="14" t="str">
        <f>VLOOKUP($C34,Sheet1!$A$2:$E$10,5,0)</f>
        <v>Trolley (H)</v>
      </c>
      <c r="M34" s="14"/>
      <c r="N34" s="52"/>
      <c r="O34" s="2" t="s">
        <v>113</v>
      </c>
      <c r="P34" s="2" t="s">
        <v>1043</v>
      </c>
    </row>
    <row r="35" spans="1:16" x14ac:dyDescent="0.25">
      <c r="A35" s="15" t="s">
        <v>855</v>
      </c>
      <c r="B35" s="18" t="s">
        <v>811</v>
      </c>
      <c r="C35" s="2" t="s">
        <v>12</v>
      </c>
      <c r="D35" s="2" t="str">
        <f>VLOOKUP($C35,Sheet1!$A$2:$B$10,2,0)</f>
        <v>141185-74670</v>
      </c>
      <c r="E35" s="8" t="s">
        <v>52</v>
      </c>
      <c r="F35" s="12">
        <v>46006</v>
      </c>
      <c r="G35" s="13">
        <v>0.47916666666666669</v>
      </c>
      <c r="H35" s="2" t="s">
        <v>41</v>
      </c>
      <c r="I35" s="2" t="s">
        <v>42</v>
      </c>
      <c r="J35" s="2">
        <v>80</v>
      </c>
      <c r="K35" s="14">
        <f>VLOOKUP($C35,Sheet1!$A$2:$D$10,4,0)</f>
        <v>40</v>
      </c>
      <c r="L35" s="14" t="str">
        <f>VLOOKUP($C35,Sheet1!$A$2:$E$10,5,0)</f>
        <v>Trolley</v>
      </c>
      <c r="M35" s="14"/>
      <c r="N35" s="2">
        <f>J35/K35</f>
        <v>2</v>
      </c>
      <c r="O35" s="2" t="s">
        <v>113</v>
      </c>
      <c r="P35" s="2">
        <v>910103227</v>
      </c>
    </row>
    <row r="36" spans="1:16" x14ac:dyDescent="0.25">
      <c r="A36" s="15" t="s">
        <v>855</v>
      </c>
      <c r="B36" s="18" t="s">
        <v>817</v>
      </c>
      <c r="C36" s="2" t="s">
        <v>16</v>
      </c>
      <c r="D36" s="2" t="str">
        <f>VLOOKUP($C36,Sheet1!$A$2:$B$10,2,0)</f>
        <v>141140-91211</v>
      </c>
      <c r="E36" s="8" t="s">
        <v>57</v>
      </c>
      <c r="F36" s="12">
        <v>46006</v>
      </c>
      <c r="G36" s="13">
        <v>0.47916666666666669</v>
      </c>
      <c r="H36" s="2" t="s">
        <v>58</v>
      </c>
      <c r="I36" s="2" t="s">
        <v>42</v>
      </c>
      <c r="J36" s="2">
        <v>30</v>
      </c>
      <c r="K36" s="14">
        <f>VLOOKUP($C36,Sheet1!$A$2:$D$10,4,0)</f>
        <v>2</v>
      </c>
      <c r="L36" s="14" t="str">
        <f>VLOOKUP($C36,Sheet1!$A$2:$E$10,5,0)</f>
        <v>Bin</v>
      </c>
      <c r="M36" s="14">
        <f t="shared" ref="M36:M37" si="5">J36/K36</f>
        <v>15</v>
      </c>
      <c r="N36" s="2"/>
      <c r="O36" s="2" t="s">
        <v>113</v>
      </c>
      <c r="P36" s="2" t="s">
        <v>878</v>
      </c>
    </row>
    <row r="37" spans="1:16" x14ac:dyDescent="0.25">
      <c r="A37" s="15" t="s">
        <v>855</v>
      </c>
      <c r="B37" s="18" t="s">
        <v>823</v>
      </c>
      <c r="C37" s="2" t="s">
        <v>20</v>
      </c>
      <c r="D37" s="2" t="str">
        <f>VLOOKUP($C37,Sheet1!$A$2:$B$10,2,0)</f>
        <v>141150-91211</v>
      </c>
      <c r="E37" s="8" t="s">
        <v>64</v>
      </c>
      <c r="F37" s="12">
        <v>46006</v>
      </c>
      <c r="G37" s="13">
        <v>0.47916666666666669</v>
      </c>
      <c r="H37" s="2" t="s">
        <v>58</v>
      </c>
      <c r="I37" s="2" t="s">
        <v>42</v>
      </c>
      <c r="J37" s="2">
        <v>30</v>
      </c>
      <c r="K37" s="14">
        <f>VLOOKUP($C37,Sheet1!$A$2:$D$10,4,0)</f>
        <v>2</v>
      </c>
      <c r="L37" s="14" t="str">
        <f>VLOOKUP($C37,Sheet1!$A$2:$E$10,5,0)</f>
        <v>Bin</v>
      </c>
      <c r="M37" s="14">
        <f t="shared" si="5"/>
        <v>15</v>
      </c>
      <c r="N37" s="2"/>
      <c r="O37" s="2" t="s">
        <v>113</v>
      </c>
      <c r="P37" s="2" t="s">
        <v>1047</v>
      </c>
    </row>
    <row r="38" spans="1:16" x14ac:dyDescent="0.25">
      <c r="A38" s="15" t="s">
        <v>855</v>
      </c>
      <c r="B38" s="18" t="s">
        <v>829</v>
      </c>
      <c r="C38" s="2" t="s">
        <v>23</v>
      </c>
      <c r="D38" s="2" t="str">
        <f>VLOOKUP($C38,Sheet1!$A$2:$B$10,2,0)</f>
        <v>141186-74360</v>
      </c>
      <c r="E38" s="8" t="s">
        <v>70</v>
      </c>
      <c r="F38" s="12">
        <v>46006</v>
      </c>
      <c r="G38" s="13">
        <v>0.47916666666666669</v>
      </c>
      <c r="H38" s="2" t="s">
        <v>58</v>
      </c>
      <c r="I38" s="2" t="s">
        <v>42</v>
      </c>
      <c r="J38" s="2">
        <v>80</v>
      </c>
      <c r="K38" s="14">
        <f>VLOOKUP($C38,Sheet1!$A$2:$D$10,4,0)</f>
        <v>40</v>
      </c>
      <c r="L38" s="14" t="str">
        <f>VLOOKUP($C38,Sheet1!$A$2:$E$10,5,0)</f>
        <v>Trolley</v>
      </c>
      <c r="M38" s="14"/>
      <c r="N38" s="2">
        <f>J38/K38</f>
        <v>2</v>
      </c>
      <c r="O38" s="2" t="s">
        <v>113</v>
      </c>
      <c r="P38" s="2">
        <v>910103227</v>
      </c>
    </row>
    <row r="39" spans="1:16" x14ac:dyDescent="0.25">
      <c r="A39" s="15" t="s">
        <v>856</v>
      </c>
      <c r="B39" s="18" t="s">
        <v>835</v>
      </c>
      <c r="C39" s="2" t="s">
        <v>26</v>
      </c>
      <c r="D39" s="2" t="str">
        <f>VLOOKUP($C39,Sheet1!$A$2:$B$10,2,0)</f>
        <v>116040-92240</v>
      </c>
      <c r="E39" s="8" t="s">
        <v>75</v>
      </c>
      <c r="F39" s="12">
        <v>46006</v>
      </c>
      <c r="G39" s="13">
        <v>0.47916666666666669</v>
      </c>
      <c r="H39" s="2" t="s">
        <v>76</v>
      </c>
      <c r="I39" s="2" t="s">
        <v>42</v>
      </c>
      <c r="J39" s="2">
        <v>30</v>
      </c>
      <c r="K39" s="14">
        <f>VLOOKUP($C39,Sheet1!$A$2:$D$10,4,0)</f>
        <v>6</v>
      </c>
      <c r="L39" s="14" t="str">
        <f>VLOOKUP($C39,Sheet1!$A$2:$E$10,5,0)</f>
        <v>Bin</v>
      </c>
      <c r="M39" s="14">
        <f t="shared" ref="M39:M41" si="6">J39/K39</f>
        <v>5</v>
      </c>
      <c r="N39" s="2"/>
      <c r="O39" s="2" t="s">
        <v>113</v>
      </c>
      <c r="P39" s="2" t="s">
        <v>1048</v>
      </c>
    </row>
    <row r="40" spans="1:16" x14ac:dyDescent="0.25">
      <c r="A40" s="15" t="s">
        <v>856</v>
      </c>
      <c r="B40" s="18" t="s">
        <v>841</v>
      </c>
      <c r="C40" s="2" t="s">
        <v>32</v>
      </c>
      <c r="D40" s="2" t="str">
        <f>VLOOKUP($C40,Sheet1!$A$2:$B$10,2,0)</f>
        <v>114010-50820</v>
      </c>
      <c r="E40" s="8" t="s">
        <v>82</v>
      </c>
      <c r="F40" s="12">
        <v>46006</v>
      </c>
      <c r="G40" s="13">
        <v>0.47916666666666669</v>
      </c>
      <c r="H40" s="2" t="s">
        <v>76</v>
      </c>
      <c r="I40" s="2" t="s">
        <v>42</v>
      </c>
      <c r="J40" s="2">
        <v>13</v>
      </c>
      <c r="K40" s="14">
        <f>VLOOKUP($C40,Sheet1!$A$2:$D$10,4,0)</f>
        <v>1</v>
      </c>
      <c r="L40" s="14" t="str">
        <f>VLOOKUP($C40,Sheet1!$A$2:$E$10,5,0)</f>
        <v>Bin</v>
      </c>
      <c r="M40" s="14">
        <f t="shared" si="6"/>
        <v>13</v>
      </c>
      <c r="N40" s="2"/>
      <c r="O40" s="2" t="s">
        <v>113</v>
      </c>
      <c r="P40" s="2" t="s">
        <v>883</v>
      </c>
    </row>
    <row r="41" spans="1:16" x14ac:dyDescent="0.25">
      <c r="A41" s="15" t="s">
        <v>856</v>
      </c>
      <c r="B41" s="18" t="s">
        <v>847</v>
      </c>
      <c r="C41" s="2" t="s">
        <v>29</v>
      </c>
      <c r="D41" s="2" t="str">
        <f>VLOOKUP($C41,Sheet1!$A$2:$B$10,2,0)</f>
        <v>114010-50830</v>
      </c>
      <c r="E41" s="8" t="s">
        <v>82</v>
      </c>
      <c r="F41" s="12">
        <v>46006</v>
      </c>
      <c r="G41" s="13">
        <v>0.47916666666666669</v>
      </c>
      <c r="H41" s="2" t="s">
        <v>76</v>
      </c>
      <c r="I41" s="2" t="s">
        <v>42</v>
      </c>
      <c r="J41" s="2">
        <v>17</v>
      </c>
      <c r="K41" s="14">
        <f>VLOOKUP($C41,Sheet1!$A$2:$D$10,4,0)</f>
        <v>1</v>
      </c>
      <c r="L41" s="14" t="str">
        <f>VLOOKUP($C41,Sheet1!$A$2:$E$10,5,0)</f>
        <v>Bin</v>
      </c>
      <c r="M41" s="14">
        <f t="shared" si="6"/>
        <v>17</v>
      </c>
      <c r="N41" s="2"/>
      <c r="O41" s="2" t="s">
        <v>113</v>
      </c>
      <c r="P41" s="2" t="s">
        <v>722</v>
      </c>
    </row>
    <row r="42" spans="1:16" s="11" customForma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>
        <v>65</v>
      </c>
      <c r="N42" s="10">
        <v>6</v>
      </c>
      <c r="O42" s="10"/>
      <c r="P42" s="10"/>
    </row>
    <row r="43" spans="1:16" x14ac:dyDescent="0.25">
      <c r="A43" s="15" t="s">
        <v>857</v>
      </c>
      <c r="B43" s="18" t="s">
        <v>800</v>
      </c>
      <c r="C43" s="2" t="s">
        <v>5</v>
      </c>
      <c r="D43" s="2" t="str">
        <f>VLOOKUP($C43,Sheet1!$A$2:$B$10,2,0)</f>
        <v>141110-14600</v>
      </c>
      <c r="E43" s="8" t="s">
        <v>40</v>
      </c>
      <c r="F43" s="12">
        <v>46006</v>
      </c>
      <c r="G43" s="13">
        <v>0.5625</v>
      </c>
      <c r="H43" s="2" t="s">
        <v>41</v>
      </c>
      <c r="I43" s="2" t="s">
        <v>42</v>
      </c>
      <c r="J43" s="2">
        <v>18</v>
      </c>
      <c r="K43" s="14">
        <f>VLOOKUP($C43,Sheet1!$A$2:$D$10,4,0)</f>
        <v>18</v>
      </c>
      <c r="L43" s="14" t="str">
        <f>VLOOKUP($C43,Sheet1!$A$2:$E$10,5,0)</f>
        <v>Trolley (H)</v>
      </c>
      <c r="M43" s="14"/>
      <c r="N43" s="51">
        <v>1</v>
      </c>
      <c r="O43" s="2" t="s">
        <v>157</v>
      </c>
      <c r="P43" s="2" t="s">
        <v>1050</v>
      </c>
    </row>
    <row r="44" spans="1:16" x14ac:dyDescent="0.25">
      <c r="A44" s="15" t="s">
        <v>857</v>
      </c>
      <c r="B44" s="18" t="s">
        <v>806</v>
      </c>
      <c r="C44" s="2" t="s">
        <v>9</v>
      </c>
      <c r="D44" s="2" t="str">
        <f>VLOOKUP($C44,Sheet1!$A$2:$B$10,2,0)</f>
        <v>141120-14600</v>
      </c>
      <c r="E44" s="8" t="s">
        <v>47</v>
      </c>
      <c r="F44" s="12">
        <v>46006</v>
      </c>
      <c r="G44" s="13">
        <v>0.5625</v>
      </c>
      <c r="H44" s="2" t="s">
        <v>41</v>
      </c>
      <c r="I44" s="2" t="s">
        <v>42</v>
      </c>
      <c r="J44" s="2">
        <v>18</v>
      </c>
      <c r="K44" s="14">
        <f>VLOOKUP($C44,Sheet1!$A$2:$D$10,4,0)</f>
        <v>18</v>
      </c>
      <c r="L44" s="14" t="str">
        <f>VLOOKUP($C44,Sheet1!$A$2:$E$10,5,0)</f>
        <v>Trolley (H)</v>
      </c>
      <c r="M44" s="14"/>
      <c r="N44" s="52"/>
      <c r="O44" s="2" t="s">
        <v>157</v>
      </c>
      <c r="P44" s="2" t="s">
        <v>1051</v>
      </c>
    </row>
    <row r="45" spans="1:16" x14ac:dyDescent="0.25">
      <c r="A45" s="15" t="s">
        <v>857</v>
      </c>
      <c r="B45" s="18" t="s">
        <v>812</v>
      </c>
      <c r="C45" s="2" t="s">
        <v>12</v>
      </c>
      <c r="D45" s="2" t="str">
        <f>VLOOKUP($C45,Sheet1!$A$2:$B$10,2,0)</f>
        <v>141185-74670</v>
      </c>
      <c r="E45" s="8" t="s">
        <v>52</v>
      </c>
      <c r="F45" s="12">
        <v>46006</v>
      </c>
      <c r="G45" s="13">
        <v>0.5625</v>
      </c>
      <c r="H45" s="2" t="s">
        <v>41</v>
      </c>
      <c r="I45" s="2" t="s">
        <v>42</v>
      </c>
      <c r="J45" s="2">
        <v>40</v>
      </c>
      <c r="K45" s="14">
        <f>VLOOKUP($C45,Sheet1!$A$2:$D$10,4,0)</f>
        <v>40</v>
      </c>
      <c r="L45" s="14" t="str">
        <f>VLOOKUP($C45,Sheet1!$A$2:$E$10,5,0)</f>
        <v>Trolley</v>
      </c>
      <c r="M45" s="14"/>
      <c r="N45" s="2">
        <f>J45/K45</f>
        <v>1</v>
      </c>
      <c r="O45" s="2" t="s">
        <v>157</v>
      </c>
      <c r="P45" s="2">
        <v>910103227</v>
      </c>
    </row>
    <row r="46" spans="1:16" x14ac:dyDescent="0.25">
      <c r="A46" s="15" t="s">
        <v>857</v>
      </c>
      <c r="B46" s="18" t="s">
        <v>818</v>
      </c>
      <c r="C46" s="2" t="s">
        <v>16</v>
      </c>
      <c r="D46" s="2" t="str">
        <f>VLOOKUP($C46,Sheet1!$A$2:$B$10,2,0)</f>
        <v>141140-91211</v>
      </c>
      <c r="E46" s="8" t="s">
        <v>57</v>
      </c>
      <c r="F46" s="12">
        <v>46006</v>
      </c>
      <c r="G46" s="13">
        <v>0.5625</v>
      </c>
      <c r="H46" s="2" t="s">
        <v>58</v>
      </c>
      <c r="I46" s="2" t="s">
        <v>42</v>
      </c>
      <c r="J46" s="2">
        <v>26</v>
      </c>
      <c r="K46" s="14">
        <f>VLOOKUP($C46,Sheet1!$A$2:$D$10,4,0)</f>
        <v>2</v>
      </c>
      <c r="L46" s="14" t="str">
        <f>VLOOKUP($C46,Sheet1!$A$2:$E$10,5,0)</f>
        <v>Bin</v>
      </c>
      <c r="M46" s="14">
        <f t="shared" ref="M46:M47" si="7">J46/K46</f>
        <v>13</v>
      </c>
      <c r="N46" s="2"/>
      <c r="O46" s="2" t="s">
        <v>157</v>
      </c>
      <c r="P46" s="2" t="s">
        <v>878</v>
      </c>
    </row>
    <row r="47" spans="1:16" x14ac:dyDescent="0.25">
      <c r="A47" s="15" t="s">
        <v>857</v>
      </c>
      <c r="B47" s="18" t="s">
        <v>824</v>
      </c>
      <c r="C47" s="2" t="s">
        <v>20</v>
      </c>
      <c r="D47" s="2" t="str">
        <f>VLOOKUP($C47,Sheet1!$A$2:$B$10,2,0)</f>
        <v>141150-91211</v>
      </c>
      <c r="E47" s="8" t="s">
        <v>64</v>
      </c>
      <c r="F47" s="12">
        <v>46006</v>
      </c>
      <c r="G47" s="13">
        <v>0.5625</v>
      </c>
      <c r="H47" s="2" t="s">
        <v>58</v>
      </c>
      <c r="I47" s="2" t="s">
        <v>42</v>
      </c>
      <c r="J47" s="2">
        <v>26</v>
      </c>
      <c r="K47" s="14">
        <f>VLOOKUP($C47,Sheet1!$A$2:$D$10,4,0)</f>
        <v>2</v>
      </c>
      <c r="L47" s="14" t="str">
        <f>VLOOKUP($C47,Sheet1!$A$2:$E$10,5,0)</f>
        <v>Bin</v>
      </c>
      <c r="M47" s="14">
        <f t="shared" si="7"/>
        <v>13</v>
      </c>
      <c r="N47" s="2"/>
      <c r="O47" s="2" t="s">
        <v>157</v>
      </c>
      <c r="P47" s="2" t="s">
        <v>171</v>
      </c>
    </row>
    <row r="48" spans="1:16" x14ac:dyDescent="0.25">
      <c r="A48" s="15" t="s">
        <v>857</v>
      </c>
      <c r="B48" s="18" t="s">
        <v>830</v>
      </c>
      <c r="C48" s="2" t="s">
        <v>23</v>
      </c>
      <c r="D48" s="2" t="str">
        <f>VLOOKUP($C48,Sheet1!$A$2:$B$10,2,0)</f>
        <v>141186-74360</v>
      </c>
      <c r="E48" s="8" t="s">
        <v>70</v>
      </c>
      <c r="F48" s="12">
        <v>46006</v>
      </c>
      <c r="G48" s="13">
        <v>0.5625</v>
      </c>
      <c r="H48" s="2" t="s">
        <v>58</v>
      </c>
      <c r="I48" s="2" t="s">
        <v>42</v>
      </c>
      <c r="J48" s="2">
        <v>40</v>
      </c>
      <c r="K48" s="14">
        <f>VLOOKUP($C48,Sheet1!$A$2:$D$10,4,0)</f>
        <v>40</v>
      </c>
      <c r="L48" s="14" t="str">
        <f>VLOOKUP($C48,Sheet1!$A$2:$E$10,5,0)</f>
        <v>Trolley</v>
      </c>
      <c r="M48" s="14"/>
      <c r="N48" s="2">
        <f>J48/K48</f>
        <v>1</v>
      </c>
      <c r="O48" s="2" t="s">
        <v>157</v>
      </c>
      <c r="P48" s="2">
        <v>910103227</v>
      </c>
    </row>
    <row r="49" spans="1:16" x14ac:dyDescent="0.25">
      <c r="A49" s="15" t="s">
        <v>858</v>
      </c>
      <c r="B49" s="18" t="s">
        <v>836</v>
      </c>
      <c r="C49" s="2" t="s">
        <v>26</v>
      </c>
      <c r="D49" s="2" t="str">
        <f>VLOOKUP($C49,Sheet1!$A$2:$B$10,2,0)</f>
        <v>116040-92240</v>
      </c>
      <c r="E49" s="8" t="s">
        <v>75</v>
      </c>
      <c r="F49" s="12">
        <v>46006</v>
      </c>
      <c r="G49" s="13">
        <v>0.5625</v>
      </c>
      <c r="H49" s="2" t="s">
        <v>76</v>
      </c>
      <c r="I49" s="2" t="s">
        <v>42</v>
      </c>
      <c r="J49" s="2">
        <v>24</v>
      </c>
      <c r="K49" s="14">
        <f>VLOOKUP($C49,Sheet1!$A$2:$D$10,4,0)</f>
        <v>6</v>
      </c>
      <c r="L49" s="14" t="str">
        <f>VLOOKUP($C49,Sheet1!$A$2:$E$10,5,0)</f>
        <v>Bin</v>
      </c>
      <c r="M49" s="14">
        <f t="shared" ref="M49:M51" si="8">J49/K49</f>
        <v>4</v>
      </c>
      <c r="N49" s="2"/>
      <c r="O49" s="2" t="s">
        <v>157</v>
      </c>
      <c r="P49" s="2" t="s">
        <v>1048</v>
      </c>
    </row>
    <row r="50" spans="1:16" x14ac:dyDescent="0.25">
      <c r="A50" s="15" t="s">
        <v>858</v>
      </c>
      <c r="B50" s="18" t="s">
        <v>842</v>
      </c>
      <c r="C50" s="2" t="s">
        <v>32</v>
      </c>
      <c r="D50" s="2" t="str">
        <f>VLOOKUP($C50,Sheet1!$A$2:$B$10,2,0)</f>
        <v>114010-50820</v>
      </c>
      <c r="E50" s="8" t="s">
        <v>82</v>
      </c>
      <c r="F50" s="12">
        <v>46006</v>
      </c>
      <c r="G50" s="13">
        <v>0.5625</v>
      </c>
      <c r="H50" s="2" t="s">
        <v>76</v>
      </c>
      <c r="I50" s="2" t="s">
        <v>42</v>
      </c>
      <c r="J50" s="2">
        <v>6</v>
      </c>
      <c r="K50" s="14">
        <f>VLOOKUP($C50,Sheet1!$A$2:$D$10,4,0)</f>
        <v>1</v>
      </c>
      <c r="L50" s="14" t="str">
        <f>VLOOKUP($C50,Sheet1!$A$2:$E$10,5,0)</f>
        <v>Bin</v>
      </c>
      <c r="M50" s="14">
        <f t="shared" si="8"/>
        <v>6</v>
      </c>
      <c r="N50" s="2"/>
      <c r="O50" s="2" t="s">
        <v>157</v>
      </c>
      <c r="P50" s="2" t="s">
        <v>883</v>
      </c>
    </row>
    <row r="51" spans="1:16" x14ac:dyDescent="0.25">
      <c r="A51" s="15" t="s">
        <v>858</v>
      </c>
      <c r="B51" s="18" t="s">
        <v>848</v>
      </c>
      <c r="C51" s="2" t="s">
        <v>29</v>
      </c>
      <c r="D51" s="2" t="str">
        <f>VLOOKUP($C51,Sheet1!$A$2:$B$10,2,0)</f>
        <v>114010-50830</v>
      </c>
      <c r="E51" s="8" t="s">
        <v>82</v>
      </c>
      <c r="F51" s="12">
        <v>46006</v>
      </c>
      <c r="G51" s="13">
        <v>0.5625</v>
      </c>
      <c r="H51" s="2" t="s">
        <v>76</v>
      </c>
      <c r="I51" s="2" t="s">
        <v>42</v>
      </c>
      <c r="J51" s="2">
        <v>20</v>
      </c>
      <c r="K51" s="14">
        <f>VLOOKUP($C51,Sheet1!$A$2:$D$10,4,0)</f>
        <v>1</v>
      </c>
      <c r="L51" s="14" t="str">
        <f>VLOOKUP($C51,Sheet1!$A$2:$E$10,5,0)</f>
        <v>Bin</v>
      </c>
      <c r="M51" s="14">
        <f t="shared" si="8"/>
        <v>20</v>
      </c>
      <c r="N51" s="2"/>
      <c r="O51" s="2" t="s">
        <v>157</v>
      </c>
      <c r="P51" s="2" t="s">
        <v>722</v>
      </c>
    </row>
    <row r="52" spans="1:16" s="11" customForma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>
        <v>56</v>
      </c>
      <c r="N52" s="10">
        <v>3</v>
      </c>
      <c r="O52" s="10"/>
      <c r="P52" s="10"/>
    </row>
    <row r="53" spans="1:16" x14ac:dyDescent="0.25">
      <c r="A53" s="15" t="s">
        <v>859</v>
      </c>
      <c r="B53" s="18" t="s">
        <v>801</v>
      </c>
      <c r="C53" s="2" t="s">
        <v>5</v>
      </c>
      <c r="D53" s="2" t="str">
        <f>VLOOKUP($C53,Sheet1!$A$2:$B$10,2,0)</f>
        <v>141110-14600</v>
      </c>
      <c r="E53" s="8" t="s">
        <v>40</v>
      </c>
      <c r="F53" s="12">
        <v>46006</v>
      </c>
      <c r="G53" s="13">
        <v>0.6875</v>
      </c>
      <c r="H53" s="2" t="s">
        <v>41</v>
      </c>
      <c r="I53" s="2" t="s">
        <v>42</v>
      </c>
      <c r="J53" s="2">
        <v>18</v>
      </c>
      <c r="K53" s="14">
        <f>VLOOKUP($C53,Sheet1!$A$2:$D$10,4,0)</f>
        <v>18</v>
      </c>
      <c r="L53" s="14" t="str">
        <f>VLOOKUP($C53,Sheet1!$A$2:$E$10,5,0)</f>
        <v>Trolley (H)</v>
      </c>
      <c r="M53" s="14"/>
      <c r="N53" s="51">
        <v>1</v>
      </c>
      <c r="O53" s="2" t="s">
        <v>111</v>
      </c>
      <c r="P53" s="2" t="s">
        <v>1043</v>
      </c>
    </row>
    <row r="54" spans="1:16" x14ac:dyDescent="0.25">
      <c r="A54" s="15" t="s">
        <v>859</v>
      </c>
      <c r="B54" s="18" t="s">
        <v>807</v>
      </c>
      <c r="C54" s="2" t="s">
        <v>9</v>
      </c>
      <c r="D54" s="2" t="str">
        <f>VLOOKUP($C54,Sheet1!$A$2:$B$10,2,0)</f>
        <v>141120-14600</v>
      </c>
      <c r="E54" s="8" t="s">
        <v>47</v>
      </c>
      <c r="F54" s="12">
        <v>46006</v>
      </c>
      <c r="G54" s="13">
        <v>0.6875</v>
      </c>
      <c r="H54" s="2" t="s">
        <v>41</v>
      </c>
      <c r="I54" s="2" t="s">
        <v>42</v>
      </c>
      <c r="J54" s="2">
        <v>18</v>
      </c>
      <c r="K54" s="14">
        <f>VLOOKUP($C54,Sheet1!$A$2:$D$10,4,0)</f>
        <v>18</v>
      </c>
      <c r="L54" s="14" t="str">
        <f>VLOOKUP($C54,Sheet1!$A$2:$E$10,5,0)</f>
        <v>Trolley (H)</v>
      </c>
      <c r="M54" s="14"/>
      <c r="N54" s="52"/>
      <c r="O54" s="2" t="s">
        <v>111</v>
      </c>
      <c r="P54" s="2" t="s">
        <v>1043</v>
      </c>
    </row>
    <row r="55" spans="1:16" x14ac:dyDescent="0.25">
      <c r="A55" s="15" t="s">
        <v>859</v>
      </c>
      <c r="B55" s="18" t="s">
        <v>813</v>
      </c>
      <c r="C55" s="2" t="s">
        <v>12</v>
      </c>
      <c r="D55" s="2" t="str">
        <f>VLOOKUP($C55,Sheet1!$A$2:$B$10,2,0)</f>
        <v>141185-74670</v>
      </c>
      <c r="E55" s="8" t="s">
        <v>52</v>
      </c>
      <c r="F55" s="12">
        <v>46006</v>
      </c>
      <c r="G55" s="13">
        <v>0.6875</v>
      </c>
      <c r="H55" s="2" t="s">
        <v>41</v>
      </c>
      <c r="I55" s="2" t="s">
        <v>42</v>
      </c>
      <c r="J55" s="2">
        <v>80</v>
      </c>
      <c r="K55" s="14">
        <f>VLOOKUP($C55,Sheet1!$A$2:$D$10,4,0)</f>
        <v>40</v>
      </c>
      <c r="L55" s="14" t="str">
        <f>VLOOKUP($C55,Sheet1!$A$2:$E$10,5,0)</f>
        <v>Trolley</v>
      </c>
      <c r="M55" s="14"/>
      <c r="N55" s="2">
        <f>J55/K55</f>
        <v>2</v>
      </c>
      <c r="O55" s="2" t="s">
        <v>111</v>
      </c>
      <c r="P55" s="2" t="s">
        <v>1052</v>
      </c>
    </row>
    <row r="56" spans="1:16" x14ac:dyDescent="0.25">
      <c r="A56" s="15" t="s">
        <v>859</v>
      </c>
      <c r="B56" s="18" t="s">
        <v>819</v>
      </c>
      <c r="C56" s="2" t="s">
        <v>16</v>
      </c>
      <c r="D56" s="2" t="str">
        <f>VLOOKUP($C56,Sheet1!$A$2:$B$10,2,0)</f>
        <v>141140-91211</v>
      </c>
      <c r="E56" s="8" t="s">
        <v>57</v>
      </c>
      <c r="F56" s="12">
        <v>46006</v>
      </c>
      <c r="G56" s="13">
        <v>0.6875</v>
      </c>
      <c r="H56" s="2" t="s">
        <v>58</v>
      </c>
      <c r="I56" s="2" t="s">
        <v>42</v>
      </c>
      <c r="J56" s="2">
        <v>32</v>
      </c>
      <c r="K56" s="14">
        <f>VLOOKUP($C56,Sheet1!$A$2:$D$10,4,0)</f>
        <v>2</v>
      </c>
      <c r="L56" s="14" t="str">
        <f>VLOOKUP($C56,Sheet1!$A$2:$E$10,5,0)</f>
        <v>Bin</v>
      </c>
      <c r="M56" s="14">
        <f t="shared" ref="M56:M57" si="9">J56/K56</f>
        <v>16</v>
      </c>
      <c r="N56" s="2"/>
      <c r="O56" s="2" t="s">
        <v>111</v>
      </c>
      <c r="P56" s="2" t="s">
        <v>171</v>
      </c>
    </row>
    <row r="57" spans="1:16" x14ac:dyDescent="0.25">
      <c r="A57" s="15" t="s">
        <v>859</v>
      </c>
      <c r="B57" s="18" t="s">
        <v>825</v>
      </c>
      <c r="C57" s="2" t="s">
        <v>20</v>
      </c>
      <c r="D57" s="2" t="str">
        <f>VLOOKUP($C57,Sheet1!$A$2:$B$10,2,0)</f>
        <v>141150-91211</v>
      </c>
      <c r="E57" s="8" t="s">
        <v>64</v>
      </c>
      <c r="F57" s="12">
        <v>46006</v>
      </c>
      <c r="G57" s="13">
        <v>0.6875</v>
      </c>
      <c r="H57" s="2" t="s">
        <v>58</v>
      </c>
      <c r="I57" s="2" t="s">
        <v>42</v>
      </c>
      <c r="J57" s="2">
        <v>32</v>
      </c>
      <c r="K57" s="14">
        <f>VLOOKUP($C57,Sheet1!$A$2:$D$10,4,0)</f>
        <v>2</v>
      </c>
      <c r="L57" s="14" t="str">
        <f>VLOOKUP($C57,Sheet1!$A$2:$E$10,5,0)</f>
        <v>Bin</v>
      </c>
      <c r="M57" s="14">
        <f t="shared" si="9"/>
        <v>16</v>
      </c>
      <c r="N57" s="2"/>
      <c r="O57" s="2" t="s">
        <v>111</v>
      </c>
      <c r="P57" s="2" t="s">
        <v>171</v>
      </c>
    </row>
    <row r="58" spans="1:16" x14ac:dyDescent="0.25">
      <c r="A58" s="15" t="s">
        <v>859</v>
      </c>
      <c r="B58" s="18" t="s">
        <v>831</v>
      </c>
      <c r="C58" s="2" t="s">
        <v>23</v>
      </c>
      <c r="D58" s="2" t="str">
        <f>VLOOKUP($C58,Sheet1!$A$2:$B$10,2,0)</f>
        <v>141186-74360</v>
      </c>
      <c r="E58" s="8" t="s">
        <v>70</v>
      </c>
      <c r="F58" s="12">
        <v>46006</v>
      </c>
      <c r="G58" s="13">
        <v>0.6875</v>
      </c>
      <c r="H58" s="2" t="s">
        <v>58</v>
      </c>
      <c r="I58" s="2" t="s">
        <v>42</v>
      </c>
      <c r="J58" s="2">
        <v>80</v>
      </c>
      <c r="K58" s="14">
        <f>VLOOKUP($C58,Sheet1!$A$2:$D$10,4,0)</f>
        <v>40</v>
      </c>
      <c r="L58" s="14" t="str">
        <f>VLOOKUP($C58,Sheet1!$A$2:$E$10,5,0)</f>
        <v>Trolley</v>
      </c>
      <c r="M58" s="14"/>
      <c r="N58" s="2">
        <f>J58/K58</f>
        <v>2</v>
      </c>
      <c r="O58" s="2" t="s">
        <v>111</v>
      </c>
      <c r="P58" s="2">
        <v>910103227</v>
      </c>
    </row>
    <row r="59" spans="1:16" x14ac:dyDescent="0.25">
      <c r="A59" s="15" t="s">
        <v>860</v>
      </c>
      <c r="B59" s="18" t="s">
        <v>837</v>
      </c>
      <c r="C59" s="2" t="s">
        <v>26</v>
      </c>
      <c r="D59" s="2" t="str">
        <f>VLOOKUP($C59,Sheet1!$A$2:$B$10,2,0)</f>
        <v>116040-92240</v>
      </c>
      <c r="E59" s="8" t="s">
        <v>75</v>
      </c>
      <c r="F59" s="12">
        <v>46006</v>
      </c>
      <c r="G59" s="13">
        <v>0.6875</v>
      </c>
      <c r="H59" s="2" t="s">
        <v>76</v>
      </c>
      <c r="I59" s="2" t="s">
        <v>42</v>
      </c>
      <c r="J59" s="2">
        <v>36</v>
      </c>
      <c r="K59" s="14">
        <f>VLOOKUP($C59,Sheet1!$A$2:$D$10,4,0)</f>
        <v>6</v>
      </c>
      <c r="L59" s="14" t="str">
        <f>VLOOKUP($C59,Sheet1!$A$2:$E$10,5,0)</f>
        <v>Bin</v>
      </c>
      <c r="M59" s="14">
        <f t="shared" ref="M59:M61" si="10">J59/K59</f>
        <v>6</v>
      </c>
      <c r="N59" s="2"/>
      <c r="O59" s="2" t="s">
        <v>111</v>
      </c>
      <c r="P59" s="2" t="s">
        <v>1048</v>
      </c>
    </row>
    <row r="60" spans="1:16" x14ac:dyDescent="0.25">
      <c r="A60" s="15" t="s">
        <v>860</v>
      </c>
      <c r="B60" s="18" t="s">
        <v>843</v>
      </c>
      <c r="C60" s="2" t="s">
        <v>32</v>
      </c>
      <c r="D60" s="2" t="str">
        <f>VLOOKUP($C60,Sheet1!$A$2:$B$10,2,0)</f>
        <v>114010-50820</v>
      </c>
      <c r="E60" s="8" t="s">
        <v>82</v>
      </c>
      <c r="F60" s="12">
        <v>46006</v>
      </c>
      <c r="G60" s="13">
        <v>0.6875</v>
      </c>
      <c r="H60" s="2" t="s">
        <v>76</v>
      </c>
      <c r="I60" s="2" t="s">
        <v>42</v>
      </c>
      <c r="J60" s="2">
        <v>20</v>
      </c>
      <c r="K60" s="14">
        <f>VLOOKUP($C60,Sheet1!$A$2:$D$10,4,0)</f>
        <v>1</v>
      </c>
      <c r="L60" s="14" t="str">
        <f>VLOOKUP($C60,Sheet1!$A$2:$E$10,5,0)</f>
        <v>Bin</v>
      </c>
      <c r="M60" s="14">
        <f t="shared" si="10"/>
        <v>20</v>
      </c>
      <c r="N60" s="2"/>
      <c r="O60" s="2" t="s">
        <v>111</v>
      </c>
      <c r="P60" s="2" t="s">
        <v>883</v>
      </c>
    </row>
    <row r="61" spans="1:16" x14ac:dyDescent="0.25">
      <c r="A61" s="15" t="s">
        <v>860</v>
      </c>
      <c r="B61" s="18" t="s">
        <v>849</v>
      </c>
      <c r="C61" s="2" t="s">
        <v>29</v>
      </c>
      <c r="D61" s="2" t="str">
        <f>VLOOKUP($C61,Sheet1!$A$2:$B$10,2,0)</f>
        <v>114010-50830</v>
      </c>
      <c r="E61" s="8" t="s">
        <v>82</v>
      </c>
      <c r="F61" s="12">
        <v>46006</v>
      </c>
      <c r="G61" s="13">
        <v>0.6875</v>
      </c>
      <c r="H61" s="2" t="s">
        <v>76</v>
      </c>
      <c r="I61" s="2" t="s">
        <v>42</v>
      </c>
      <c r="J61" s="2">
        <v>12</v>
      </c>
      <c r="K61" s="14">
        <f>VLOOKUP($C61,Sheet1!$A$2:$D$10,4,0)</f>
        <v>1</v>
      </c>
      <c r="L61" s="14" t="str">
        <f>VLOOKUP($C61,Sheet1!$A$2:$E$10,5,0)</f>
        <v>Bin</v>
      </c>
      <c r="M61" s="14">
        <f t="shared" si="10"/>
        <v>12</v>
      </c>
      <c r="N61" s="2"/>
      <c r="O61" s="2" t="s">
        <v>111</v>
      </c>
      <c r="P61" s="2" t="s">
        <v>1053</v>
      </c>
    </row>
    <row r="62" spans="1:16" s="11" customForma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>
        <v>70</v>
      </c>
      <c r="N62" s="10">
        <v>5</v>
      </c>
      <c r="O62" s="10"/>
      <c r="P62" s="10"/>
    </row>
    <row r="63" spans="1:16" x14ac:dyDescent="0.25">
      <c r="A63" s="2"/>
      <c r="B63" s="2" t="s">
        <v>850</v>
      </c>
      <c r="C63" s="2"/>
      <c r="D63" s="2"/>
      <c r="E63" s="8"/>
      <c r="F63" s="12"/>
      <c r="G63" s="13"/>
      <c r="H63" s="2"/>
      <c r="I63" s="2"/>
      <c r="J63" s="2"/>
      <c r="K63" s="14"/>
      <c r="L63" s="14"/>
      <c r="M63" s="14"/>
      <c r="N63" s="2"/>
      <c r="O63" s="2"/>
      <c r="P63" s="2"/>
    </row>
    <row r="64" spans="1:16" x14ac:dyDescent="0.25">
      <c r="A64" s="2"/>
      <c r="B64" s="2"/>
      <c r="C64" s="2"/>
      <c r="D64" s="2"/>
      <c r="E64" s="8"/>
      <c r="F64" s="12"/>
      <c r="G64" s="13"/>
      <c r="H64" s="2"/>
      <c r="I64" s="2"/>
      <c r="J64" s="2"/>
      <c r="K64" s="14"/>
      <c r="L64" s="14"/>
      <c r="M64" s="14"/>
      <c r="N64" s="2"/>
      <c r="O64" s="2"/>
      <c r="P64" s="2"/>
    </row>
  </sheetData>
  <mergeCells count="9">
    <mergeCell ref="N43:N44"/>
    <mergeCell ref="N53:N54"/>
    <mergeCell ref="A1:F1"/>
    <mergeCell ref="J1:N1"/>
    <mergeCell ref="L2:N2"/>
    <mergeCell ref="N4:N5"/>
    <mergeCell ref="N6:N7"/>
    <mergeCell ref="N23:N24"/>
    <mergeCell ref="N33:N34"/>
  </mergeCells>
  <conditionalFormatting sqref="B2">
    <cfRule type="duplicateValues" dxfId="62" priority="2"/>
    <cfRule type="duplicateValues" dxfId="61" priority="3"/>
  </conditionalFormatting>
  <conditionalFormatting sqref="B23:B31 B33:B41 B43:B51 B53:B61 B63:B64 B4:B21">
    <cfRule type="duplicateValues" dxfId="60" priority="1"/>
  </conditionalFormatting>
  <conditionalFormatting sqref="C2:D2">
    <cfRule type="duplicateValues" dxfId="59" priority="4"/>
    <cfRule type="duplicateValues" dxfId="58" priority="5"/>
  </conditionalFormatting>
  <hyperlinks>
    <hyperlink ref="B63" r:id="rId1" display="http://192.168.1.248/downloads/temp/X539_eNagare_20251213.log" xr:uid="{00000000-0004-0000-0F00-000000000000}"/>
  </hyperlinks>
  <pageMargins left="0.17" right="0.17" top="0.17" bottom="0.17" header="0.17" footer="0.3"/>
  <pageSetup paperSize="9" scale="59" orientation="landscape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8"/>
  <sheetViews>
    <sheetView workbookViewId="0">
      <selection activeCell="D12" sqref="D12"/>
    </sheetView>
  </sheetViews>
  <sheetFormatPr defaultColWidth="71.28515625" defaultRowHeight="15" x14ac:dyDescent="0.25"/>
  <cols>
    <col min="1" max="1" width="9.140625" bestFit="1" customWidth="1"/>
    <col min="2" max="2" width="17.85546875" bestFit="1" customWidth="1"/>
    <col min="3" max="3" width="18" bestFit="1" customWidth="1"/>
    <col min="4" max="4" width="14.7109375" bestFit="1" customWidth="1"/>
    <col min="5" max="5" width="17.28515625" bestFit="1" customWidth="1"/>
    <col min="6" max="6" width="21.140625" bestFit="1" customWidth="1"/>
    <col min="7" max="7" width="22" bestFit="1" customWidth="1"/>
    <col min="8" max="8" width="22" customWidth="1"/>
    <col min="9" max="9" width="20.5703125" bestFit="1" customWidth="1"/>
    <col min="10" max="10" width="20.28515625" bestFit="1" customWidth="1"/>
    <col min="11" max="11" width="10.140625" bestFit="1" customWidth="1"/>
    <col min="12" max="12" width="11" bestFit="1" customWidth="1"/>
    <col min="13" max="13" width="20.140625" bestFit="1" customWidth="1"/>
    <col min="14" max="14" width="20.5703125" bestFit="1" customWidth="1"/>
    <col min="15" max="15" width="9.7109375" bestFit="1" customWidth="1"/>
    <col min="16" max="16" width="9.5703125" bestFit="1" customWidth="1"/>
    <col min="17" max="17" width="10.140625" bestFit="1" customWidth="1"/>
    <col min="18" max="18" width="26.140625" bestFit="1" customWidth="1"/>
  </cols>
  <sheetData>
    <row r="1" spans="1:18" ht="15.75" thickBot="1" x14ac:dyDescent="0.3">
      <c r="A1" s="25" t="s">
        <v>862</v>
      </c>
      <c r="B1" s="25" t="s">
        <v>506</v>
      </c>
      <c r="C1" s="25"/>
      <c r="D1" s="25" t="s">
        <v>508</v>
      </c>
      <c r="E1" s="25" t="s">
        <v>514</v>
      </c>
      <c r="F1" s="25" t="s">
        <v>509</v>
      </c>
      <c r="G1" s="25" t="s">
        <v>510</v>
      </c>
      <c r="H1" s="10" t="s">
        <v>101</v>
      </c>
      <c r="I1" s="10" t="s">
        <v>96</v>
      </c>
      <c r="J1" s="25" t="s">
        <v>512</v>
      </c>
      <c r="K1" s="25" t="s">
        <v>513</v>
      </c>
      <c r="L1" s="25" t="s">
        <v>515</v>
      </c>
      <c r="M1" s="25" t="s">
        <v>516</v>
      </c>
      <c r="N1" s="25" t="s">
        <v>517</v>
      </c>
      <c r="O1" s="25" t="s">
        <v>518</v>
      </c>
      <c r="P1" s="25" t="s">
        <v>519</v>
      </c>
      <c r="Q1" s="25" t="s">
        <v>520</v>
      </c>
      <c r="R1" s="25" t="s">
        <v>521</v>
      </c>
    </row>
    <row r="2" spans="1:18" ht="15.75" thickBot="1" x14ac:dyDescent="0.3">
      <c r="A2" s="26" t="s">
        <v>522</v>
      </c>
      <c r="B2" s="27">
        <v>46006</v>
      </c>
      <c r="C2" s="49" t="s">
        <v>1516</v>
      </c>
      <c r="D2" s="26" t="s">
        <v>458</v>
      </c>
      <c r="E2" s="26" t="s">
        <v>865</v>
      </c>
      <c r="F2" s="26" t="s">
        <v>12</v>
      </c>
      <c r="G2" s="26">
        <v>24</v>
      </c>
      <c r="H2" s="33">
        <v>1</v>
      </c>
      <c r="I2" s="26" t="s">
        <v>870</v>
      </c>
      <c r="J2" s="26">
        <v>1</v>
      </c>
      <c r="K2" s="26" t="s">
        <v>524</v>
      </c>
      <c r="L2" s="26" t="s">
        <v>526</v>
      </c>
      <c r="M2" s="26" t="s">
        <v>527</v>
      </c>
      <c r="N2" s="26" t="s">
        <v>528</v>
      </c>
      <c r="O2" s="26">
        <v>4259</v>
      </c>
      <c r="P2" s="26"/>
      <c r="Q2" s="26"/>
      <c r="R2" s="28" t="s">
        <v>529</v>
      </c>
    </row>
    <row r="3" spans="1:18" ht="15.75" thickBot="1" x14ac:dyDescent="0.3">
      <c r="A3" s="26" t="s">
        <v>522</v>
      </c>
      <c r="B3" s="27">
        <v>46006</v>
      </c>
      <c r="C3" s="49" t="s">
        <v>1516</v>
      </c>
      <c r="D3" s="26" t="s">
        <v>458</v>
      </c>
      <c r="E3" s="26" t="s">
        <v>866</v>
      </c>
      <c r="F3" s="26" t="s">
        <v>23</v>
      </c>
      <c r="G3" s="26">
        <v>24</v>
      </c>
      <c r="H3" s="33">
        <v>1</v>
      </c>
      <c r="I3" s="26" t="s">
        <v>870</v>
      </c>
      <c r="J3" s="26">
        <v>2</v>
      </c>
      <c r="K3" s="26" t="s">
        <v>524</v>
      </c>
      <c r="L3" s="26" t="s">
        <v>526</v>
      </c>
      <c r="M3" s="26" t="s">
        <v>527</v>
      </c>
      <c r="N3" s="26" t="s">
        <v>528</v>
      </c>
      <c r="O3" s="26">
        <v>3733.5</v>
      </c>
      <c r="P3" s="26"/>
      <c r="Q3" s="26"/>
      <c r="R3" s="28" t="s">
        <v>529</v>
      </c>
    </row>
    <row r="4" spans="1:18" ht="15.75" thickBot="1" x14ac:dyDescent="0.3">
      <c r="A4" s="26" t="s">
        <v>522</v>
      </c>
      <c r="B4" s="27">
        <v>46006</v>
      </c>
      <c r="C4" s="49" t="s">
        <v>1516</v>
      </c>
      <c r="D4" s="26" t="s">
        <v>458</v>
      </c>
      <c r="E4" s="26" t="s">
        <v>863</v>
      </c>
      <c r="F4" s="26" t="s">
        <v>660</v>
      </c>
      <c r="G4" s="26">
        <v>10</v>
      </c>
      <c r="H4" s="33">
        <v>1</v>
      </c>
      <c r="I4" s="26" t="s">
        <v>870</v>
      </c>
      <c r="J4" s="26">
        <v>3</v>
      </c>
      <c r="K4" s="26" t="s">
        <v>524</v>
      </c>
      <c r="L4" s="26" t="s">
        <v>526</v>
      </c>
      <c r="M4" s="26" t="s">
        <v>527</v>
      </c>
      <c r="N4" s="26" t="s">
        <v>528</v>
      </c>
      <c r="O4" s="26">
        <v>6452</v>
      </c>
      <c r="P4" s="26"/>
      <c r="Q4" s="26"/>
      <c r="R4" s="28" t="s">
        <v>529</v>
      </c>
    </row>
    <row r="5" spans="1:18" ht="15.75" thickBot="1" x14ac:dyDescent="0.3">
      <c r="A5" s="26" t="s">
        <v>522</v>
      </c>
      <c r="B5" s="27">
        <v>46006</v>
      </c>
      <c r="C5" s="49" t="s">
        <v>1516</v>
      </c>
      <c r="D5" s="26" t="s">
        <v>458</v>
      </c>
      <c r="E5" s="26" t="s">
        <v>864</v>
      </c>
      <c r="F5" s="26" t="s">
        <v>662</v>
      </c>
      <c r="G5" s="26">
        <v>10</v>
      </c>
      <c r="H5" s="33">
        <v>1</v>
      </c>
      <c r="I5" s="26" t="s">
        <v>870</v>
      </c>
      <c r="J5" s="26">
        <v>4</v>
      </c>
      <c r="K5" s="26" t="s">
        <v>524</v>
      </c>
      <c r="L5" s="26" t="s">
        <v>526</v>
      </c>
      <c r="M5" s="26" t="s">
        <v>527</v>
      </c>
      <c r="N5" s="26" t="s">
        <v>528</v>
      </c>
      <c r="O5" s="26">
        <v>6452</v>
      </c>
      <c r="P5" s="26"/>
      <c r="Q5" s="26"/>
      <c r="R5" s="28" t="s">
        <v>529</v>
      </c>
    </row>
    <row r="6" spans="1:18" ht="15.75" thickBot="1" x14ac:dyDescent="0.3">
      <c r="A6" s="26" t="s">
        <v>522</v>
      </c>
      <c r="B6" s="27">
        <v>46006</v>
      </c>
      <c r="C6" s="49" t="s">
        <v>1516</v>
      </c>
      <c r="D6" s="26" t="s">
        <v>458</v>
      </c>
      <c r="E6" s="26" t="s">
        <v>868</v>
      </c>
      <c r="F6" s="26" t="s">
        <v>867</v>
      </c>
      <c r="G6" s="26">
        <v>12</v>
      </c>
      <c r="H6" s="33">
        <v>6</v>
      </c>
      <c r="I6" s="26" t="s">
        <v>870</v>
      </c>
      <c r="J6" s="26">
        <v>5</v>
      </c>
      <c r="K6" s="26" t="s">
        <v>524</v>
      </c>
      <c r="L6" s="26" t="s">
        <v>526</v>
      </c>
      <c r="M6" s="26" t="s">
        <v>527</v>
      </c>
      <c r="N6" s="26" t="s">
        <v>528</v>
      </c>
      <c r="O6" s="26">
        <v>28485.5</v>
      </c>
      <c r="P6" s="26"/>
      <c r="Q6" s="26"/>
      <c r="R6" s="28" t="s">
        <v>529</v>
      </c>
    </row>
    <row r="8" spans="1:18" x14ac:dyDescent="0.25">
      <c r="A8" t="s">
        <v>869</v>
      </c>
    </row>
  </sheetData>
  <autoFilter ref="A1:R1" xr:uid="{00000000-0009-0000-0000-000010000000}">
    <sortState xmlns:xlrd2="http://schemas.microsoft.com/office/spreadsheetml/2017/richdata2" ref="A2:R6">
      <sortCondition ref="J1"/>
    </sortState>
  </autoFilter>
  <conditionalFormatting sqref="C2:C6">
    <cfRule type="duplicateValues" dxfId="57" priority="1"/>
    <cfRule type="duplicateValues" dxfId="56" priority="2"/>
  </conditionalFormatting>
  <hyperlinks>
    <hyperlink ref="A8" r:id="rId1" display="http://192.168.1.249/downloads/temp/X53920251214Spares.log" xr:uid="{00000000-0004-0000-10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P56"/>
  <sheetViews>
    <sheetView topLeftCell="A35" workbookViewId="0">
      <selection activeCell="A4" sqref="A4:XFD54"/>
    </sheetView>
  </sheetViews>
  <sheetFormatPr defaultColWidth="64.5703125" defaultRowHeight="15" x14ac:dyDescent="0.25"/>
  <cols>
    <col min="1" max="1" width="15.140625" bestFit="1" customWidth="1"/>
    <col min="2" max="2" width="17.28515625" customWidth="1"/>
    <col min="3" max="3" width="15" customWidth="1"/>
    <col min="4" max="4" width="14.140625" customWidth="1"/>
    <col min="5" max="5" width="32.5703125" bestFit="1" customWidth="1"/>
    <col min="6" max="6" width="9.7109375" bestFit="1" customWidth="1"/>
    <col min="7" max="7" width="7.7109375" bestFit="1" customWidth="1"/>
    <col min="8" max="8" width="12.140625" bestFit="1" customWidth="1"/>
    <col min="9" max="9" width="5.42578125" bestFit="1" customWidth="1"/>
    <col min="10" max="10" width="8" bestFit="1" customWidth="1"/>
    <col min="11" max="11" width="9" customWidth="1"/>
    <col min="12" max="12" width="11.85546875" customWidth="1"/>
    <col min="13" max="13" width="7.140625" bestFit="1" customWidth="1"/>
    <col min="14" max="14" width="7.85546875" bestFit="1" customWidth="1"/>
    <col min="15" max="15" width="10.7109375" customWidth="1"/>
    <col min="16" max="16" width="46" customWidth="1"/>
  </cols>
  <sheetData>
    <row r="1" spans="1:16" ht="23.25" x14ac:dyDescent="0.25">
      <c r="A1" s="53" t="s">
        <v>93</v>
      </c>
      <c r="B1" s="53"/>
      <c r="C1" s="53"/>
      <c r="D1" s="53"/>
      <c r="E1" s="53"/>
      <c r="F1" s="53"/>
      <c r="G1" s="2"/>
      <c r="H1" s="2"/>
      <c r="I1" s="2"/>
      <c r="J1" s="54" t="s">
        <v>94</v>
      </c>
      <c r="K1" s="55"/>
      <c r="L1" s="55"/>
      <c r="M1" s="55"/>
      <c r="N1" s="55"/>
      <c r="O1" s="3"/>
      <c r="P1" s="4"/>
    </row>
    <row r="2" spans="1:16" ht="16.5" customHeight="1" x14ac:dyDescent="0.25">
      <c r="A2" s="5" t="s">
        <v>95</v>
      </c>
      <c r="B2" s="6">
        <v>46007</v>
      </c>
      <c r="C2" s="7"/>
      <c r="D2" s="7"/>
      <c r="E2" s="2"/>
      <c r="F2" s="8"/>
      <c r="G2" s="2"/>
      <c r="H2" s="2"/>
      <c r="I2" s="2"/>
      <c r="J2" s="2"/>
      <c r="K2" s="2"/>
      <c r="L2" s="56" t="s">
        <v>96</v>
      </c>
      <c r="M2" s="57"/>
      <c r="N2" s="58"/>
      <c r="O2" s="2"/>
      <c r="P2" s="2"/>
    </row>
    <row r="3" spans="1:16" s="11" customFormat="1" ht="33.75" customHeight="1" x14ac:dyDescent="0.25">
      <c r="A3" s="10" t="s">
        <v>97</v>
      </c>
      <c r="B3" s="10" t="s">
        <v>35</v>
      </c>
      <c r="C3" s="10" t="s">
        <v>0</v>
      </c>
      <c r="D3" s="10" t="s">
        <v>98</v>
      </c>
      <c r="E3" s="10" t="s">
        <v>2</v>
      </c>
      <c r="F3" s="10" t="s">
        <v>36</v>
      </c>
      <c r="G3" s="10" t="s">
        <v>37</v>
      </c>
      <c r="H3" s="10" t="s">
        <v>38</v>
      </c>
      <c r="I3" s="10" t="s">
        <v>99</v>
      </c>
      <c r="J3" s="10" t="s">
        <v>100</v>
      </c>
      <c r="K3" s="10" t="s">
        <v>101</v>
      </c>
      <c r="L3" s="10" t="s">
        <v>102</v>
      </c>
      <c r="M3" s="10" t="s">
        <v>103</v>
      </c>
      <c r="N3" s="10" t="s">
        <v>104</v>
      </c>
      <c r="O3" s="10" t="s">
        <v>96</v>
      </c>
      <c r="P3" s="10" t="s">
        <v>105</v>
      </c>
    </row>
    <row r="4" spans="1:16" x14ac:dyDescent="0.25">
      <c r="A4" s="15" t="s">
        <v>938</v>
      </c>
      <c r="B4" s="18" t="s">
        <v>892</v>
      </c>
      <c r="C4" s="2" t="s">
        <v>5</v>
      </c>
      <c r="D4" s="2" t="str">
        <f>VLOOKUP($C4,Sheet1!$A$2:$B$10,2,0)</f>
        <v>141110-14600</v>
      </c>
      <c r="E4" s="8" t="s">
        <v>40</v>
      </c>
      <c r="F4" s="12">
        <v>46007</v>
      </c>
      <c r="G4" s="13">
        <v>0.27083333333333331</v>
      </c>
      <c r="H4" s="2" t="s">
        <v>41</v>
      </c>
      <c r="I4" s="2" t="s">
        <v>42</v>
      </c>
      <c r="J4" s="2">
        <v>36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1">
        <v>2</v>
      </c>
      <c r="O4" s="2" t="s">
        <v>112</v>
      </c>
      <c r="P4" s="2" t="s">
        <v>1049</v>
      </c>
    </row>
    <row r="5" spans="1:16" x14ac:dyDescent="0.25">
      <c r="A5" s="15" t="s">
        <v>938</v>
      </c>
      <c r="B5" s="18" t="s">
        <v>897</v>
      </c>
      <c r="C5" s="2" t="s">
        <v>9</v>
      </c>
      <c r="D5" s="2" t="str">
        <f>VLOOKUP($C5,Sheet1!$A$2:$B$10,2,0)</f>
        <v>141120-14600</v>
      </c>
      <c r="E5" s="8" t="s">
        <v>47</v>
      </c>
      <c r="F5" s="12">
        <v>46007</v>
      </c>
      <c r="G5" s="13">
        <v>0.27083333333333331</v>
      </c>
      <c r="H5" s="2" t="s">
        <v>41</v>
      </c>
      <c r="I5" s="2" t="s">
        <v>42</v>
      </c>
      <c r="J5" s="2">
        <v>36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2"/>
      <c r="O5" s="2" t="s">
        <v>112</v>
      </c>
      <c r="P5" s="2" t="s">
        <v>1049</v>
      </c>
    </row>
    <row r="6" spans="1:16" x14ac:dyDescent="0.25">
      <c r="A6" s="15" t="s">
        <v>938</v>
      </c>
      <c r="B6" s="18" t="s">
        <v>893</v>
      </c>
      <c r="C6" s="2" t="s">
        <v>5</v>
      </c>
      <c r="D6" s="2" t="str">
        <f>VLOOKUP($C6,Sheet1!$A$2:$B$10,2,0)</f>
        <v>141110-14600</v>
      </c>
      <c r="E6" s="8" t="s">
        <v>40</v>
      </c>
      <c r="F6" s="12">
        <v>46007</v>
      </c>
      <c r="G6" s="13">
        <v>0.27083333333333331</v>
      </c>
      <c r="H6" s="2" t="s">
        <v>41</v>
      </c>
      <c r="I6" s="2" t="s">
        <v>42</v>
      </c>
      <c r="J6" s="2">
        <v>18</v>
      </c>
      <c r="K6" s="14">
        <f>VLOOKUP($C6,Sheet1!$A$2:$D$10,4,0)</f>
        <v>18</v>
      </c>
      <c r="L6" s="14" t="str">
        <f>VLOOKUP($C6,Sheet1!$A$2:$E$10,5,0)</f>
        <v>Trolley (H)</v>
      </c>
      <c r="M6" s="14"/>
      <c r="N6" s="51">
        <v>1</v>
      </c>
      <c r="O6" s="2" t="s">
        <v>112</v>
      </c>
      <c r="P6" s="2" t="s">
        <v>1049</v>
      </c>
    </row>
    <row r="7" spans="1:16" x14ac:dyDescent="0.25">
      <c r="A7" s="15" t="s">
        <v>938</v>
      </c>
      <c r="B7" s="18" t="s">
        <v>898</v>
      </c>
      <c r="C7" s="2" t="s">
        <v>9</v>
      </c>
      <c r="D7" s="2" t="str">
        <f>VLOOKUP($C7,Sheet1!$A$2:$B$10,2,0)</f>
        <v>141120-14600</v>
      </c>
      <c r="E7" s="8" t="s">
        <v>47</v>
      </c>
      <c r="F7" s="12">
        <v>46007</v>
      </c>
      <c r="G7" s="13">
        <v>0.27083333333333331</v>
      </c>
      <c r="H7" s="2" t="s">
        <v>41</v>
      </c>
      <c r="I7" s="2" t="s">
        <v>42</v>
      </c>
      <c r="J7" s="2">
        <v>18</v>
      </c>
      <c r="K7" s="14">
        <f>VLOOKUP($C7,Sheet1!$A$2:$D$10,4,0)</f>
        <v>18</v>
      </c>
      <c r="L7" s="14" t="str">
        <f>VLOOKUP($C7,Sheet1!$A$2:$E$10,5,0)</f>
        <v>Trolley (H)</v>
      </c>
      <c r="M7" s="14"/>
      <c r="N7" s="52"/>
      <c r="O7" s="2" t="s">
        <v>112</v>
      </c>
      <c r="P7" s="2" t="s">
        <v>1049</v>
      </c>
    </row>
    <row r="8" spans="1:16" x14ac:dyDescent="0.25">
      <c r="A8" s="15" t="s">
        <v>938</v>
      </c>
      <c r="B8" s="18" t="s">
        <v>902</v>
      </c>
      <c r="C8" s="2" t="s">
        <v>12</v>
      </c>
      <c r="D8" s="2" t="str">
        <f>VLOOKUP($C8,Sheet1!$A$2:$B$10,2,0)</f>
        <v>141185-74670</v>
      </c>
      <c r="E8" s="8" t="s">
        <v>52</v>
      </c>
      <c r="F8" s="12">
        <v>46007</v>
      </c>
      <c r="G8" s="13">
        <v>0.27083333333333331</v>
      </c>
      <c r="H8" s="2" t="s">
        <v>41</v>
      </c>
      <c r="I8" s="2" t="s">
        <v>42</v>
      </c>
      <c r="J8" s="2">
        <v>80</v>
      </c>
      <c r="K8" s="14">
        <f>VLOOKUP($C8,Sheet1!$A$2:$D$10,4,0)</f>
        <v>40</v>
      </c>
      <c r="L8" s="14" t="str">
        <f>VLOOKUP($C8,Sheet1!$A$2:$E$10,5,0)</f>
        <v>Trolley</v>
      </c>
      <c r="M8" s="14"/>
      <c r="N8" s="2">
        <f>J8/K8</f>
        <v>2</v>
      </c>
      <c r="O8" s="2" t="s">
        <v>112</v>
      </c>
      <c r="P8" s="2">
        <v>910103483</v>
      </c>
    </row>
    <row r="9" spans="1:16" x14ac:dyDescent="0.25">
      <c r="A9" s="15" t="s">
        <v>938</v>
      </c>
      <c r="B9" s="18" t="s">
        <v>907</v>
      </c>
      <c r="C9" s="2" t="s">
        <v>16</v>
      </c>
      <c r="D9" s="2" t="str">
        <f>VLOOKUP($C9,Sheet1!$A$2:$B$10,2,0)</f>
        <v>141140-91211</v>
      </c>
      <c r="E9" s="8" t="s">
        <v>57</v>
      </c>
      <c r="F9" s="12">
        <v>46007</v>
      </c>
      <c r="G9" s="13">
        <v>0.27083333333333331</v>
      </c>
      <c r="H9" s="2" t="s">
        <v>58</v>
      </c>
      <c r="I9" s="2" t="s">
        <v>42</v>
      </c>
      <c r="J9" s="2">
        <v>40</v>
      </c>
      <c r="K9" s="14">
        <f>VLOOKUP($C9,Sheet1!$A$2:$D$10,4,0)</f>
        <v>2</v>
      </c>
      <c r="L9" s="14" t="str">
        <f>VLOOKUP($C9,Sheet1!$A$2:$E$10,5,0)</f>
        <v>Bin</v>
      </c>
      <c r="M9" s="14">
        <f>J9/K9</f>
        <v>20</v>
      </c>
      <c r="N9" s="2"/>
      <c r="O9" s="2" t="s">
        <v>112</v>
      </c>
      <c r="P9" s="2" t="s">
        <v>171</v>
      </c>
    </row>
    <row r="10" spans="1:16" x14ac:dyDescent="0.25">
      <c r="A10" s="15" t="s">
        <v>938</v>
      </c>
      <c r="B10" s="18" t="s">
        <v>912</v>
      </c>
      <c r="C10" s="2" t="s">
        <v>20</v>
      </c>
      <c r="D10" s="2" t="str">
        <f>VLOOKUP($C10,Sheet1!$A$2:$B$10,2,0)</f>
        <v>141150-91211</v>
      </c>
      <c r="E10" s="8" t="s">
        <v>64</v>
      </c>
      <c r="F10" s="12">
        <v>46007</v>
      </c>
      <c r="G10" s="13">
        <v>0.27083333333333331</v>
      </c>
      <c r="H10" s="2" t="s">
        <v>58</v>
      </c>
      <c r="I10" s="2" t="s">
        <v>42</v>
      </c>
      <c r="J10" s="2">
        <v>40</v>
      </c>
      <c r="K10" s="14">
        <f>VLOOKUP($C10,Sheet1!$A$2:$D$10,4,0)</f>
        <v>2</v>
      </c>
      <c r="L10" s="14" t="str">
        <f>VLOOKUP($C10,Sheet1!$A$2:$E$10,5,0)</f>
        <v>Bin</v>
      </c>
      <c r="M10" s="14">
        <f>J10/K10</f>
        <v>20</v>
      </c>
      <c r="N10" s="2"/>
      <c r="O10" s="2" t="s">
        <v>112</v>
      </c>
      <c r="P10" s="2" t="s">
        <v>171</v>
      </c>
    </row>
    <row r="11" spans="1:16" x14ac:dyDescent="0.25">
      <c r="A11" s="15" t="s">
        <v>938</v>
      </c>
      <c r="B11" s="18" t="s">
        <v>917</v>
      </c>
      <c r="C11" s="2" t="s">
        <v>23</v>
      </c>
      <c r="D11" s="2" t="str">
        <f>VLOOKUP($C11,Sheet1!$A$2:$B$10,2,0)</f>
        <v>141186-74360</v>
      </c>
      <c r="E11" s="8" t="s">
        <v>70</v>
      </c>
      <c r="F11" s="12">
        <v>46007</v>
      </c>
      <c r="G11" s="13">
        <v>0.27083333333333331</v>
      </c>
      <c r="H11" s="2" t="s">
        <v>58</v>
      </c>
      <c r="I11" s="2" t="s">
        <v>42</v>
      </c>
      <c r="J11" s="2">
        <v>80</v>
      </c>
      <c r="K11" s="14">
        <f>VLOOKUP($C11,Sheet1!$A$2:$D$10,4,0)</f>
        <v>40</v>
      </c>
      <c r="L11" s="14" t="str">
        <f>VLOOKUP($C11,Sheet1!$A$2:$E$10,5,0)</f>
        <v>Trolley</v>
      </c>
      <c r="M11" s="14"/>
      <c r="N11" s="2">
        <f t="shared" ref="N11" si="0">J11/K11</f>
        <v>2</v>
      </c>
      <c r="O11" s="2" t="s">
        <v>112</v>
      </c>
      <c r="P11" s="2">
        <v>9101103483</v>
      </c>
    </row>
    <row r="12" spans="1:16" x14ac:dyDescent="0.25">
      <c r="A12" s="15" t="s">
        <v>939</v>
      </c>
      <c r="B12" s="18" t="s">
        <v>923</v>
      </c>
      <c r="C12" s="2" t="s">
        <v>26</v>
      </c>
      <c r="D12" s="2" t="str">
        <f>VLOOKUP($C12,Sheet1!$A$2:$B$10,2,0)</f>
        <v>116040-92240</v>
      </c>
      <c r="E12" s="8" t="s">
        <v>75</v>
      </c>
      <c r="F12" s="12">
        <v>46007</v>
      </c>
      <c r="G12" s="13">
        <v>0.27083333333333331</v>
      </c>
      <c r="H12" s="2" t="s">
        <v>76</v>
      </c>
      <c r="I12" s="2" t="s">
        <v>42</v>
      </c>
      <c r="J12" s="2">
        <v>24</v>
      </c>
      <c r="K12" s="14">
        <f>VLOOKUP($C12,Sheet1!$A$2:$D$10,4,0)</f>
        <v>6</v>
      </c>
      <c r="L12" s="14" t="str">
        <f>VLOOKUP($C12,Sheet1!$A$2:$E$10,5,0)</f>
        <v>Bin</v>
      </c>
      <c r="M12" s="14">
        <f>J12/K12</f>
        <v>4</v>
      </c>
      <c r="N12" s="2"/>
      <c r="O12" s="2" t="s">
        <v>112</v>
      </c>
      <c r="P12" s="2" t="s">
        <v>1055</v>
      </c>
    </row>
    <row r="13" spans="1:16" x14ac:dyDescent="0.25">
      <c r="A13" s="15" t="s">
        <v>939</v>
      </c>
      <c r="B13" s="18" t="s">
        <v>928</v>
      </c>
      <c r="C13" s="2" t="s">
        <v>32</v>
      </c>
      <c r="D13" s="2" t="str">
        <f>VLOOKUP($C13,Sheet1!$A$2:$B$10,2,0)</f>
        <v>114010-50820</v>
      </c>
      <c r="E13" s="8" t="s">
        <v>82</v>
      </c>
      <c r="F13" s="12">
        <v>46007</v>
      </c>
      <c r="G13" s="13">
        <v>0.27083333333333331</v>
      </c>
      <c r="H13" s="2" t="s">
        <v>76</v>
      </c>
      <c r="I13" s="2" t="s">
        <v>42</v>
      </c>
      <c r="J13" s="2">
        <v>12</v>
      </c>
      <c r="K13" s="14">
        <f>VLOOKUP($C13,Sheet1!$A$2:$D$10,4,0)</f>
        <v>1</v>
      </c>
      <c r="L13" s="14" t="str">
        <f>VLOOKUP($C13,Sheet1!$A$2:$E$10,5,0)</f>
        <v>Bin</v>
      </c>
      <c r="M13" s="14">
        <f>J13/K13</f>
        <v>12</v>
      </c>
      <c r="N13" s="2"/>
      <c r="O13" s="2" t="s">
        <v>112</v>
      </c>
      <c r="P13" s="2" t="s">
        <v>883</v>
      </c>
    </row>
    <row r="14" spans="1:16" x14ac:dyDescent="0.25">
      <c r="A14" s="15" t="s">
        <v>939</v>
      </c>
      <c r="B14" s="18" t="s">
        <v>933</v>
      </c>
      <c r="C14" s="2" t="s">
        <v>29</v>
      </c>
      <c r="D14" s="2" t="str">
        <f>VLOOKUP($C14,Sheet1!$A$2:$B$10,2,0)</f>
        <v>114010-50830</v>
      </c>
      <c r="E14" s="8" t="s">
        <v>82</v>
      </c>
      <c r="F14" s="12">
        <v>46007</v>
      </c>
      <c r="G14" s="13">
        <v>0.27083333333333331</v>
      </c>
      <c r="H14" s="2" t="s">
        <v>76</v>
      </c>
      <c r="I14" s="2" t="s">
        <v>42</v>
      </c>
      <c r="J14" s="2">
        <v>12</v>
      </c>
      <c r="K14" s="14">
        <f>VLOOKUP($C14,Sheet1!$A$2:$D$10,4,0)</f>
        <v>1</v>
      </c>
      <c r="L14" s="14" t="str">
        <f>VLOOKUP($C14,Sheet1!$A$2:$E$10,5,0)</f>
        <v>Bin</v>
      </c>
      <c r="M14" s="14">
        <f>J14/K14</f>
        <v>12</v>
      </c>
      <c r="N14" s="2"/>
      <c r="O14" s="2" t="s">
        <v>112</v>
      </c>
      <c r="P14" s="2" t="s">
        <v>1054</v>
      </c>
    </row>
    <row r="15" spans="1:16" s="11" customFormat="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>
        <v>68</v>
      </c>
      <c r="N15" s="10">
        <v>7</v>
      </c>
      <c r="O15" s="10"/>
      <c r="P15" s="10"/>
    </row>
    <row r="16" spans="1:16" x14ac:dyDescent="0.25">
      <c r="A16" s="15" t="s">
        <v>940</v>
      </c>
      <c r="B16" s="18" t="s">
        <v>903</v>
      </c>
      <c r="C16" s="2" t="s">
        <v>12</v>
      </c>
      <c r="D16" s="2" t="str">
        <f>VLOOKUP($C16,Sheet1!$A$2:$B$10,2,0)</f>
        <v>141185-74670</v>
      </c>
      <c r="E16" s="8" t="s">
        <v>52</v>
      </c>
      <c r="F16" s="12">
        <v>46007</v>
      </c>
      <c r="G16" s="13">
        <v>0.27083333333333331</v>
      </c>
      <c r="H16" s="2" t="s">
        <v>41</v>
      </c>
      <c r="I16" s="2" t="s">
        <v>42</v>
      </c>
      <c r="J16" s="2">
        <v>40</v>
      </c>
      <c r="K16" s="14">
        <f>VLOOKUP($C16,Sheet1!$A$2:$D$10,4,0)</f>
        <v>40</v>
      </c>
      <c r="L16" s="14" t="str">
        <f>VLOOKUP($C16,Sheet1!$A$2:$E$10,5,0)</f>
        <v>Trolley</v>
      </c>
      <c r="M16" s="14"/>
      <c r="N16" s="2">
        <f>J16/K16</f>
        <v>1</v>
      </c>
      <c r="O16" s="2" t="s">
        <v>861</v>
      </c>
      <c r="P16" s="2">
        <v>910103227</v>
      </c>
    </row>
    <row r="17" spans="1:16" x14ac:dyDescent="0.25">
      <c r="A17" s="15" t="s">
        <v>940</v>
      </c>
      <c r="B17" s="18" t="s">
        <v>908</v>
      </c>
      <c r="C17" s="2" t="s">
        <v>16</v>
      </c>
      <c r="D17" s="2" t="str">
        <f>VLOOKUP($C17,Sheet1!$A$2:$B$10,2,0)</f>
        <v>141140-91211</v>
      </c>
      <c r="E17" s="8" t="s">
        <v>57</v>
      </c>
      <c r="F17" s="12">
        <v>46007</v>
      </c>
      <c r="G17" s="13">
        <v>0.27083333333333331</v>
      </c>
      <c r="H17" s="2" t="s">
        <v>58</v>
      </c>
      <c r="I17" s="2" t="s">
        <v>42</v>
      </c>
      <c r="J17" s="2">
        <v>24</v>
      </c>
      <c r="K17" s="14">
        <f>VLOOKUP($C17,Sheet1!$A$2:$D$10,4,0)</f>
        <v>2</v>
      </c>
      <c r="L17" s="14" t="str">
        <f>VLOOKUP($C17,Sheet1!$A$2:$E$10,5,0)</f>
        <v>Bin</v>
      </c>
      <c r="M17" s="14">
        <f t="shared" ref="M17:M18" si="1">J17/K17</f>
        <v>12</v>
      </c>
      <c r="N17" s="2"/>
      <c r="O17" s="2" t="s">
        <v>861</v>
      </c>
      <c r="P17" s="2" t="s">
        <v>171</v>
      </c>
    </row>
    <row r="18" spans="1:16" x14ac:dyDescent="0.25">
      <c r="A18" s="15" t="s">
        <v>940</v>
      </c>
      <c r="B18" s="18" t="s">
        <v>913</v>
      </c>
      <c r="C18" s="2" t="s">
        <v>20</v>
      </c>
      <c r="D18" s="2" t="str">
        <f>VLOOKUP($C18,Sheet1!$A$2:$B$10,2,0)</f>
        <v>141150-91211</v>
      </c>
      <c r="E18" s="8" t="s">
        <v>64</v>
      </c>
      <c r="F18" s="12">
        <v>46007</v>
      </c>
      <c r="G18" s="13">
        <v>0.27083333333333331</v>
      </c>
      <c r="H18" s="2" t="s">
        <v>58</v>
      </c>
      <c r="I18" s="2" t="s">
        <v>42</v>
      </c>
      <c r="J18" s="2">
        <v>24</v>
      </c>
      <c r="K18" s="14">
        <f>VLOOKUP($C18,Sheet1!$A$2:$D$10,4,0)</f>
        <v>2</v>
      </c>
      <c r="L18" s="14" t="str">
        <f>VLOOKUP($C18,Sheet1!$A$2:$E$10,5,0)</f>
        <v>Bin</v>
      </c>
      <c r="M18" s="14">
        <f t="shared" si="1"/>
        <v>12</v>
      </c>
      <c r="N18" s="2"/>
      <c r="O18" s="2" t="s">
        <v>861</v>
      </c>
      <c r="P18" s="2" t="s">
        <v>171</v>
      </c>
    </row>
    <row r="19" spans="1:16" x14ac:dyDescent="0.25">
      <c r="A19" s="15" t="s">
        <v>940</v>
      </c>
      <c r="B19" s="18" t="s">
        <v>918</v>
      </c>
      <c r="C19" s="18" t="s">
        <v>23</v>
      </c>
      <c r="D19" s="2" t="str">
        <f>VLOOKUP($C19,Sheet1!$A$2:$B$10,2,0)</f>
        <v>141186-74360</v>
      </c>
      <c r="E19" s="8" t="s">
        <v>70</v>
      </c>
      <c r="F19" s="12">
        <v>46007</v>
      </c>
      <c r="G19" s="13">
        <v>0.27083333333333331</v>
      </c>
      <c r="H19" s="2" t="s">
        <v>58</v>
      </c>
      <c r="I19" s="2" t="s">
        <v>42</v>
      </c>
      <c r="J19" s="2">
        <v>40</v>
      </c>
      <c r="K19" s="14">
        <f>VLOOKUP($C19,Sheet1!$A$2:$D$10,4,0)</f>
        <v>40</v>
      </c>
      <c r="L19" s="14" t="str">
        <f>VLOOKUP($C19,Sheet1!$A$2:$E$10,5,0)</f>
        <v>Trolley</v>
      </c>
      <c r="M19" s="14"/>
      <c r="N19" s="2">
        <f>J19/K19</f>
        <v>1</v>
      </c>
      <c r="O19" s="2" t="s">
        <v>861</v>
      </c>
      <c r="P19" s="2">
        <v>9101103483</v>
      </c>
    </row>
    <row r="20" spans="1:16" x14ac:dyDescent="0.25">
      <c r="A20" s="15" t="s">
        <v>948</v>
      </c>
      <c r="B20" s="2" t="s">
        <v>918</v>
      </c>
      <c r="C20" s="18" t="s">
        <v>23</v>
      </c>
      <c r="D20" s="2" t="str">
        <f>VLOOKUP($C20,Sheet1!$A$2:$B$10,2,0)</f>
        <v>141186-74360</v>
      </c>
      <c r="E20" s="8" t="s">
        <v>70</v>
      </c>
      <c r="F20" s="12">
        <v>46007</v>
      </c>
      <c r="G20" s="13">
        <v>0.27083333333333331</v>
      </c>
      <c r="H20" s="2" t="s">
        <v>58</v>
      </c>
      <c r="I20" s="2" t="s">
        <v>42</v>
      </c>
      <c r="J20" s="2">
        <v>40</v>
      </c>
      <c r="K20" s="14">
        <f>VLOOKUP($C20,Sheet1!$A$2:$D$10,4,0)</f>
        <v>40</v>
      </c>
      <c r="L20" s="14" t="str">
        <f>VLOOKUP($C20,Sheet1!$A$2:$E$10,5,0)</f>
        <v>Trolley</v>
      </c>
      <c r="M20" s="14"/>
      <c r="N20" s="2">
        <f>J20/K20</f>
        <v>1</v>
      </c>
      <c r="O20" s="2" t="s">
        <v>861</v>
      </c>
      <c r="P20" s="2">
        <v>9101103483</v>
      </c>
    </row>
    <row r="21" spans="1:16" x14ac:dyDescent="0.25">
      <c r="A21" s="15" t="s">
        <v>941</v>
      </c>
      <c r="B21" s="18" t="s">
        <v>922</v>
      </c>
      <c r="C21" s="2" t="s">
        <v>26</v>
      </c>
      <c r="D21" s="2" t="str">
        <f>VLOOKUP($C21,Sheet1!$A$2:$B$10,2,0)</f>
        <v>116040-92240</v>
      </c>
      <c r="E21" s="8" t="s">
        <v>75</v>
      </c>
      <c r="F21" s="12">
        <v>46007</v>
      </c>
      <c r="G21" s="13">
        <v>0.27083333333333331</v>
      </c>
      <c r="H21" s="2" t="s">
        <v>76</v>
      </c>
      <c r="I21" s="2" t="s">
        <v>42</v>
      </c>
      <c r="J21" s="2">
        <v>42</v>
      </c>
      <c r="K21" s="14">
        <f>VLOOKUP($C21,Sheet1!$A$2:$D$10,4,0)</f>
        <v>6</v>
      </c>
      <c r="L21" s="14" t="str">
        <f>VLOOKUP($C21,Sheet1!$A$2:$E$10,5,0)</f>
        <v>Bin</v>
      </c>
      <c r="M21" s="14">
        <f t="shared" ref="M21:M23" si="2">J21/K21</f>
        <v>7</v>
      </c>
      <c r="N21" s="2"/>
      <c r="O21" s="2" t="s">
        <v>861</v>
      </c>
      <c r="P21" s="2" t="s">
        <v>1048</v>
      </c>
    </row>
    <row r="22" spans="1:16" x14ac:dyDescent="0.25">
      <c r="A22" s="15" t="s">
        <v>941</v>
      </c>
      <c r="B22" s="18" t="s">
        <v>927</v>
      </c>
      <c r="C22" s="2" t="s">
        <v>32</v>
      </c>
      <c r="D22" s="2" t="str">
        <f>VLOOKUP($C22,Sheet1!$A$2:$B$10,2,0)</f>
        <v>114010-50820</v>
      </c>
      <c r="E22" s="8" t="s">
        <v>82</v>
      </c>
      <c r="F22" s="12">
        <v>46007</v>
      </c>
      <c r="G22" s="13">
        <v>0.27083333333333331</v>
      </c>
      <c r="H22" s="2" t="s">
        <v>76</v>
      </c>
      <c r="I22" s="2" t="s">
        <v>42</v>
      </c>
      <c r="J22" s="2">
        <v>21</v>
      </c>
      <c r="K22" s="14">
        <f>VLOOKUP($C22,Sheet1!$A$2:$D$10,4,0)</f>
        <v>1</v>
      </c>
      <c r="L22" s="14" t="str">
        <f>VLOOKUP($C22,Sheet1!$A$2:$E$10,5,0)</f>
        <v>Bin</v>
      </c>
      <c r="M22" s="14">
        <f t="shared" si="2"/>
        <v>21</v>
      </c>
      <c r="N22" s="2"/>
      <c r="O22" s="2" t="s">
        <v>861</v>
      </c>
      <c r="P22" s="2" t="s">
        <v>883</v>
      </c>
    </row>
    <row r="23" spans="1:16" x14ac:dyDescent="0.25">
      <c r="A23" s="15" t="s">
        <v>941</v>
      </c>
      <c r="B23" s="18" t="s">
        <v>932</v>
      </c>
      <c r="C23" s="2" t="s">
        <v>29</v>
      </c>
      <c r="D23" s="2" t="str">
        <f>VLOOKUP($C23,Sheet1!$A$2:$B$10,2,0)</f>
        <v>114010-50830</v>
      </c>
      <c r="E23" s="8" t="s">
        <v>82</v>
      </c>
      <c r="F23" s="12">
        <v>46007</v>
      </c>
      <c r="G23" s="13">
        <v>0.27083333333333331</v>
      </c>
      <c r="H23" s="2" t="s">
        <v>76</v>
      </c>
      <c r="I23" s="2" t="s">
        <v>42</v>
      </c>
      <c r="J23" s="2">
        <v>23</v>
      </c>
      <c r="K23" s="14">
        <f>VLOOKUP($C23,Sheet1!$A$2:$D$10,4,0)</f>
        <v>1</v>
      </c>
      <c r="L23" s="14" t="str">
        <f>VLOOKUP($C23,Sheet1!$A$2:$E$10,5,0)</f>
        <v>Bin</v>
      </c>
      <c r="M23" s="14">
        <f t="shared" si="2"/>
        <v>23</v>
      </c>
      <c r="N23" s="2"/>
      <c r="O23" s="2" t="s">
        <v>861</v>
      </c>
      <c r="P23" s="2" t="s">
        <v>1056</v>
      </c>
    </row>
    <row r="24" spans="1:16" s="11" customForma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>
        <v>75</v>
      </c>
      <c r="N24" s="10">
        <v>3</v>
      </c>
      <c r="O24" s="10"/>
      <c r="P24" s="10"/>
    </row>
    <row r="25" spans="1:16" x14ac:dyDescent="0.25">
      <c r="A25" s="15" t="s">
        <v>942</v>
      </c>
      <c r="B25" s="18" t="s">
        <v>894</v>
      </c>
      <c r="C25" s="2" t="s">
        <v>5</v>
      </c>
      <c r="D25" s="2" t="str">
        <f>VLOOKUP($C25,Sheet1!$A$2:$B$10,2,0)</f>
        <v>141110-14600</v>
      </c>
      <c r="E25" s="8" t="s">
        <v>40</v>
      </c>
      <c r="F25" s="12">
        <v>46007</v>
      </c>
      <c r="G25" s="13">
        <v>0.52083333333333337</v>
      </c>
      <c r="H25" s="2" t="s">
        <v>41</v>
      </c>
      <c r="I25" s="2" t="s">
        <v>42</v>
      </c>
      <c r="J25" s="2">
        <v>36</v>
      </c>
      <c r="K25" s="14">
        <f>VLOOKUP($C25,Sheet1!$A$2:$D$10,4,0)</f>
        <v>18</v>
      </c>
      <c r="L25" s="14" t="str">
        <f>VLOOKUP($C25,Sheet1!$A$2:$E$10,5,0)</f>
        <v>Trolley (H)</v>
      </c>
      <c r="M25" s="14"/>
      <c r="N25" s="51">
        <v>2</v>
      </c>
      <c r="O25" s="2" t="s">
        <v>113</v>
      </c>
      <c r="P25" s="2" t="s">
        <v>1049</v>
      </c>
    </row>
    <row r="26" spans="1:16" x14ac:dyDescent="0.25">
      <c r="A26" s="15" t="s">
        <v>942</v>
      </c>
      <c r="B26" s="18" t="s">
        <v>899</v>
      </c>
      <c r="C26" s="2" t="s">
        <v>9</v>
      </c>
      <c r="D26" s="2" t="str">
        <f>VLOOKUP($C26,Sheet1!$A$2:$B$10,2,0)</f>
        <v>141120-14600</v>
      </c>
      <c r="E26" s="8" t="s">
        <v>47</v>
      </c>
      <c r="F26" s="12">
        <v>46007</v>
      </c>
      <c r="G26" s="13">
        <v>0.52083333333333337</v>
      </c>
      <c r="H26" s="2" t="s">
        <v>41</v>
      </c>
      <c r="I26" s="2" t="s">
        <v>42</v>
      </c>
      <c r="J26" s="2">
        <v>36</v>
      </c>
      <c r="K26" s="14">
        <f>VLOOKUP($C26,Sheet1!$A$2:$D$10,4,0)</f>
        <v>18</v>
      </c>
      <c r="L26" s="14" t="str">
        <f>VLOOKUP($C26,Sheet1!$A$2:$E$10,5,0)</f>
        <v>Trolley (H)</v>
      </c>
      <c r="M26" s="14"/>
      <c r="N26" s="52"/>
      <c r="O26" s="2" t="s">
        <v>113</v>
      </c>
      <c r="P26" s="2" t="s">
        <v>1049</v>
      </c>
    </row>
    <row r="27" spans="1:16" x14ac:dyDescent="0.25">
      <c r="A27" s="15" t="s">
        <v>942</v>
      </c>
      <c r="B27" s="18" t="s">
        <v>904</v>
      </c>
      <c r="C27" s="2" t="s">
        <v>12</v>
      </c>
      <c r="D27" s="2" t="str">
        <f>VLOOKUP($C27,Sheet1!$A$2:$B$10,2,0)</f>
        <v>141185-74670</v>
      </c>
      <c r="E27" s="8" t="s">
        <v>52</v>
      </c>
      <c r="F27" s="12">
        <v>46007</v>
      </c>
      <c r="G27" s="13">
        <v>0.52083333333333337</v>
      </c>
      <c r="H27" s="2" t="s">
        <v>41</v>
      </c>
      <c r="I27" s="2" t="s">
        <v>42</v>
      </c>
      <c r="J27" s="2">
        <v>80</v>
      </c>
      <c r="K27" s="14">
        <f>VLOOKUP($C27,Sheet1!$A$2:$D$10,4,0)</f>
        <v>40</v>
      </c>
      <c r="L27" s="14" t="str">
        <f>VLOOKUP($C27,Sheet1!$A$2:$E$10,5,0)</f>
        <v>Trolley</v>
      </c>
      <c r="M27" s="14"/>
      <c r="N27" s="2">
        <f>J27/K27</f>
        <v>2</v>
      </c>
      <c r="O27" s="2" t="s">
        <v>113</v>
      </c>
      <c r="P27" s="2">
        <v>910103483</v>
      </c>
    </row>
    <row r="28" spans="1:16" x14ac:dyDescent="0.25">
      <c r="A28" s="15" t="s">
        <v>942</v>
      </c>
      <c r="B28" s="18" t="s">
        <v>909</v>
      </c>
      <c r="C28" s="2" t="s">
        <v>16</v>
      </c>
      <c r="D28" s="2" t="str">
        <f>VLOOKUP($C28,Sheet1!$A$2:$B$10,2,0)</f>
        <v>141140-91211</v>
      </c>
      <c r="E28" s="8" t="s">
        <v>57</v>
      </c>
      <c r="F28" s="12">
        <v>46007</v>
      </c>
      <c r="G28" s="13">
        <v>0.52083333333333337</v>
      </c>
      <c r="H28" s="2" t="s">
        <v>58</v>
      </c>
      <c r="I28" s="2" t="s">
        <v>42</v>
      </c>
      <c r="J28" s="2">
        <v>40</v>
      </c>
      <c r="K28" s="14">
        <f>VLOOKUP($C28,Sheet1!$A$2:$D$10,4,0)</f>
        <v>2</v>
      </c>
      <c r="L28" s="14" t="str">
        <f>VLOOKUP($C28,Sheet1!$A$2:$E$10,5,0)</f>
        <v>Bin</v>
      </c>
      <c r="M28" s="14">
        <f t="shared" ref="M28:M29" si="3">J28/K28</f>
        <v>20</v>
      </c>
      <c r="N28" s="2"/>
      <c r="O28" s="2" t="s">
        <v>113</v>
      </c>
      <c r="P28" s="2" t="s">
        <v>171</v>
      </c>
    </row>
    <row r="29" spans="1:16" x14ac:dyDescent="0.25">
      <c r="A29" s="15" t="s">
        <v>942</v>
      </c>
      <c r="B29" s="18" t="s">
        <v>914</v>
      </c>
      <c r="C29" s="2" t="s">
        <v>20</v>
      </c>
      <c r="D29" s="2" t="str">
        <f>VLOOKUP($C29,Sheet1!$A$2:$B$10,2,0)</f>
        <v>141150-91211</v>
      </c>
      <c r="E29" s="8" t="s">
        <v>64</v>
      </c>
      <c r="F29" s="12">
        <v>46007</v>
      </c>
      <c r="G29" s="13">
        <v>0.52083333333333337</v>
      </c>
      <c r="H29" s="2" t="s">
        <v>58</v>
      </c>
      <c r="I29" s="2" t="s">
        <v>42</v>
      </c>
      <c r="J29" s="2">
        <v>40</v>
      </c>
      <c r="K29" s="14">
        <f>VLOOKUP($C29,Sheet1!$A$2:$D$10,4,0)</f>
        <v>2</v>
      </c>
      <c r="L29" s="14" t="str">
        <f>VLOOKUP($C29,Sheet1!$A$2:$E$10,5,0)</f>
        <v>Bin</v>
      </c>
      <c r="M29" s="14">
        <f t="shared" si="3"/>
        <v>20</v>
      </c>
      <c r="N29" s="2"/>
      <c r="O29" s="2" t="s">
        <v>113</v>
      </c>
      <c r="P29" s="2" t="s">
        <v>171</v>
      </c>
    </row>
    <row r="30" spans="1:16" x14ac:dyDescent="0.25">
      <c r="A30" s="15" t="s">
        <v>942</v>
      </c>
      <c r="B30" s="18" t="s">
        <v>919</v>
      </c>
      <c r="C30" s="2" t="s">
        <v>23</v>
      </c>
      <c r="D30" s="2" t="str">
        <f>VLOOKUP($C30,Sheet1!$A$2:$B$10,2,0)</f>
        <v>141186-74360</v>
      </c>
      <c r="E30" s="8" t="s">
        <v>70</v>
      </c>
      <c r="F30" s="12">
        <v>46007</v>
      </c>
      <c r="G30" s="13">
        <v>0.52083333333333337</v>
      </c>
      <c r="H30" s="2" t="s">
        <v>58</v>
      </c>
      <c r="I30" s="2" t="s">
        <v>42</v>
      </c>
      <c r="J30" s="2">
        <v>80</v>
      </c>
      <c r="K30" s="14">
        <f>VLOOKUP($C30,Sheet1!$A$2:$D$10,4,0)</f>
        <v>40</v>
      </c>
      <c r="L30" s="14" t="str">
        <f>VLOOKUP($C30,Sheet1!$A$2:$E$10,5,0)</f>
        <v>Trolley</v>
      </c>
      <c r="M30" s="14"/>
      <c r="N30" s="2">
        <f>J30/K30</f>
        <v>2</v>
      </c>
      <c r="O30" s="2" t="s">
        <v>113</v>
      </c>
      <c r="P30" s="2">
        <v>910103227</v>
      </c>
    </row>
    <row r="31" spans="1:16" x14ac:dyDescent="0.25">
      <c r="A31" s="15" t="s">
        <v>943</v>
      </c>
      <c r="B31" s="18" t="s">
        <v>924</v>
      </c>
      <c r="C31" s="2" t="s">
        <v>26</v>
      </c>
      <c r="D31" s="2" t="str">
        <f>VLOOKUP($C31,Sheet1!$A$2:$B$10,2,0)</f>
        <v>116040-92240</v>
      </c>
      <c r="E31" s="8" t="s">
        <v>75</v>
      </c>
      <c r="F31" s="12">
        <v>46007</v>
      </c>
      <c r="G31" s="13">
        <v>0.52083333333333337</v>
      </c>
      <c r="H31" s="2" t="s">
        <v>76</v>
      </c>
      <c r="I31" s="2" t="s">
        <v>42</v>
      </c>
      <c r="J31" s="2">
        <v>42</v>
      </c>
      <c r="K31" s="14">
        <f>VLOOKUP($C31,Sheet1!$A$2:$D$10,4,0)</f>
        <v>6</v>
      </c>
      <c r="L31" s="14" t="str">
        <f>VLOOKUP($C31,Sheet1!$A$2:$E$10,5,0)</f>
        <v>Bin</v>
      </c>
      <c r="M31" s="14">
        <f t="shared" ref="M31:M33" si="4">J31/K31</f>
        <v>7</v>
      </c>
      <c r="N31" s="2"/>
      <c r="O31" s="2" t="s">
        <v>113</v>
      </c>
      <c r="P31" s="2" t="s">
        <v>882</v>
      </c>
    </row>
    <row r="32" spans="1:16" x14ac:dyDescent="0.25">
      <c r="A32" s="15" t="s">
        <v>943</v>
      </c>
      <c r="B32" s="18" t="s">
        <v>929</v>
      </c>
      <c r="C32" s="2" t="s">
        <v>32</v>
      </c>
      <c r="D32" s="2" t="str">
        <f>VLOOKUP($C32,Sheet1!$A$2:$B$10,2,0)</f>
        <v>114010-50820</v>
      </c>
      <c r="E32" s="8" t="s">
        <v>82</v>
      </c>
      <c r="F32" s="12">
        <v>46007</v>
      </c>
      <c r="G32" s="13">
        <v>0.52083333333333337</v>
      </c>
      <c r="H32" s="2" t="s">
        <v>76</v>
      </c>
      <c r="I32" s="2" t="s">
        <v>42</v>
      </c>
      <c r="J32" s="2">
        <v>20</v>
      </c>
      <c r="K32" s="14">
        <f>VLOOKUP($C32,Sheet1!$A$2:$D$10,4,0)</f>
        <v>1</v>
      </c>
      <c r="L32" s="14" t="str">
        <f>VLOOKUP($C32,Sheet1!$A$2:$E$10,5,0)</f>
        <v>Bin</v>
      </c>
      <c r="M32" s="14">
        <f t="shared" si="4"/>
        <v>20</v>
      </c>
      <c r="N32" s="2"/>
      <c r="O32" s="2" t="s">
        <v>113</v>
      </c>
      <c r="P32" s="2" t="s">
        <v>1058</v>
      </c>
    </row>
    <row r="33" spans="1:16" x14ac:dyDescent="0.25">
      <c r="A33" s="15" t="s">
        <v>943</v>
      </c>
      <c r="B33" s="18" t="s">
        <v>934</v>
      </c>
      <c r="C33" s="2" t="s">
        <v>29</v>
      </c>
      <c r="D33" s="2" t="str">
        <f>VLOOKUP($C33,Sheet1!$A$2:$B$10,2,0)</f>
        <v>114010-50830</v>
      </c>
      <c r="E33" s="8" t="s">
        <v>82</v>
      </c>
      <c r="F33" s="12">
        <v>46007</v>
      </c>
      <c r="G33" s="13">
        <v>0.52083333333333337</v>
      </c>
      <c r="H33" s="2" t="s">
        <v>76</v>
      </c>
      <c r="I33" s="2" t="s">
        <v>42</v>
      </c>
      <c r="J33" s="2">
        <v>23</v>
      </c>
      <c r="K33" s="14">
        <f>VLOOKUP($C33,Sheet1!$A$2:$D$10,4,0)</f>
        <v>1</v>
      </c>
      <c r="L33" s="14" t="str">
        <f>VLOOKUP($C33,Sheet1!$A$2:$E$10,5,0)</f>
        <v>Bin</v>
      </c>
      <c r="M33" s="14">
        <f t="shared" si="4"/>
        <v>23</v>
      </c>
      <c r="N33" s="2"/>
      <c r="O33" s="2" t="s">
        <v>113</v>
      </c>
      <c r="P33" s="2" t="s">
        <v>1056</v>
      </c>
    </row>
    <row r="34" spans="1:16" s="11" customForma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>
        <v>90</v>
      </c>
      <c r="N34" s="10">
        <v>6</v>
      </c>
      <c r="O34" s="10"/>
      <c r="P34" s="10"/>
    </row>
    <row r="35" spans="1:16" x14ac:dyDescent="0.25">
      <c r="A35" s="15" t="s">
        <v>944</v>
      </c>
      <c r="B35" s="18" t="s">
        <v>895</v>
      </c>
      <c r="C35" s="2" t="s">
        <v>5</v>
      </c>
      <c r="D35" s="2" t="str">
        <f>VLOOKUP($C35,Sheet1!$A$2:$B$10,2,0)</f>
        <v>141110-14600</v>
      </c>
      <c r="E35" s="8" t="s">
        <v>40</v>
      </c>
      <c r="F35" s="12">
        <v>46007</v>
      </c>
      <c r="G35" s="13">
        <v>0.60416666666666663</v>
      </c>
      <c r="H35" s="2" t="s">
        <v>41</v>
      </c>
      <c r="I35" s="2" t="s">
        <v>42</v>
      </c>
      <c r="J35" s="2">
        <v>36</v>
      </c>
      <c r="K35" s="14">
        <f>VLOOKUP($C35,Sheet1!$A$2:$D$10,4,0)</f>
        <v>18</v>
      </c>
      <c r="L35" s="14" t="str">
        <f>VLOOKUP($C35,Sheet1!$A$2:$E$10,5,0)</f>
        <v>Trolley (H)</v>
      </c>
      <c r="M35" s="14"/>
      <c r="N35" s="51">
        <v>2</v>
      </c>
      <c r="O35" s="2" t="s">
        <v>861</v>
      </c>
      <c r="P35" s="2" t="s">
        <v>1049</v>
      </c>
    </row>
    <row r="36" spans="1:16" x14ac:dyDescent="0.25">
      <c r="A36" s="15" t="s">
        <v>944</v>
      </c>
      <c r="B36" s="18" t="s">
        <v>900</v>
      </c>
      <c r="C36" s="2" t="s">
        <v>9</v>
      </c>
      <c r="D36" s="2" t="str">
        <f>VLOOKUP($C36,Sheet1!$A$2:$B$10,2,0)</f>
        <v>141120-14600</v>
      </c>
      <c r="E36" s="8" t="s">
        <v>47</v>
      </c>
      <c r="F36" s="12">
        <v>46007</v>
      </c>
      <c r="G36" s="13">
        <v>0.60416666666666663</v>
      </c>
      <c r="H36" s="2" t="s">
        <v>41</v>
      </c>
      <c r="I36" s="2" t="s">
        <v>42</v>
      </c>
      <c r="J36" s="2">
        <v>36</v>
      </c>
      <c r="K36" s="14">
        <f>VLOOKUP($C36,Sheet1!$A$2:$D$10,4,0)</f>
        <v>18</v>
      </c>
      <c r="L36" s="14" t="str">
        <f>VLOOKUP($C36,Sheet1!$A$2:$E$10,5,0)</f>
        <v>Trolley (H)</v>
      </c>
      <c r="M36" s="14"/>
      <c r="N36" s="52"/>
      <c r="O36" s="2" t="s">
        <v>861</v>
      </c>
      <c r="P36" s="2" t="s">
        <v>1049</v>
      </c>
    </row>
    <row r="37" spans="1:16" x14ac:dyDescent="0.25">
      <c r="A37" s="15" t="s">
        <v>944</v>
      </c>
      <c r="B37" s="18" t="s">
        <v>905</v>
      </c>
      <c r="C37" s="2" t="s">
        <v>12</v>
      </c>
      <c r="D37" s="2" t="str">
        <f>VLOOKUP($C37,Sheet1!$A$2:$B$10,2,0)</f>
        <v>141185-74670</v>
      </c>
      <c r="E37" s="8" t="s">
        <v>52</v>
      </c>
      <c r="F37" s="12">
        <v>46007</v>
      </c>
      <c r="G37" s="13">
        <v>0.60416666666666663</v>
      </c>
      <c r="H37" s="2" t="s">
        <v>41</v>
      </c>
      <c r="I37" s="2" t="s">
        <v>42</v>
      </c>
      <c r="J37" s="2">
        <v>80</v>
      </c>
      <c r="K37" s="14">
        <f>VLOOKUP($C37,Sheet1!$A$2:$D$10,4,0)</f>
        <v>40</v>
      </c>
      <c r="L37" s="14" t="str">
        <f>VLOOKUP($C37,Sheet1!$A$2:$E$10,5,0)</f>
        <v>Trolley</v>
      </c>
      <c r="M37" s="14"/>
      <c r="N37" s="2">
        <f>J37/K37</f>
        <v>2</v>
      </c>
      <c r="O37" s="2" t="s">
        <v>861</v>
      </c>
      <c r="P37" s="2">
        <v>910103483</v>
      </c>
    </row>
    <row r="38" spans="1:16" x14ac:dyDescent="0.25">
      <c r="A38" s="15" t="s">
        <v>944</v>
      </c>
      <c r="B38" s="18" t="s">
        <v>910</v>
      </c>
      <c r="C38" s="2" t="s">
        <v>16</v>
      </c>
      <c r="D38" s="2" t="str">
        <f>VLOOKUP($C38,Sheet1!$A$2:$B$10,2,0)</f>
        <v>141140-91211</v>
      </c>
      <c r="E38" s="8" t="s">
        <v>57</v>
      </c>
      <c r="F38" s="12">
        <v>46007</v>
      </c>
      <c r="G38" s="13">
        <v>0.60416666666666663</v>
      </c>
      <c r="H38" s="2" t="s">
        <v>58</v>
      </c>
      <c r="I38" s="2" t="s">
        <v>42</v>
      </c>
      <c r="J38" s="2">
        <v>36</v>
      </c>
      <c r="K38" s="14">
        <f>VLOOKUP($C38,Sheet1!$A$2:$D$10,4,0)</f>
        <v>2</v>
      </c>
      <c r="L38" s="14" t="str">
        <f>VLOOKUP($C38,Sheet1!$A$2:$E$10,5,0)</f>
        <v>Bin</v>
      </c>
      <c r="M38" s="14">
        <f t="shared" ref="M38:M39" si="5">J38/K38</f>
        <v>18</v>
      </c>
      <c r="N38" s="2"/>
      <c r="O38" s="2" t="s">
        <v>861</v>
      </c>
      <c r="P38" s="2" t="s">
        <v>171</v>
      </c>
    </row>
    <row r="39" spans="1:16" x14ac:dyDescent="0.25">
      <c r="A39" s="15" t="s">
        <v>944</v>
      </c>
      <c r="B39" s="18" t="s">
        <v>915</v>
      </c>
      <c r="C39" s="2" t="s">
        <v>20</v>
      </c>
      <c r="D39" s="2" t="str">
        <f>VLOOKUP($C39,Sheet1!$A$2:$B$10,2,0)</f>
        <v>141150-91211</v>
      </c>
      <c r="E39" s="8" t="s">
        <v>64</v>
      </c>
      <c r="F39" s="12">
        <v>46007</v>
      </c>
      <c r="G39" s="13">
        <v>0.60416666666666663</v>
      </c>
      <c r="H39" s="2" t="s">
        <v>58</v>
      </c>
      <c r="I39" s="2" t="s">
        <v>42</v>
      </c>
      <c r="J39" s="2">
        <v>36</v>
      </c>
      <c r="K39" s="14">
        <f>VLOOKUP($C39,Sheet1!$A$2:$D$10,4,0)</f>
        <v>2</v>
      </c>
      <c r="L39" s="14" t="str">
        <f>VLOOKUP($C39,Sheet1!$A$2:$E$10,5,0)</f>
        <v>Bin</v>
      </c>
      <c r="M39" s="14">
        <f t="shared" si="5"/>
        <v>18</v>
      </c>
      <c r="N39" s="2"/>
      <c r="O39" s="2" t="s">
        <v>861</v>
      </c>
      <c r="P39" s="2" t="s">
        <v>171</v>
      </c>
    </row>
    <row r="40" spans="1:16" x14ac:dyDescent="0.25">
      <c r="A40" s="15" t="s">
        <v>944</v>
      </c>
      <c r="B40" s="18" t="s">
        <v>920</v>
      </c>
      <c r="C40" s="2" t="s">
        <v>23</v>
      </c>
      <c r="D40" s="2" t="str">
        <f>VLOOKUP($C40,Sheet1!$A$2:$B$10,2,0)</f>
        <v>141186-74360</v>
      </c>
      <c r="E40" s="8" t="s">
        <v>70</v>
      </c>
      <c r="F40" s="12">
        <v>46007</v>
      </c>
      <c r="G40" s="13">
        <v>0.60416666666666663</v>
      </c>
      <c r="H40" s="2" t="s">
        <v>58</v>
      </c>
      <c r="I40" s="2" t="s">
        <v>42</v>
      </c>
      <c r="J40" s="2">
        <v>40</v>
      </c>
      <c r="K40" s="14">
        <f>VLOOKUP($C40,Sheet1!$A$2:$D$10,4,0)</f>
        <v>40</v>
      </c>
      <c r="L40" s="14" t="str">
        <f>VLOOKUP($C40,Sheet1!$A$2:$E$10,5,0)</f>
        <v>Trolley</v>
      </c>
      <c r="M40" s="14"/>
      <c r="N40" s="2">
        <f>J40/K40</f>
        <v>1</v>
      </c>
      <c r="O40" s="2" t="s">
        <v>861</v>
      </c>
      <c r="P40" s="2">
        <v>910103227</v>
      </c>
    </row>
    <row r="41" spans="1:16" x14ac:dyDescent="0.25">
      <c r="A41" s="15" t="s">
        <v>945</v>
      </c>
      <c r="B41" s="18" t="s">
        <v>925</v>
      </c>
      <c r="C41" s="2" t="s">
        <v>26</v>
      </c>
      <c r="D41" s="2" t="str">
        <f>VLOOKUP($C41,Sheet1!$A$2:$B$10,2,0)</f>
        <v>116040-92240</v>
      </c>
      <c r="E41" s="8" t="s">
        <v>75</v>
      </c>
      <c r="F41" s="12">
        <v>46007</v>
      </c>
      <c r="G41" s="13">
        <v>0.60416666666666663</v>
      </c>
      <c r="H41" s="2" t="s">
        <v>76</v>
      </c>
      <c r="I41" s="2" t="s">
        <v>42</v>
      </c>
      <c r="J41" s="2">
        <v>36</v>
      </c>
      <c r="K41" s="14">
        <f>VLOOKUP($C41,Sheet1!$A$2:$D$10,4,0)</f>
        <v>6</v>
      </c>
      <c r="L41" s="14" t="str">
        <f>VLOOKUP($C41,Sheet1!$A$2:$E$10,5,0)</f>
        <v>Bin</v>
      </c>
      <c r="M41" s="14">
        <f t="shared" ref="M41:M43" si="6">J41/K41</f>
        <v>6</v>
      </c>
      <c r="N41" s="2"/>
      <c r="O41" s="2" t="s">
        <v>861</v>
      </c>
      <c r="P41" s="2" t="s">
        <v>882</v>
      </c>
    </row>
    <row r="42" spans="1:16" x14ac:dyDescent="0.25">
      <c r="A42" s="15" t="s">
        <v>945</v>
      </c>
      <c r="B42" s="18" t="s">
        <v>930</v>
      </c>
      <c r="C42" s="2" t="s">
        <v>32</v>
      </c>
      <c r="D42" s="2" t="str">
        <f>VLOOKUP($C42,Sheet1!$A$2:$B$10,2,0)</f>
        <v>114010-50820</v>
      </c>
      <c r="E42" s="8" t="s">
        <v>82</v>
      </c>
      <c r="F42" s="12">
        <v>46007</v>
      </c>
      <c r="G42" s="13">
        <v>0.60416666666666663</v>
      </c>
      <c r="H42" s="2" t="s">
        <v>76</v>
      </c>
      <c r="I42" s="2" t="s">
        <v>42</v>
      </c>
      <c r="J42" s="2">
        <v>17</v>
      </c>
      <c r="K42" s="14">
        <f>VLOOKUP($C42,Sheet1!$A$2:$D$10,4,0)</f>
        <v>1</v>
      </c>
      <c r="L42" s="14" t="str">
        <f>VLOOKUP($C42,Sheet1!$A$2:$E$10,5,0)</f>
        <v>Bin</v>
      </c>
      <c r="M42" s="14">
        <f t="shared" si="6"/>
        <v>17</v>
      </c>
      <c r="N42" s="2"/>
      <c r="O42" s="2" t="s">
        <v>861</v>
      </c>
      <c r="P42" s="2" t="s">
        <v>169</v>
      </c>
    </row>
    <row r="43" spans="1:16" x14ac:dyDescent="0.25">
      <c r="A43" s="15" t="s">
        <v>945</v>
      </c>
      <c r="B43" s="18" t="s">
        <v>935</v>
      </c>
      <c r="C43" s="2" t="s">
        <v>29</v>
      </c>
      <c r="D43" s="2" t="str">
        <f>VLOOKUP($C43,Sheet1!$A$2:$B$10,2,0)</f>
        <v>114010-50830</v>
      </c>
      <c r="E43" s="8" t="s">
        <v>82</v>
      </c>
      <c r="F43" s="12">
        <v>46007</v>
      </c>
      <c r="G43" s="13">
        <v>0.60416666666666663</v>
      </c>
      <c r="H43" s="2" t="s">
        <v>76</v>
      </c>
      <c r="I43" s="2" t="s">
        <v>42</v>
      </c>
      <c r="J43" s="2">
        <v>20</v>
      </c>
      <c r="K43" s="14">
        <f>VLOOKUP($C43,Sheet1!$A$2:$D$10,4,0)</f>
        <v>1</v>
      </c>
      <c r="L43" s="14" t="str">
        <f>VLOOKUP($C43,Sheet1!$A$2:$E$10,5,0)</f>
        <v>Bin</v>
      </c>
      <c r="M43" s="14">
        <f t="shared" si="6"/>
        <v>20</v>
      </c>
      <c r="N43" s="2"/>
      <c r="O43" s="2" t="s">
        <v>861</v>
      </c>
      <c r="P43" s="2" t="s">
        <v>1056</v>
      </c>
    </row>
    <row r="44" spans="1:16" s="11" customForma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>
        <v>79</v>
      </c>
      <c r="N44" s="10">
        <v>5</v>
      </c>
      <c r="O44" s="10"/>
      <c r="P44" s="10"/>
    </row>
    <row r="45" spans="1:16" x14ac:dyDescent="0.25">
      <c r="A45" s="15" t="s">
        <v>946</v>
      </c>
      <c r="B45" s="18" t="s">
        <v>896</v>
      </c>
      <c r="C45" s="2" t="s">
        <v>5</v>
      </c>
      <c r="D45" s="2" t="str">
        <f>VLOOKUP($C45,Sheet1!$A$2:$B$10,2,0)</f>
        <v>141110-14600</v>
      </c>
      <c r="E45" s="8" t="s">
        <v>40</v>
      </c>
      <c r="F45" s="12">
        <v>46007</v>
      </c>
      <c r="G45" s="13">
        <v>0.72916666666666663</v>
      </c>
      <c r="H45" s="2" t="s">
        <v>41</v>
      </c>
      <c r="I45" s="2" t="s">
        <v>42</v>
      </c>
      <c r="J45" s="2">
        <v>36</v>
      </c>
      <c r="K45" s="14">
        <f>VLOOKUP($C45,Sheet1!$A$2:$D$10,4,0)</f>
        <v>18</v>
      </c>
      <c r="L45" s="14" t="str">
        <f>VLOOKUP($C45,Sheet1!$A$2:$E$10,5,0)</f>
        <v>Trolley (H)</v>
      </c>
      <c r="M45" s="14"/>
      <c r="N45" s="51">
        <v>2</v>
      </c>
      <c r="O45" s="2" t="s">
        <v>112</v>
      </c>
      <c r="P45" s="2" t="s">
        <v>1049</v>
      </c>
    </row>
    <row r="46" spans="1:16" x14ac:dyDescent="0.25">
      <c r="A46" s="15" t="s">
        <v>946</v>
      </c>
      <c r="B46" s="18" t="s">
        <v>901</v>
      </c>
      <c r="C46" s="2" t="s">
        <v>9</v>
      </c>
      <c r="D46" s="2" t="str">
        <f>VLOOKUP($C46,Sheet1!$A$2:$B$10,2,0)</f>
        <v>141120-14600</v>
      </c>
      <c r="E46" s="8" t="s">
        <v>47</v>
      </c>
      <c r="F46" s="12">
        <v>46007</v>
      </c>
      <c r="G46" s="13">
        <v>0.72916666666666663</v>
      </c>
      <c r="H46" s="2" t="s">
        <v>41</v>
      </c>
      <c r="I46" s="2" t="s">
        <v>42</v>
      </c>
      <c r="J46" s="2">
        <v>36</v>
      </c>
      <c r="K46" s="14">
        <f>VLOOKUP($C46,Sheet1!$A$2:$D$10,4,0)</f>
        <v>18</v>
      </c>
      <c r="L46" s="14" t="str">
        <f>VLOOKUP($C46,Sheet1!$A$2:$E$10,5,0)</f>
        <v>Trolley (H)</v>
      </c>
      <c r="M46" s="14"/>
      <c r="N46" s="52"/>
      <c r="O46" s="2" t="s">
        <v>112</v>
      </c>
      <c r="P46" s="2" t="s">
        <v>1049</v>
      </c>
    </row>
    <row r="47" spans="1:16" x14ac:dyDescent="0.25">
      <c r="A47" s="15" t="s">
        <v>946</v>
      </c>
      <c r="B47" s="18" t="s">
        <v>906</v>
      </c>
      <c r="C47" s="2" t="s">
        <v>12</v>
      </c>
      <c r="D47" s="2" t="str">
        <f>VLOOKUP($C47,Sheet1!$A$2:$B$10,2,0)</f>
        <v>141185-74670</v>
      </c>
      <c r="E47" s="8" t="s">
        <v>52</v>
      </c>
      <c r="F47" s="12">
        <v>46007</v>
      </c>
      <c r="G47" s="13">
        <v>0.72916666666666663</v>
      </c>
      <c r="H47" s="2" t="s">
        <v>41</v>
      </c>
      <c r="I47" s="2" t="s">
        <v>42</v>
      </c>
      <c r="J47" s="2">
        <v>80</v>
      </c>
      <c r="K47" s="14">
        <f>VLOOKUP($C47,Sheet1!$A$2:$D$10,4,0)</f>
        <v>40</v>
      </c>
      <c r="L47" s="14" t="str">
        <f>VLOOKUP($C47,Sheet1!$A$2:$E$10,5,0)</f>
        <v>Trolley</v>
      </c>
      <c r="M47" s="14"/>
      <c r="N47" s="2">
        <f>J47/K47</f>
        <v>2</v>
      </c>
      <c r="O47" s="2" t="s">
        <v>112</v>
      </c>
      <c r="P47" s="2">
        <v>910103483</v>
      </c>
    </row>
    <row r="48" spans="1:16" x14ac:dyDescent="0.25">
      <c r="A48" s="15" t="s">
        <v>946</v>
      </c>
      <c r="B48" s="18" t="s">
        <v>911</v>
      </c>
      <c r="C48" s="2" t="s">
        <v>16</v>
      </c>
      <c r="D48" s="2" t="str">
        <f>VLOOKUP($C48,Sheet1!$A$2:$B$10,2,0)</f>
        <v>141140-91211</v>
      </c>
      <c r="E48" s="8" t="s">
        <v>57</v>
      </c>
      <c r="F48" s="12">
        <v>46007</v>
      </c>
      <c r="G48" s="13">
        <v>0.72916666666666663</v>
      </c>
      <c r="H48" s="2" t="s">
        <v>58</v>
      </c>
      <c r="I48" s="2" t="s">
        <v>42</v>
      </c>
      <c r="J48" s="2">
        <v>34</v>
      </c>
      <c r="K48" s="14">
        <f>VLOOKUP($C48,Sheet1!$A$2:$D$10,4,0)</f>
        <v>2</v>
      </c>
      <c r="L48" s="14" t="str">
        <f>VLOOKUP($C48,Sheet1!$A$2:$E$10,5,0)</f>
        <v>Bin</v>
      </c>
      <c r="M48" s="14">
        <f t="shared" ref="M48:M49" si="7">J48/K48</f>
        <v>17</v>
      </c>
      <c r="N48" s="2"/>
      <c r="O48" s="2" t="s">
        <v>112</v>
      </c>
      <c r="P48" s="2" t="s">
        <v>171</v>
      </c>
    </row>
    <row r="49" spans="1:16" x14ac:dyDescent="0.25">
      <c r="A49" s="15" t="s">
        <v>946</v>
      </c>
      <c r="B49" s="18" t="s">
        <v>916</v>
      </c>
      <c r="C49" s="2" t="s">
        <v>20</v>
      </c>
      <c r="D49" s="2" t="str">
        <f>VLOOKUP($C49,Sheet1!$A$2:$B$10,2,0)</f>
        <v>141150-91211</v>
      </c>
      <c r="E49" s="8" t="s">
        <v>64</v>
      </c>
      <c r="F49" s="12">
        <v>46007</v>
      </c>
      <c r="G49" s="13">
        <v>0.72916666666666663</v>
      </c>
      <c r="H49" s="2" t="s">
        <v>58</v>
      </c>
      <c r="I49" s="2" t="s">
        <v>42</v>
      </c>
      <c r="J49" s="2">
        <v>32</v>
      </c>
      <c r="K49" s="14">
        <f>VLOOKUP($C49,Sheet1!$A$2:$D$10,4,0)</f>
        <v>2</v>
      </c>
      <c r="L49" s="14" t="str">
        <f>VLOOKUP($C49,Sheet1!$A$2:$E$10,5,0)</f>
        <v>Bin</v>
      </c>
      <c r="M49" s="14">
        <f t="shared" si="7"/>
        <v>16</v>
      </c>
      <c r="N49" s="2"/>
      <c r="O49" s="2" t="s">
        <v>112</v>
      </c>
      <c r="P49" s="2" t="s">
        <v>171</v>
      </c>
    </row>
    <row r="50" spans="1:16" x14ac:dyDescent="0.25">
      <c r="A50" s="15" t="s">
        <v>946</v>
      </c>
      <c r="B50" s="18" t="s">
        <v>921</v>
      </c>
      <c r="C50" s="2" t="s">
        <v>23</v>
      </c>
      <c r="D50" s="2" t="str">
        <f>VLOOKUP($C50,Sheet1!$A$2:$B$10,2,0)</f>
        <v>141186-74360</v>
      </c>
      <c r="E50" s="8" t="s">
        <v>70</v>
      </c>
      <c r="F50" s="12">
        <v>46007</v>
      </c>
      <c r="G50" s="13">
        <v>0.72916666666666663</v>
      </c>
      <c r="H50" s="2" t="s">
        <v>58</v>
      </c>
      <c r="I50" s="2" t="s">
        <v>42</v>
      </c>
      <c r="J50" s="2">
        <v>80</v>
      </c>
      <c r="K50" s="14">
        <f>VLOOKUP($C50,Sheet1!$A$2:$D$10,4,0)</f>
        <v>40</v>
      </c>
      <c r="L50" s="14" t="str">
        <f>VLOOKUP($C50,Sheet1!$A$2:$E$10,5,0)</f>
        <v>Trolley</v>
      </c>
      <c r="M50" s="14"/>
      <c r="N50" s="2">
        <f>J50/K50</f>
        <v>2</v>
      </c>
      <c r="O50" s="2" t="s">
        <v>112</v>
      </c>
      <c r="P50" s="2">
        <v>910103483</v>
      </c>
    </row>
    <row r="51" spans="1:16" x14ac:dyDescent="0.25">
      <c r="A51" s="15" t="s">
        <v>947</v>
      </c>
      <c r="B51" s="18" t="s">
        <v>926</v>
      </c>
      <c r="C51" s="2" t="s">
        <v>26</v>
      </c>
      <c r="D51" s="2" t="str">
        <f>VLOOKUP($C51,Sheet1!$A$2:$B$10,2,0)</f>
        <v>116040-92240</v>
      </c>
      <c r="E51" s="8" t="s">
        <v>75</v>
      </c>
      <c r="F51" s="12">
        <v>46007</v>
      </c>
      <c r="G51" s="13">
        <v>0.72916666666666663</v>
      </c>
      <c r="H51" s="2" t="s">
        <v>76</v>
      </c>
      <c r="I51" s="2" t="s">
        <v>42</v>
      </c>
      <c r="J51" s="2">
        <v>30</v>
      </c>
      <c r="K51" s="14">
        <f>VLOOKUP($C51,Sheet1!$A$2:$D$10,4,0)</f>
        <v>6</v>
      </c>
      <c r="L51" s="14" t="str">
        <f>VLOOKUP($C51,Sheet1!$A$2:$E$10,5,0)</f>
        <v>Bin</v>
      </c>
      <c r="M51" s="14">
        <f t="shared" ref="M51:M53" si="8">J51/K51</f>
        <v>5</v>
      </c>
      <c r="N51" s="2"/>
      <c r="O51" s="2" t="s">
        <v>112</v>
      </c>
      <c r="P51" s="2" t="s">
        <v>882</v>
      </c>
    </row>
    <row r="52" spans="1:16" x14ac:dyDescent="0.25">
      <c r="A52" s="15" t="s">
        <v>947</v>
      </c>
      <c r="B52" s="18" t="s">
        <v>931</v>
      </c>
      <c r="C52" s="2" t="s">
        <v>32</v>
      </c>
      <c r="D52" s="2" t="str">
        <f>VLOOKUP($C52,Sheet1!$A$2:$B$10,2,0)</f>
        <v>114010-50820</v>
      </c>
      <c r="E52" s="8" t="s">
        <v>82</v>
      </c>
      <c r="F52" s="12">
        <v>46007</v>
      </c>
      <c r="G52" s="13">
        <v>0.72916666666666663</v>
      </c>
      <c r="H52" s="2" t="s">
        <v>76</v>
      </c>
      <c r="I52" s="2" t="s">
        <v>42</v>
      </c>
      <c r="J52" s="2">
        <v>10</v>
      </c>
      <c r="K52" s="14">
        <f>VLOOKUP($C52,Sheet1!$A$2:$D$10,4,0)</f>
        <v>1</v>
      </c>
      <c r="L52" s="14" t="str">
        <f>VLOOKUP($C52,Sheet1!$A$2:$E$10,5,0)</f>
        <v>Bin</v>
      </c>
      <c r="M52" s="14">
        <f t="shared" si="8"/>
        <v>10</v>
      </c>
      <c r="N52" s="2"/>
      <c r="O52" s="2" t="s">
        <v>112</v>
      </c>
      <c r="P52" s="2" t="s">
        <v>169</v>
      </c>
    </row>
    <row r="53" spans="1:16" x14ac:dyDescent="0.25">
      <c r="A53" s="15" t="s">
        <v>947</v>
      </c>
      <c r="B53" s="18" t="s">
        <v>936</v>
      </c>
      <c r="C53" s="2" t="s">
        <v>29</v>
      </c>
      <c r="D53" s="2" t="str">
        <f>VLOOKUP($C53,Sheet1!$A$2:$B$10,2,0)</f>
        <v>114010-50830</v>
      </c>
      <c r="E53" s="8" t="s">
        <v>82</v>
      </c>
      <c r="F53" s="12">
        <v>46007</v>
      </c>
      <c r="G53" s="13">
        <v>0.72916666666666663</v>
      </c>
      <c r="H53" s="2" t="s">
        <v>76</v>
      </c>
      <c r="I53" s="2" t="s">
        <v>42</v>
      </c>
      <c r="J53" s="2">
        <v>15</v>
      </c>
      <c r="K53" s="14">
        <f>VLOOKUP($C53,Sheet1!$A$2:$D$10,4,0)</f>
        <v>1</v>
      </c>
      <c r="L53" s="14" t="str">
        <f>VLOOKUP($C53,Sheet1!$A$2:$E$10,5,0)</f>
        <v>Bin</v>
      </c>
      <c r="M53" s="14">
        <f t="shared" si="8"/>
        <v>15</v>
      </c>
      <c r="N53" s="2"/>
      <c r="O53" s="2" t="s">
        <v>112</v>
      </c>
      <c r="P53" s="2" t="s">
        <v>1056</v>
      </c>
    </row>
    <row r="54" spans="1:16" s="11" customForma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>
        <v>63</v>
      </c>
      <c r="N54" s="10">
        <v>6</v>
      </c>
      <c r="O54" s="10"/>
      <c r="P54" s="10"/>
    </row>
    <row r="55" spans="1:16" x14ac:dyDescent="0.25">
      <c r="A55" s="2"/>
      <c r="B55" s="2" t="s">
        <v>937</v>
      </c>
      <c r="C55" s="2"/>
      <c r="D55" s="2"/>
      <c r="E55" s="8"/>
      <c r="F55" s="12"/>
      <c r="G55" s="13"/>
      <c r="H55" s="2"/>
      <c r="I55" s="2"/>
      <c r="J55" s="2"/>
      <c r="K55" s="14"/>
      <c r="L55" s="14"/>
      <c r="M55" s="14"/>
      <c r="N55" s="2"/>
      <c r="O55" s="2"/>
      <c r="P55" s="2"/>
    </row>
    <row r="56" spans="1:16" x14ac:dyDescent="0.25">
      <c r="A56" s="2"/>
      <c r="B56" s="2"/>
      <c r="C56" s="2"/>
      <c r="D56" s="2"/>
      <c r="E56" s="8"/>
      <c r="F56" s="12"/>
      <c r="G56" s="13"/>
      <c r="H56" s="2"/>
      <c r="I56" s="2"/>
      <c r="J56" s="2"/>
      <c r="K56" s="14"/>
      <c r="L56" s="14"/>
      <c r="M56" s="14"/>
      <c r="N56" s="2"/>
      <c r="O56" s="2"/>
      <c r="P56" s="2"/>
    </row>
  </sheetData>
  <mergeCells count="8">
    <mergeCell ref="N45:N46"/>
    <mergeCell ref="A1:F1"/>
    <mergeCell ref="J1:N1"/>
    <mergeCell ref="L2:N2"/>
    <mergeCell ref="N4:N5"/>
    <mergeCell ref="N6:N7"/>
    <mergeCell ref="N25:N26"/>
    <mergeCell ref="N35:N36"/>
  </mergeCells>
  <conditionalFormatting sqref="B2">
    <cfRule type="duplicateValues" dxfId="55" priority="2"/>
    <cfRule type="duplicateValues" dxfId="54" priority="3"/>
  </conditionalFormatting>
  <conditionalFormatting sqref="B25:B33 B35:B43 B45:B53 B4:B14 B55:B56 B16:B23">
    <cfRule type="duplicateValues" dxfId="53" priority="16"/>
  </conditionalFormatting>
  <conditionalFormatting sqref="C2:D2">
    <cfRule type="duplicateValues" dxfId="52" priority="4"/>
    <cfRule type="duplicateValues" dxfId="51" priority="5"/>
  </conditionalFormatting>
  <hyperlinks>
    <hyperlink ref="B55" r:id="rId1" display="http://192.168.1.249/downloads/temp/X539_eNagare_20251215.log" xr:uid="{00000000-0004-0000-1100-000000000000}"/>
  </hyperlinks>
  <pageMargins left="0.17" right="0.17" top="0.17" bottom="0.17" header="0.17" footer="0.17"/>
  <pageSetup paperSize="9" scale="62" orientation="landscape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P53"/>
  <sheetViews>
    <sheetView topLeftCell="A34" workbookViewId="0">
      <selection activeCell="A4" sqref="A4:XFD50"/>
    </sheetView>
  </sheetViews>
  <sheetFormatPr defaultColWidth="111.28515625" defaultRowHeight="15" x14ac:dyDescent="0.25"/>
  <cols>
    <col min="1" max="1" width="14.85546875" customWidth="1"/>
    <col min="2" max="2" width="18" customWidth="1"/>
    <col min="3" max="3" width="14.140625" bestFit="1" customWidth="1"/>
    <col min="4" max="4" width="14.140625" customWidth="1"/>
    <col min="5" max="5" width="32.5703125" bestFit="1" customWidth="1"/>
    <col min="6" max="6" width="9.7109375" bestFit="1" customWidth="1"/>
    <col min="7" max="7" width="7.7109375" bestFit="1" customWidth="1"/>
    <col min="8" max="8" width="15.28515625" customWidth="1"/>
    <col min="9" max="9" width="4.7109375" bestFit="1" customWidth="1"/>
    <col min="10" max="10" width="8" bestFit="1" customWidth="1"/>
    <col min="11" max="11" width="9" customWidth="1"/>
    <col min="12" max="12" width="11" customWidth="1"/>
    <col min="13" max="13" width="7.140625" bestFit="1" customWidth="1"/>
    <col min="14" max="14" width="7.85546875" customWidth="1"/>
    <col min="15" max="15" width="15.28515625" customWidth="1"/>
    <col min="16" max="16" width="45.85546875" customWidth="1"/>
  </cols>
  <sheetData>
    <row r="1" spans="1:16" ht="23.25" x14ac:dyDescent="0.25">
      <c r="A1" s="53" t="s">
        <v>93</v>
      </c>
      <c r="B1" s="53"/>
      <c r="C1" s="53"/>
      <c r="D1" s="53"/>
      <c r="E1" s="53"/>
      <c r="F1" s="53"/>
      <c r="G1" s="2"/>
      <c r="H1" s="2"/>
      <c r="I1" s="2"/>
      <c r="J1" s="54" t="s">
        <v>94</v>
      </c>
      <c r="K1" s="55"/>
      <c r="L1" s="55"/>
      <c r="M1" s="55"/>
      <c r="N1" s="55"/>
      <c r="O1" s="3"/>
      <c r="P1" s="4"/>
    </row>
    <row r="2" spans="1:16" ht="16.5" customHeight="1" x14ac:dyDescent="0.25">
      <c r="A2" s="5" t="s">
        <v>95</v>
      </c>
      <c r="B2" s="6">
        <v>46008</v>
      </c>
      <c r="C2" s="7"/>
      <c r="D2" s="7"/>
      <c r="E2" s="2"/>
      <c r="F2" s="8"/>
      <c r="G2" s="2"/>
      <c r="H2" s="2"/>
      <c r="I2" s="2"/>
      <c r="J2" s="2"/>
      <c r="K2" s="2"/>
      <c r="L2" s="56" t="s">
        <v>96</v>
      </c>
      <c r="M2" s="57"/>
      <c r="N2" s="58"/>
      <c r="O2" s="2"/>
      <c r="P2" s="2"/>
    </row>
    <row r="3" spans="1:16" s="11" customFormat="1" ht="33.75" customHeight="1" x14ac:dyDescent="0.25">
      <c r="A3" s="10" t="s">
        <v>97</v>
      </c>
      <c r="B3" s="10" t="s">
        <v>35</v>
      </c>
      <c r="C3" s="10" t="s">
        <v>0</v>
      </c>
      <c r="D3" s="10" t="s">
        <v>98</v>
      </c>
      <c r="E3" s="10" t="s">
        <v>2</v>
      </c>
      <c r="F3" s="10" t="s">
        <v>36</v>
      </c>
      <c r="G3" s="10" t="s">
        <v>37</v>
      </c>
      <c r="H3" s="10" t="s">
        <v>38</v>
      </c>
      <c r="I3" s="10" t="s">
        <v>99</v>
      </c>
      <c r="J3" s="10" t="s">
        <v>100</v>
      </c>
      <c r="K3" s="10" t="s">
        <v>101</v>
      </c>
      <c r="L3" s="10" t="s">
        <v>102</v>
      </c>
      <c r="M3" s="10" t="s">
        <v>103</v>
      </c>
      <c r="N3" s="10" t="s">
        <v>104</v>
      </c>
      <c r="O3" s="10" t="s">
        <v>96</v>
      </c>
      <c r="P3" s="10" t="s">
        <v>105</v>
      </c>
    </row>
    <row r="4" spans="1:16" x14ac:dyDescent="0.25">
      <c r="A4" s="15" t="s">
        <v>993</v>
      </c>
      <c r="B4" s="18" t="s">
        <v>949</v>
      </c>
      <c r="C4" s="2" t="s">
        <v>5</v>
      </c>
      <c r="D4" s="2" t="str">
        <f>VLOOKUP($C4,Sheet1!$A$2:$B$10,2,0)</f>
        <v>141110-14600</v>
      </c>
      <c r="E4" s="8" t="s">
        <v>40</v>
      </c>
      <c r="F4" s="12">
        <v>46008</v>
      </c>
      <c r="G4" s="13">
        <v>0.27083333333333331</v>
      </c>
      <c r="H4" s="2" t="s">
        <v>41</v>
      </c>
      <c r="I4" s="2" t="s">
        <v>42</v>
      </c>
      <c r="J4" s="2">
        <v>54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1">
        <v>3</v>
      </c>
      <c r="O4" s="2" t="s">
        <v>1001</v>
      </c>
      <c r="P4" s="2" t="s">
        <v>1049</v>
      </c>
    </row>
    <row r="5" spans="1:16" x14ac:dyDescent="0.25">
      <c r="A5" s="15" t="s">
        <v>993</v>
      </c>
      <c r="B5" s="18" t="s">
        <v>954</v>
      </c>
      <c r="C5" s="2" t="s">
        <v>9</v>
      </c>
      <c r="D5" s="2" t="str">
        <f>VLOOKUP($C5,Sheet1!$A$2:$B$10,2,0)</f>
        <v>141120-14600</v>
      </c>
      <c r="E5" s="8" t="s">
        <v>47</v>
      </c>
      <c r="F5" s="12">
        <v>46008</v>
      </c>
      <c r="G5" s="13">
        <v>0.27083333333333331</v>
      </c>
      <c r="H5" s="2" t="s">
        <v>41</v>
      </c>
      <c r="I5" s="2" t="s">
        <v>42</v>
      </c>
      <c r="J5" s="2">
        <v>54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2"/>
      <c r="O5" s="2" t="s">
        <v>1001</v>
      </c>
      <c r="P5" s="2" t="s">
        <v>1049</v>
      </c>
    </row>
    <row r="6" spans="1:16" x14ac:dyDescent="0.25">
      <c r="A6" s="15" t="s">
        <v>993</v>
      </c>
      <c r="B6" s="18" t="s">
        <v>950</v>
      </c>
      <c r="C6" s="2" t="s">
        <v>5</v>
      </c>
      <c r="D6" s="2" t="str">
        <f>VLOOKUP($C6,Sheet1!$A$2:$B$10,2,0)</f>
        <v>141110-14600</v>
      </c>
      <c r="E6" s="8" t="s">
        <v>40</v>
      </c>
      <c r="F6" s="12">
        <v>46008</v>
      </c>
      <c r="G6" s="13">
        <v>0.27083333333333331</v>
      </c>
      <c r="H6" s="2" t="s">
        <v>41</v>
      </c>
      <c r="I6" s="2" t="s">
        <v>42</v>
      </c>
      <c r="J6" s="2">
        <v>18</v>
      </c>
      <c r="K6" s="14">
        <f>VLOOKUP($C6,Sheet1!$A$2:$D$10,4,0)</f>
        <v>18</v>
      </c>
      <c r="L6" s="14" t="str">
        <f>VLOOKUP($C6,Sheet1!$A$2:$E$10,5,0)</f>
        <v>Trolley (H)</v>
      </c>
      <c r="M6" s="14"/>
      <c r="N6" s="51">
        <v>1</v>
      </c>
      <c r="O6" s="2" t="s">
        <v>1001</v>
      </c>
      <c r="P6" s="2" t="s">
        <v>1049</v>
      </c>
    </row>
    <row r="7" spans="1:16" x14ac:dyDescent="0.25">
      <c r="A7" s="15" t="s">
        <v>993</v>
      </c>
      <c r="B7" s="18" t="s">
        <v>955</v>
      </c>
      <c r="C7" s="2" t="s">
        <v>9</v>
      </c>
      <c r="D7" s="2" t="str">
        <f>VLOOKUP($C7,Sheet1!$A$2:$B$10,2,0)</f>
        <v>141120-14600</v>
      </c>
      <c r="E7" s="8" t="s">
        <v>47</v>
      </c>
      <c r="F7" s="12">
        <v>46008</v>
      </c>
      <c r="G7" s="13">
        <v>0.27083333333333331</v>
      </c>
      <c r="H7" s="2" t="s">
        <v>41</v>
      </c>
      <c r="I7" s="2" t="s">
        <v>42</v>
      </c>
      <c r="J7" s="2">
        <v>18</v>
      </c>
      <c r="K7" s="14">
        <f>VLOOKUP($C7,Sheet1!$A$2:$D$10,4,0)</f>
        <v>18</v>
      </c>
      <c r="L7" s="14" t="str">
        <f>VLOOKUP($C7,Sheet1!$A$2:$E$10,5,0)</f>
        <v>Trolley (H)</v>
      </c>
      <c r="M7" s="14"/>
      <c r="N7" s="52"/>
      <c r="O7" s="2" t="s">
        <v>1001</v>
      </c>
      <c r="P7" s="2" t="s">
        <v>1049</v>
      </c>
    </row>
    <row r="8" spans="1:16" x14ac:dyDescent="0.25">
      <c r="A8" s="15" t="s">
        <v>993</v>
      </c>
      <c r="B8" s="18" t="s">
        <v>959</v>
      </c>
      <c r="C8" s="2" t="s">
        <v>12</v>
      </c>
      <c r="D8" s="2" t="str">
        <f>VLOOKUP($C8,Sheet1!$A$2:$B$10,2,0)</f>
        <v>141185-74670</v>
      </c>
      <c r="E8" s="8" t="s">
        <v>52</v>
      </c>
      <c r="F8" s="12">
        <v>46008</v>
      </c>
      <c r="G8" s="13">
        <v>0.27083333333333331</v>
      </c>
      <c r="H8" s="2" t="s">
        <v>41</v>
      </c>
      <c r="I8" s="2" t="s">
        <v>42</v>
      </c>
      <c r="J8" s="2">
        <v>80</v>
      </c>
      <c r="K8" s="14">
        <f>VLOOKUP($C8,Sheet1!$A$2:$D$10,4,0)</f>
        <v>40</v>
      </c>
      <c r="L8" s="14" t="str">
        <f>VLOOKUP($C8,Sheet1!$A$2:$E$10,5,0)</f>
        <v>Trolley</v>
      </c>
      <c r="M8" s="14"/>
      <c r="N8" s="2">
        <f>J8/K8</f>
        <v>2</v>
      </c>
      <c r="O8" s="2" t="s">
        <v>1001</v>
      </c>
      <c r="P8" s="2">
        <v>910103227</v>
      </c>
    </row>
    <row r="9" spans="1:16" x14ac:dyDescent="0.25">
      <c r="A9" s="15" t="s">
        <v>993</v>
      </c>
      <c r="B9" s="18" t="s">
        <v>963</v>
      </c>
      <c r="C9" s="2" t="s">
        <v>16</v>
      </c>
      <c r="D9" s="2" t="str">
        <f>VLOOKUP($C9,Sheet1!$A$2:$B$10,2,0)</f>
        <v>141140-91211</v>
      </c>
      <c r="E9" s="8" t="s">
        <v>57</v>
      </c>
      <c r="F9" s="12">
        <v>46008</v>
      </c>
      <c r="G9" s="13">
        <v>0.27083333333333331</v>
      </c>
      <c r="H9" s="2" t="s">
        <v>58</v>
      </c>
      <c r="I9" s="2" t="s">
        <v>42</v>
      </c>
      <c r="J9" s="2">
        <v>40</v>
      </c>
      <c r="K9" s="14">
        <f>VLOOKUP($C9,Sheet1!$A$2:$D$10,4,0)</f>
        <v>2</v>
      </c>
      <c r="L9" s="14" t="str">
        <f>VLOOKUP($C9,Sheet1!$A$2:$E$10,5,0)</f>
        <v>Bin</v>
      </c>
      <c r="M9" s="14">
        <f>J9/K9</f>
        <v>20</v>
      </c>
      <c r="N9" s="2"/>
      <c r="O9" s="2" t="s">
        <v>1001</v>
      </c>
      <c r="P9" s="2" t="s">
        <v>171</v>
      </c>
    </row>
    <row r="10" spans="1:16" x14ac:dyDescent="0.25">
      <c r="A10" s="15" t="s">
        <v>993</v>
      </c>
      <c r="B10" s="18" t="s">
        <v>964</v>
      </c>
      <c r="C10" s="2" t="s">
        <v>16</v>
      </c>
      <c r="D10" s="2" t="str">
        <f>VLOOKUP($C10,Sheet1!$A$2:$B$10,2,0)</f>
        <v>141140-91211</v>
      </c>
      <c r="E10" s="8" t="s">
        <v>57</v>
      </c>
      <c r="F10" s="12">
        <v>46008</v>
      </c>
      <c r="G10" s="13">
        <v>0.27083333333333331</v>
      </c>
      <c r="H10" s="2" t="s">
        <v>58</v>
      </c>
      <c r="I10" s="2" t="s">
        <v>42</v>
      </c>
      <c r="J10" s="2">
        <v>8</v>
      </c>
      <c r="K10" s="14">
        <f>VLOOKUP($C10,Sheet1!$A$2:$D$10,4,0)</f>
        <v>2</v>
      </c>
      <c r="L10" s="14" t="str">
        <f>VLOOKUP($C10,Sheet1!$A$2:$E$10,5,0)</f>
        <v>Bin</v>
      </c>
      <c r="M10" s="14">
        <f t="shared" ref="M10:M12" si="0">J10/K10</f>
        <v>4</v>
      </c>
      <c r="N10" s="2"/>
      <c r="O10" s="2" t="s">
        <v>1001</v>
      </c>
      <c r="P10" s="2" t="s">
        <v>171</v>
      </c>
    </row>
    <row r="11" spans="1:16" x14ac:dyDescent="0.25">
      <c r="A11" s="15" t="s">
        <v>993</v>
      </c>
      <c r="B11" s="18" t="s">
        <v>968</v>
      </c>
      <c r="C11" s="2" t="s">
        <v>20</v>
      </c>
      <c r="D11" s="2" t="str">
        <f>VLOOKUP($C11,Sheet1!$A$2:$B$10,2,0)</f>
        <v>141150-91211</v>
      </c>
      <c r="E11" s="8" t="s">
        <v>64</v>
      </c>
      <c r="F11" s="12">
        <v>46008</v>
      </c>
      <c r="G11" s="13">
        <v>0.27083333333333331</v>
      </c>
      <c r="H11" s="2" t="s">
        <v>58</v>
      </c>
      <c r="I11" s="2" t="s">
        <v>42</v>
      </c>
      <c r="J11" s="2">
        <v>42</v>
      </c>
      <c r="K11" s="14">
        <f>VLOOKUP($C11,Sheet1!$A$2:$D$10,4,0)</f>
        <v>2</v>
      </c>
      <c r="L11" s="14" t="str">
        <f>VLOOKUP($C11,Sheet1!$A$2:$E$10,5,0)</f>
        <v>Bin</v>
      </c>
      <c r="M11" s="14">
        <f t="shared" si="0"/>
        <v>21</v>
      </c>
      <c r="N11" s="2"/>
      <c r="O11" s="2" t="s">
        <v>1001</v>
      </c>
      <c r="P11" s="2" t="s">
        <v>1116</v>
      </c>
    </row>
    <row r="12" spans="1:16" x14ac:dyDescent="0.25">
      <c r="A12" s="15" t="s">
        <v>993</v>
      </c>
      <c r="B12" s="18" t="s">
        <v>969</v>
      </c>
      <c r="C12" s="2" t="s">
        <v>20</v>
      </c>
      <c r="D12" s="2" t="str">
        <f>VLOOKUP($C12,Sheet1!$A$2:$B$10,2,0)</f>
        <v>141150-91211</v>
      </c>
      <c r="E12" s="8" t="s">
        <v>64</v>
      </c>
      <c r="F12" s="12">
        <v>46008</v>
      </c>
      <c r="G12" s="13">
        <v>0.27083333333333331</v>
      </c>
      <c r="H12" s="2" t="s">
        <v>58</v>
      </c>
      <c r="I12" s="2" t="s">
        <v>42</v>
      </c>
      <c r="J12" s="2">
        <v>8</v>
      </c>
      <c r="K12" s="14">
        <f>VLOOKUP($C12,Sheet1!$A$2:$D$10,4,0)</f>
        <v>2</v>
      </c>
      <c r="L12" s="14" t="str">
        <f>VLOOKUP($C12,Sheet1!$A$2:$E$10,5,0)</f>
        <v>Bin</v>
      </c>
      <c r="M12" s="14">
        <f t="shared" si="0"/>
        <v>4</v>
      </c>
      <c r="N12" s="2"/>
      <c r="O12" s="2" t="s">
        <v>1001</v>
      </c>
      <c r="P12" s="2" t="s">
        <v>878</v>
      </c>
    </row>
    <row r="13" spans="1:16" x14ac:dyDescent="0.25">
      <c r="A13" s="15" t="s">
        <v>993</v>
      </c>
      <c r="B13" s="18" t="s">
        <v>973</v>
      </c>
      <c r="C13" s="2" t="s">
        <v>23</v>
      </c>
      <c r="D13" s="2" t="str">
        <f>VLOOKUP($C13,Sheet1!$A$2:$B$10,2,0)</f>
        <v>141186-74360</v>
      </c>
      <c r="E13" s="8" t="s">
        <v>70</v>
      </c>
      <c r="F13" s="12">
        <v>46008</v>
      </c>
      <c r="G13" s="13">
        <v>0.27083333333333331</v>
      </c>
      <c r="H13" s="2" t="s">
        <v>58</v>
      </c>
      <c r="I13" s="2" t="s">
        <v>42</v>
      </c>
      <c r="J13" s="2">
        <v>80</v>
      </c>
      <c r="K13" s="14">
        <f>VLOOKUP($C13,Sheet1!$A$2:$D$10,4,0)</f>
        <v>40</v>
      </c>
      <c r="L13" s="14" t="str">
        <f>VLOOKUP($C13,Sheet1!$A$2:$E$10,5,0)</f>
        <v>Trolley</v>
      </c>
      <c r="M13" s="14"/>
      <c r="N13" s="2">
        <f>J13/K13</f>
        <v>2</v>
      </c>
      <c r="O13" s="2" t="s">
        <v>1001</v>
      </c>
      <c r="P13" s="2" t="s">
        <v>1117</v>
      </c>
    </row>
    <row r="14" spans="1:16" x14ac:dyDescent="0.25">
      <c r="A14" s="15" t="s">
        <v>994</v>
      </c>
      <c r="B14" s="18" t="s">
        <v>977</v>
      </c>
      <c r="C14" s="2" t="s">
        <v>26</v>
      </c>
      <c r="D14" s="2" t="str">
        <f>VLOOKUP($C14,Sheet1!$A$2:$B$10,2,0)</f>
        <v>116040-92240</v>
      </c>
      <c r="E14" s="8" t="s">
        <v>75</v>
      </c>
      <c r="F14" s="12">
        <v>46008</v>
      </c>
      <c r="G14" s="13">
        <v>0.27083333333333331</v>
      </c>
      <c r="H14" s="2" t="s">
        <v>76</v>
      </c>
      <c r="I14" s="2" t="s">
        <v>42</v>
      </c>
      <c r="J14" s="2">
        <v>42</v>
      </c>
      <c r="K14" s="14">
        <f>VLOOKUP($C14,Sheet1!$A$2:$D$10,4,0)</f>
        <v>6</v>
      </c>
      <c r="L14" s="14" t="str">
        <f>VLOOKUP($C14,Sheet1!$A$2:$E$10,5,0)</f>
        <v>Bin</v>
      </c>
      <c r="M14" s="14">
        <f t="shared" ref="M14:M19" si="1">J14/K14</f>
        <v>7</v>
      </c>
      <c r="N14" s="2"/>
      <c r="O14" s="2" t="s">
        <v>1001</v>
      </c>
      <c r="P14" s="2" t="s">
        <v>882</v>
      </c>
    </row>
    <row r="15" spans="1:16" x14ac:dyDescent="0.25">
      <c r="A15" s="15" t="s">
        <v>994</v>
      </c>
      <c r="B15" s="18" t="s">
        <v>978</v>
      </c>
      <c r="C15" s="2" t="s">
        <v>26</v>
      </c>
      <c r="D15" s="2" t="str">
        <f>VLOOKUP($C15,Sheet1!$A$2:$B$10,2,0)</f>
        <v>116040-92240</v>
      </c>
      <c r="E15" s="8" t="s">
        <v>75</v>
      </c>
      <c r="F15" s="12">
        <v>46008</v>
      </c>
      <c r="G15" s="13">
        <v>0.27083333333333331</v>
      </c>
      <c r="H15" s="2" t="s">
        <v>76</v>
      </c>
      <c r="I15" s="2" t="s">
        <v>42</v>
      </c>
      <c r="J15" s="2">
        <v>12</v>
      </c>
      <c r="K15" s="14">
        <f>VLOOKUP($C15,Sheet1!$A$2:$D$10,4,0)</f>
        <v>6</v>
      </c>
      <c r="L15" s="14" t="str">
        <f>VLOOKUP($C15,Sheet1!$A$2:$E$10,5,0)</f>
        <v>Bin</v>
      </c>
      <c r="M15" s="14">
        <f t="shared" si="1"/>
        <v>2</v>
      </c>
      <c r="N15" s="2"/>
      <c r="O15" s="2" t="s">
        <v>1001</v>
      </c>
      <c r="P15" s="2" t="s">
        <v>882</v>
      </c>
    </row>
    <row r="16" spans="1:16" x14ac:dyDescent="0.25">
      <c r="A16" s="15" t="s">
        <v>994</v>
      </c>
      <c r="B16" s="18" t="s">
        <v>982</v>
      </c>
      <c r="C16" s="2" t="s">
        <v>32</v>
      </c>
      <c r="D16" s="2" t="str">
        <f>VLOOKUP($C16,Sheet1!$A$2:$B$10,2,0)</f>
        <v>114010-50820</v>
      </c>
      <c r="E16" s="8" t="s">
        <v>82</v>
      </c>
      <c r="F16" s="12">
        <v>46008</v>
      </c>
      <c r="G16" s="13">
        <v>0.27083333333333331</v>
      </c>
      <c r="H16" s="2" t="s">
        <v>76</v>
      </c>
      <c r="I16" s="2" t="s">
        <v>42</v>
      </c>
      <c r="J16" s="2">
        <v>22</v>
      </c>
      <c r="K16" s="14">
        <f>VLOOKUP($C16,Sheet1!$A$2:$D$10,4,0)</f>
        <v>1</v>
      </c>
      <c r="L16" s="14" t="str">
        <f>VLOOKUP($C16,Sheet1!$A$2:$E$10,5,0)</f>
        <v>Bin</v>
      </c>
      <c r="M16" s="14">
        <f t="shared" si="1"/>
        <v>22</v>
      </c>
      <c r="N16" s="2"/>
      <c r="O16" s="2" t="s">
        <v>1001</v>
      </c>
      <c r="P16" s="2" t="s">
        <v>1118</v>
      </c>
    </row>
    <row r="17" spans="1:16" x14ac:dyDescent="0.25">
      <c r="A17" s="15" t="s">
        <v>994</v>
      </c>
      <c r="B17" s="18" t="s">
        <v>983</v>
      </c>
      <c r="C17" s="2" t="s">
        <v>32</v>
      </c>
      <c r="D17" s="2" t="str">
        <f>VLOOKUP($C17,Sheet1!$A$2:$B$10,2,0)</f>
        <v>114010-50820</v>
      </c>
      <c r="E17" s="8" t="s">
        <v>82</v>
      </c>
      <c r="F17" s="12">
        <v>46008</v>
      </c>
      <c r="G17" s="13">
        <v>0.27083333333333331</v>
      </c>
      <c r="H17" s="2" t="s">
        <v>76</v>
      </c>
      <c r="I17" s="2" t="s">
        <v>42</v>
      </c>
      <c r="J17" s="2">
        <v>4</v>
      </c>
      <c r="K17" s="14">
        <f>VLOOKUP($C17,Sheet1!$A$2:$D$10,4,0)</f>
        <v>1</v>
      </c>
      <c r="L17" s="14" t="str">
        <f>VLOOKUP($C17,Sheet1!$A$2:$E$10,5,0)</f>
        <v>Bin</v>
      </c>
      <c r="M17" s="14">
        <f t="shared" si="1"/>
        <v>4</v>
      </c>
      <c r="N17" s="2"/>
      <c r="O17" s="2" t="s">
        <v>1001</v>
      </c>
      <c r="P17" s="2" t="s">
        <v>878</v>
      </c>
    </row>
    <row r="18" spans="1:16" x14ac:dyDescent="0.25">
      <c r="A18" s="15" t="s">
        <v>994</v>
      </c>
      <c r="B18" s="18" t="s">
        <v>987</v>
      </c>
      <c r="C18" s="2" t="s">
        <v>29</v>
      </c>
      <c r="D18" s="2" t="str">
        <f>VLOOKUP($C18,Sheet1!$A$2:$B$10,2,0)</f>
        <v>114010-50830</v>
      </c>
      <c r="E18" s="8" t="s">
        <v>82</v>
      </c>
      <c r="F18" s="12">
        <v>46008</v>
      </c>
      <c r="G18" s="13">
        <v>0.27083333333333331</v>
      </c>
      <c r="H18" s="2" t="s">
        <v>76</v>
      </c>
      <c r="I18" s="2" t="s">
        <v>42</v>
      </c>
      <c r="J18" s="2">
        <v>24</v>
      </c>
      <c r="K18" s="14">
        <f>VLOOKUP($C18,Sheet1!$A$2:$D$10,4,0)</f>
        <v>1</v>
      </c>
      <c r="L18" s="14" t="str">
        <f>VLOOKUP($C18,Sheet1!$A$2:$E$10,5,0)</f>
        <v>Bin</v>
      </c>
      <c r="M18" s="14">
        <f t="shared" si="1"/>
        <v>24</v>
      </c>
      <c r="N18" s="2"/>
      <c r="O18" s="2" t="s">
        <v>1001</v>
      </c>
      <c r="P18" s="2" t="s">
        <v>1056</v>
      </c>
    </row>
    <row r="19" spans="1:16" x14ac:dyDescent="0.25">
      <c r="A19" s="15" t="s">
        <v>994</v>
      </c>
      <c r="B19" s="18" t="s">
        <v>988</v>
      </c>
      <c r="C19" s="2" t="s">
        <v>29</v>
      </c>
      <c r="D19" s="2" t="str">
        <f>VLOOKUP($C19,Sheet1!$A$2:$B$10,2,0)</f>
        <v>114010-50830</v>
      </c>
      <c r="E19" s="8" t="s">
        <v>82</v>
      </c>
      <c r="F19" s="12">
        <v>46008</v>
      </c>
      <c r="G19" s="13">
        <v>0.27083333333333331</v>
      </c>
      <c r="H19" s="2" t="s">
        <v>76</v>
      </c>
      <c r="I19" s="2" t="s">
        <v>42</v>
      </c>
      <c r="J19" s="2">
        <v>4</v>
      </c>
      <c r="K19" s="14">
        <f>VLOOKUP($C19,Sheet1!$A$2:$D$10,4,0)</f>
        <v>1</v>
      </c>
      <c r="L19" s="14" t="str">
        <f>VLOOKUP($C19,Sheet1!$A$2:$E$10,5,0)</f>
        <v>Bin</v>
      </c>
      <c r="M19" s="14">
        <f t="shared" si="1"/>
        <v>4</v>
      </c>
      <c r="N19" s="2"/>
      <c r="O19" s="2" t="s">
        <v>1001</v>
      </c>
      <c r="P19" s="2" t="s">
        <v>1056</v>
      </c>
    </row>
    <row r="20" spans="1:16" s="11" customFormat="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>
        <v>112</v>
      </c>
      <c r="N20" s="10">
        <v>8</v>
      </c>
      <c r="O20" s="10"/>
      <c r="P20" s="10"/>
    </row>
    <row r="21" spans="1:16" x14ac:dyDescent="0.25">
      <c r="A21" s="15" t="s">
        <v>995</v>
      </c>
      <c r="B21" s="18" t="s">
        <v>951</v>
      </c>
      <c r="C21" s="2" t="s">
        <v>5</v>
      </c>
      <c r="D21" s="2" t="str">
        <f>VLOOKUP($C21,Sheet1!$A$2:$B$10,2,0)</f>
        <v>141110-14600</v>
      </c>
      <c r="E21" s="8" t="s">
        <v>40</v>
      </c>
      <c r="F21" s="12">
        <v>46008</v>
      </c>
      <c r="G21" s="13">
        <v>0.52083333333333337</v>
      </c>
      <c r="H21" s="2" t="s">
        <v>41</v>
      </c>
      <c r="I21" s="2" t="s">
        <v>42</v>
      </c>
      <c r="J21" s="2">
        <v>36</v>
      </c>
      <c r="K21" s="14">
        <f>VLOOKUP($C21,Sheet1!$A$2:$D$10,4,0)</f>
        <v>18</v>
      </c>
      <c r="L21" s="14" t="str">
        <f>VLOOKUP($C21,Sheet1!$A$2:$E$10,5,0)</f>
        <v>Trolley (H)</v>
      </c>
      <c r="M21" s="14"/>
      <c r="N21" s="51">
        <v>2</v>
      </c>
      <c r="O21" s="2" t="s">
        <v>113</v>
      </c>
      <c r="P21" s="2" t="s">
        <v>1049</v>
      </c>
    </row>
    <row r="22" spans="1:16" x14ac:dyDescent="0.25">
      <c r="A22" s="15" t="s">
        <v>995</v>
      </c>
      <c r="B22" s="18" t="s">
        <v>956</v>
      </c>
      <c r="C22" s="2" t="s">
        <v>9</v>
      </c>
      <c r="D22" s="2" t="str">
        <f>VLOOKUP($C22,Sheet1!$A$2:$B$10,2,0)</f>
        <v>141120-14600</v>
      </c>
      <c r="E22" s="8" t="s">
        <v>47</v>
      </c>
      <c r="F22" s="12">
        <v>46008</v>
      </c>
      <c r="G22" s="13">
        <v>0.52083333333333337</v>
      </c>
      <c r="H22" s="2" t="s">
        <v>41</v>
      </c>
      <c r="I22" s="2" t="s">
        <v>42</v>
      </c>
      <c r="J22" s="2">
        <v>36</v>
      </c>
      <c r="K22" s="14">
        <f>VLOOKUP($C22,Sheet1!$A$2:$D$10,4,0)</f>
        <v>18</v>
      </c>
      <c r="L22" s="14" t="str">
        <f>VLOOKUP($C22,Sheet1!$A$2:$E$10,5,0)</f>
        <v>Trolley (H)</v>
      </c>
      <c r="M22" s="14"/>
      <c r="N22" s="52"/>
      <c r="O22" s="2" t="s">
        <v>113</v>
      </c>
      <c r="P22" s="2" t="s">
        <v>1049</v>
      </c>
    </row>
    <row r="23" spans="1:16" x14ac:dyDescent="0.25">
      <c r="A23" s="15" t="s">
        <v>995</v>
      </c>
      <c r="B23" s="18" t="s">
        <v>960</v>
      </c>
      <c r="C23" s="2" t="s">
        <v>12</v>
      </c>
      <c r="D23" s="2" t="str">
        <f>VLOOKUP($C23,Sheet1!$A$2:$B$10,2,0)</f>
        <v>141185-74670</v>
      </c>
      <c r="E23" s="8" t="s">
        <v>52</v>
      </c>
      <c r="F23" s="12">
        <v>46008</v>
      </c>
      <c r="G23" s="13">
        <v>0.52083333333333337</v>
      </c>
      <c r="H23" s="2" t="s">
        <v>41</v>
      </c>
      <c r="I23" s="2" t="s">
        <v>42</v>
      </c>
      <c r="J23" s="2">
        <v>80</v>
      </c>
      <c r="K23" s="14">
        <f>VLOOKUP($C23,Sheet1!$A$2:$D$10,4,0)</f>
        <v>40</v>
      </c>
      <c r="L23" s="14" t="str">
        <f>VLOOKUP($C23,Sheet1!$A$2:$E$10,5,0)</f>
        <v>Trolley</v>
      </c>
      <c r="M23" s="14"/>
      <c r="N23" s="2">
        <f>J23/K23</f>
        <v>2</v>
      </c>
      <c r="O23" s="2" t="s">
        <v>113</v>
      </c>
      <c r="P23" s="2">
        <v>910103483</v>
      </c>
    </row>
    <row r="24" spans="1:16" x14ac:dyDescent="0.25">
      <c r="A24" s="15" t="s">
        <v>995</v>
      </c>
      <c r="B24" s="18" t="s">
        <v>965</v>
      </c>
      <c r="C24" s="2" t="s">
        <v>16</v>
      </c>
      <c r="D24" s="2" t="str">
        <f>VLOOKUP($C24,Sheet1!$A$2:$B$10,2,0)</f>
        <v>141140-91211</v>
      </c>
      <c r="E24" s="8" t="s">
        <v>57</v>
      </c>
      <c r="F24" s="12">
        <v>46008</v>
      </c>
      <c r="G24" s="13">
        <v>0.52083333333333337</v>
      </c>
      <c r="H24" s="2" t="s">
        <v>58</v>
      </c>
      <c r="I24" s="2" t="s">
        <v>42</v>
      </c>
      <c r="J24" s="2">
        <v>40</v>
      </c>
      <c r="K24" s="14">
        <f>VLOOKUP($C24,Sheet1!$A$2:$D$10,4,0)</f>
        <v>2</v>
      </c>
      <c r="L24" s="14" t="str">
        <f>VLOOKUP($C24,Sheet1!$A$2:$E$10,5,0)</f>
        <v>Bin</v>
      </c>
      <c r="M24" s="14">
        <f t="shared" ref="M24:M25" si="2">J24/K24</f>
        <v>20</v>
      </c>
      <c r="N24" s="2"/>
      <c r="O24" s="2" t="s">
        <v>113</v>
      </c>
      <c r="P24" s="2" t="s">
        <v>171</v>
      </c>
    </row>
    <row r="25" spans="1:16" x14ac:dyDescent="0.25">
      <c r="A25" s="15" t="s">
        <v>995</v>
      </c>
      <c r="B25" s="18" t="s">
        <v>970</v>
      </c>
      <c r="C25" s="2" t="s">
        <v>20</v>
      </c>
      <c r="D25" s="2" t="str">
        <f>VLOOKUP($C25,Sheet1!$A$2:$B$10,2,0)</f>
        <v>141150-91211</v>
      </c>
      <c r="E25" s="8" t="s">
        <v>64</v>
      </c>
      <c r="F25" s="12">
        <v>46008</v>
      </c>
      <c r="G25" s="13">
        <v>0.52083333333333337</v>
      </c>
      <c r="H25" s="2" t="s">
        <v>58</v>
      </c>
      <c r="I25" s="2" t="s">
        <v>42</v>
      </c>
      <c r="J25" s="2">
        <v>40</v>
      </c>
      <c r="K25" s="14">
        <f>VLOOKUP($C25,Sheet1!$A$2:$D$10,4,0)</f>
        <v>2</v>
      </c>
      <c r="L25" s="14" t="str">
        <f>VLOOKUP($C25,Sheet1!$A$2:$E$10,5,0)</f>
        <v>Bin</v>
      </c>
      <c r="M25" s="14">
        <f t="shared" si="2"/>
        <v>20</v>
      </c>
      <c r="N25" s="2"/>
      <c r="O25" s="2" t="s">
        <v>113</v>
      </c>
      <c r="P25" s="2" t="s">
        <v>1119</v>
      </c>
    </row>
    <row r="26" spans="1:16" x14ac:dyDescent="0.25">
      <c r="A26" s="15" t="s">
        <v>995</v>
      </c>
      <c r="B26" s="18" t="s">
        <v>974</v>
      </c>
      <c r="C26" s="2" t="s">
        <v>23</v>
      </c>
      <c r="D26" s="2" t="str">
        <f>VLOOKUP($C26,Sheet1!$A$2:$B$10,2,0)</f>
        <v>141186-74360</v>
      </c>
      <c r="E26" s="8" t="s">
        <v>70</v>
      </c>
      <c r="F26" s="12">
        <v>46008</v>
      </c>
      <c r="G26" s="13">
        <v>0.52083333333333337</v>
      </c>
      <c r="H26" s="2" t="s">
        <v>58</v>
      </c>
      <c r="I26" s="2" t="s">
        <v>42</v>
      </c>
      <c r="J26" s="2">
        <v>80</v>
      </c>
      <c r="K26" s="14">
        <f>VLOOKUP($C26,Sheet1!$A$2:$D$10,4,0)</f>
        <v>40</v>
      </c>
      <c r="L26" s="14" t="str">
        <f>VLOOKUP($C26,Sheet1!$A$2:$E$10,5,0)</f>
        <v>Trolley</v>
      </c>
      <c r="M26" s="14"/>
      <c r="N26" s="2">
        <f>J26/K26</f>
        <v>2</v>
      </c>
      <c r="O26" s="2" t="s">
        <v>113</v>
      </c>
      <c r="P26" s="2">
        <v>910103483</v>
      </c>
    </row>
    <row r="27" spans="1:16" x14ac:dyDescent="0.25">
      <c r="A27" s="15" t="s">
        <v>996</v>
      </c>
      <c r="B27" s="18" t="s">
        <v>979</v>
      </c>
      <c r="C27" s="2" t="s">
        <v>26</v>
      </c>
      <c r="D27" s="2" t="str">
        <f>VLOOKUP($C27,Sheet1!$A$2:$B$10,2,0)</f>
        <v>116040-92240</v>
      </c>
      <c r="E27" s="8" t="s">
        <v>75</v>
      </c>
      <c r="F27" s="12">
        <v>46008</v>
      </c>
      <c r="G27" s="13">
        <v>0.52083333333333337</v>
      </c>
      <c r="H27" s="2" t="s">
        <v>76</v>
      </c>
      <c r="I27" s="2" t="s">
        <v>42</v>
      </c>
      <c r="J27" s="2">
        <v>42</v>
      </c>
      <c r="K27" s="14">
        <f>VLOOKUP($C27,Sheet1!$A$2:$D$10,4,0)</f>
        <v>6</v>
      </c>
      <c r="L27" s="14" t="str">
        <f>VLOOKUP($C27,Sheet1!$A$2:$E$10,5,0)</f>
        <v>Bin</v>
      </c>
      <c r="M27" s="14">
        <f t="shared" ref="M27:M29" si="3">J27/K27</f>
        <v>7</v>
      </c>
      <c r="N27" s="2"/>
      <c r="O27" s="2" t="s">
        <v>113</v>
      </c>
      <c r="P27" s="2" t="s">
        <v>882</v>
      </c>
    </row>
    <row r="28" spans="1:16" x14ac:dyDescent="0.25">
      <c r="A28" s="15" t="s">
        <v>996</v>
      </c>
      <c r="B28" s="18" t="s">
        <v>984</v>
      </c>
      <c r="C28" s="2" t="s">
        <v>32</v>
      </c>
      <c r="D28" s="2" t="str">
        <f>VLOOKUP($C28,Sheet1!$A$2:$B$10,2,0)</f>
        <v>114010-50820</v>
      </c>
      <c r="E28" s="8" t="s">
        <v>82</v>
      </c>
      <c r="F28" s="12">
        <v>46008</v>
      </c>
      <c r="G28" s="13">
        <v>0.52083333333333337</v>
      </c>
      <c r="H28" s="2" t="s">
        <v>76</v>
      </c>
      <c r="I28" s="2" t="s">
        <v>42</v>
      </c>
      <c r="J28" s="2">
        <v>21</v>
      </c>
      <c r="K28" s="14">
        <f>VLOOKUP($C28,Sheet1!$A$2:$D$10,4,0)</f>
        <v>1</v>
      </c>
      <c r="L28" s="14" t="str">
        <f>VLOOKUP($C28,Sheet1!$A$2:$E$10,5,0)</f>
        <v>Bin</v>
      </c>
      <c r="M28" s="14">
        <f t="shared" si="3"/>
        <v>21</v>
      </c>
      <c r="N28" s="2"/>
      <c r="O28" s="2" t="s">
        <v>113</v>
      </c>
      <c r="P28" s="2" t="s">
        <v>878</v>
      </c>
    </row>
    <row r="29" spans="1:16" x14ac:dyDescent="0.25">
      <c r="A29" s="15" t="s">
        <v>996</v>
      </c>
      <c r="B29" s="18" t="s">
        <v>989</v>
      </c>
      <c r="C29" s="2" t="s">
        <v>29</v>
      </c>
      <c r="D29" s="2" t="str">
        <f>VLOOKUP($C29,Sheet1!$A$2:$B$10,2,0)</f>
        <v>114010-50830</v>
      </c>
      <c r="E29" s="8" t="s">
        <v>82</v>
      </c>
      <c r="F29" s="12">
        <v>46008</v>
      </c>
      <c r="G29" s="13">
        <v>0.52083333333333337</v>
      </c>
      <c r="H29" s="2" t="s">
        <v>76</v>
      </c>
      <c r="I29" s="2" t="s">
        <v>42</v>
      </c>
      <c r="J29" s="2">
        <v>20</v>
      </c>
      <c r="K29" s="14">
        <f>VLOOKUP($C29,Sheet1!$A$2:$D$10,4,0)</f>
        <v>1</v>
      </c>
      <c r="L29" s="14" t="str">
        <f>VLOOKUP($C29,Sheet1!$A$2:$E$10,5,0)</f>
        <v>Bin</v>
      </c>
      <c r="M29" s="14">
        <f t="shared" si="3"/>
        <v>20</v>
      </c>
      <c r="N29" s="2"/>
      <c r="O29" s="2" t="s">
        <v>113</v>
      </c>
      <c r="P29" s="2" t="s">
        <v>1120</v>
      </c>
    </row>
    <row r="30" spans="1:16" s="11" customForma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>
        <v>88</v>
      </c>
      <c r="N30" s="10">
        <v>6</v>
      </c>
      <c r="O30" s="10"/>
      <c r="P30" s="10"/>
    </row>
    <row r="31" spans="1:16" x14ac:dyDescent="0.25">
      <c r="A31" s="15" t="s">
        <v>997</v>
      </c>
      <c r="B31" s="18" t="s">
        <v>952</v>
      </c>
      <c r="C31" s="2" t="s">
        <v>5</v>
      </c>
      <c r="D31" s="2" t="str">
        <f>VLOOKUP($C31,Sheet1!$A$2:$B$10,2,0)</f>
        <v>141110-14600</v>
      </c>
      <c r="E31" s="8" t="s">
        <v>40</v>
      </c>
      <c r="F31" s="12">
        <v>46008</v>
      </c>
      <c r="G31" s="13">
        <v>0.60416666666666663</v>
      </c>
      <c r="H31" s="2" t="s">
        <v>41</v>
      </c>
      <c r="I31" s="2" t="s">
        <v>42</v>
      </c>
      <c r="J31" s="2">
        <v>36</v>
      </c>
      <c r="K31" s="14">
        <f>VLOOKUP($C31,Sheet1!$A$2:$D$10,4,0)</f>
        <v>18</v>
      </c>
      <c r="L31" s="14" t="str">
        <f>VLOOKUP($C31,Sheet1!$A$2:$E$10,5,0)</f>
        <v>Trolley (H)</v>
      </c>
      <c r="M31" s="14"/>
      <c r="N31" s="51">
        <v>2</v>
      </c>
      <c r="O31" s="2" t="s">
        <v>861</v>
      </c>
      <c r="P31" s="2" t="s">
        <v>1049</v>
      </c>
    </row>
    <row r="32" spans="1:16" x14ac:dyDescent="0.25">
      <c r="A32" s="15" t="s">
        <v>997</v>
      </c>
      <c r="B32" s="18" t="s">
        <v>957</v>
      </c>
      <c r="C32" s="2" t="s">
        <v>9</v>
      </c>
      <c r="D32" s="2" t="str">
        <f>VLOOKUP($C32,Sheet1!$A$2:$B$10,2,0)</f>
        <v>141120-14600</v>
      </c>
      <c r="E32" s="8" t="s">
        <v>47</v>
      </c>
      <c r="F32" s="12">
        <v>46008</v>
      </c>
      <c r="G32" s="13">
        <v>0.60416666666666663</v>
      </c>
      <c r="H32" s="2" t="s">
        <v>41</v>
      </c>
      <c r="I32" s="2" t="s">
        <v>42</v>
      </c>
      <c r="J32" s="2">
        <v>36</v>
      </c>
      <c r="K32" s="14">
        <f>VLOOKUP($C32,Sheet1!$A$2:$D$10,4,0)</f>
        <v>18</v>
      </c>
      <c r="L32" s="14" t="str">
        <f>VLOOKUP($C32,Sheet1!$A$2:$E$10,5,0)</f>
        <v>Trolley (H)</v>
      </c>
      <c r="M32" s="14"/>
      <c r="N32" s="52"/>
      <c r="O32" s="2" t="s">
        <v>861</v>
      </c>
      <c r="P32" s="2" t="s">
        <v>1049</v>
      </c>
    </row>
    <row r="33" spans="1:16" x14ac:dyDescent="0.25">
      <c r="A33" s="15" t="s">
        <v>997</v>
      </c>
      <c r="B33" s="18" t="s">
        <v>961</v>
      </c>
      <c r="C33" s="2" t="s">
        <v>12</v>
      </c>
      <c r="D33" s="2" t="str">
        <f>VLOOKUP($C33,Sheet1!$A$2:$B$10,2,0)</f>
        <v>141185-74670</v>
      </c>
      <c r="E33" s="8" t="s">
        <v>52</v>
      </c>
      <c r="F33" s="12">
        <v>46008</v>
      </c>
      <c r="G33" s="13">
        <v>0.60416666666666663</v>
      </c>
      <c r="H33" s="2" t="s">
        <v>41</v>
      </c>
      <c r="I33" s="2" t="s">
        <v>42</v>
      </c>
      <c r="J33" s="2">
        <v>80</v>
      </c>
      <c r="K33" s="14">
        <f>VLOOKUP($C33,Sheet1!$A$2:$D$10,4,0)</f>
        <v>40</v>
      </c>
      <c r="L33" s="14" t="str">
        <f>VLOOKUP($C33,Sheet1!$A$2:$E$10,5,0)</f>
        <v>Trolley</v>
      </c>
      <c r="M33" s="14"/>
      <c r="N33" s="2">
        <f>J33/K33</f>
        <v>2</v>
      </c>
      <c r="O33" s="2" t="s">
        <v>861</v>
      </c>
      <c r="P33" s="2">
        <v>910103483</v>
      </c>
    </row>
    <row r="34" spans="1:16" x14ac:dyDescent="0.25">
      <c r="A34" s="15" t="s">
        <v>997</v>
      </c>
      <c r="B34" s="18" t="s">
        <v>966</v>
      </c>
      <c r="C34" s="2" t="s">
        <v>16</v>
      </c>
      <c r="D34" s="2" t="str">
        <f>VLOOKUP($C34,Sheet1!$A$2:$B$10,2,0)</f>
        <v>141140-91211</v>
      </c>
      <c r="E34" s="8" t="s">
        <v>57</v>
      </c>
      <c r="F34" s="12">
        <v>46008</v>
      </c>
      <c r="G34" s="13">
        <v>0.60416666666666663</v>
      </c>
      <c r="H34" s="2" t="s">
        <v>58</v>
      </c>
      <c r="I34" s="2" t="s">
        <v>42</v>
      </c>
      <c r="J34" s="2">
        <v>40</v>
      </c>
      <c r="K34" s="14">
        <f>VLOOKUP($C34,Sheet1!$A$2:$D$10,4,0)</f>
        <v>2</v>
      </c>
      <c r="L34" s="14" t="str">
        <f>VLOOKUP($C34,Sheet1!$A$2:$E$10,5,0)</f>
        <v>Bin</v>
      </c>
      <c r="M34" s="14">
        <f t="shared" ref="M34:M35" si="4">J34/K34</f>
        <v>20</v>
      </c>
      <c r="N34" s="2"/>
      <c r="O34" s="2" t="s">
        <v>861</v>
      </c>
      <c r="P34" s="2" t="s">
        <v>171</v>
      </c>
    </row>
    <row r="35" spans="1:16" x14ac:dyDescent="0.25">
      <c r="A35" s="15" t="s">
        <v>997</v>
      </c>
      <c r="B35" s="18" t="s">
        <v>971</v>
      </c>
      <c r="C35" s="2" t="s">
        <v>20</v>
      </c>
      <c r="D35" s="2" t="str">
        <f>VLOOKUP($C35,Sheet1!$A$2:$B$10,2,0)</f>
        <v>141150-91211</v>
      </c>
      <c r="E35" s="8" t="s">
        <v>64</v>
      </c>
      <c r="F35" s="12">
        <v>46008</v>
      </c>
      <c r="G35" s="13">
        <v>0.60416666666666663</v>
      </c>
      <c r="H35" s="2" t="s">
        <v>58</v>
      </c>
      <c r="I35" s="2" t="s">
        <v>42</v>
      </c>
      <c r="J35" s="2">
        <v>40</v>
      </c>
      <c r="K35" s="14">
        <f>VLOOKUP($C35,Sheet1!$A$2:$D$10,4,0)</f>
        <v>2</v>
      </c>
      <c r="L35" s="14" t="str">
        <f>VLOOKUP($C35,Sheet1!$A$2:$E$10,5,0)</f>
        <v>Bin</v>
      </c>
      <c r="M35" s="14">
        <f t="shared" si="4"/>
        <v>20</v>
      </c>
      <c r="N35" s="2"/>
      <c r="O35" s="2" t="s">
        <v>861</v>
      </c>
      <c r="P35" s="2" t="s">
        <v>878</v>
      </c>
    </row>
    <row r="36" spans="1:16" x14ac:dyDescent="0.25">
      <c r="A36" s="15" t="s">
        <v>997</v>
      </c>
      <c r="B36" s="18" t="s">
        <v>975</v>
      </c>
      <c r="C36" s="2" t="s">
        <v>23</v>
      </c>
      <c r="D36" s="2" t="str">
        <f>VLOOKUP($C36,Sheet1!$A$2:$B$10,2,0)</f>
        <v>141186-74360</v>
      </c>
      <c r="E36" s="8" t="s">
        <v>70</v>
      </c>
      <c r="F36" s="12">
        <v>46008</v>
      </c>
      <c r="G36" s="13">
        <v>0.60416666666666663</v>
      </c>
      <c r="H36" s="2" t="s">
        <v>58</v>
      </c>
      <c r="I36" s="2" t="s">
        <v>42</v>
      </c>
      <c r="J36" s="2">
        <v>80</v>
      </c>
      <c r="K36" s="14">
        <f>VLOOKUP($C36,Sheet1!$A$2:$D$10,4,0)</f>
        <v>40</v>
      </c>
      <c r="L36" s="14" t="str">
        <f>VLOOKUP($C36,Sheet1!$A$2:$E$10,5,0)</f>
        <v>Trolley</v>
      </c>
      <c r="M36" s="14"/>
      <c r="N36" s="2">
        <f>J36/K36</f>
        <v>2</v>
      </c>
      <c r="O36" s="2" t="s">
        <v>861</v>
      </c>
      <c r="P36" s="2">
        <v>910103483</v>
      </c>
    </row>
    <row r="37" spans="1:16" x14ac:dyDescent="0.25">
      <c r="A37" s="15" t="s">
        <v>998</v>
      </c>
      <c r="B37" s="18" t="s">
        <v>980</v>
      </c>
      <c r="C37" s="2" t="s">
        <v>26</v>
      </c>
      <c r="D37" s="2" t="str">
        <f>VLOOKUP($C37,Sheet1!$A$2:$B$10,2,0)</f>
        <v>116040-92240</v>
      </c>
      <c r="E37" s="8" t="s">
        <v>75</v>
      </c>
      <c r="F37" s="12">
        <v>46008</v>
      </c>
      <c r="G37" s="13">
        <v>0.60416666666666663</v>
      </c>
      <c r="H37" s="2" t="s">
        <v>76</v>
      </c>
      <c r="I37" s="2" t="s">
        <v>42</v>
      </c>
      <c r="J37" s="2">
        <v>36</v>
      </c>
      <c r="K37" s="14">
        <f>VLOOKUP($C37,Sheet1!$A$2:$D$10,4,0)</f>
        <v>6</v>
      </c>
      <c r="L37" s="14" t="str">
        <f>VLOOKUP($C37,Sheet1!$A$2:$E$10,5,0)</f>
        <v>Bin</v>
      </c>
      <c r="M37" s="14">
        <f t="shared" ref="M37:M39" si="5">J37/K37</f>
        <v>6</v>
      </c>
      <c r="N37" s="2"/>
      <c r="O37" s="2" t="s">
        <v>861</v>
      </c>
      <c r="P37" s="2" t="s">
        <v>882</v>
      </c>
    </row>
    <row r="38" spans="1:16" x14ac:dyDescent="0.25">
      <c r="A38" s="15" t="s">
        <v>998</v>
      </c>
      <c r="B38" s="18" t="s">
        <v>985</v>
      </c>
      <c r="C38" s="2" t="s">
        <v>32</v>
      </c>
      <c r="D38" s="2" t="str">
        <f>VLOOKUP($C38,Sheet1!$A$2:$B$10,2,0)</f>
        <v>114010-50820</v>
      </c>
      <c r="E38" s="8" t="s">
        <v>82</v>
      </c>
      <c r="F38" s="12">
        <v>46008</v>
      </c>
      <c r="G38" s="13">
        <v>0.60416666666666663</v>
      </c>
      <c r="H38" s="2" t="s">
        <v>76</v>
      </c>
      <c r="I38" s="2" t="s">
        <v>42</v>
      </c>
      <c r="J38" s="2">
        <v>20</v>
      </c>
      <c r="K38" s="14">
        <f>VLOOKUP($C38,Sheet1!$A$2:$D$10,4,0)</f>
        <v>1</v>
      </c>
      <c r="L38" s="14" t="str">
        <f>VLOOKUP($C38,Sheet1!$A$2:$E$10,5,0)</f>
        <v>Bin</v>
      </c>
      <c r="M38" s="14">
        <f t="shared" si="5"/>
        <v>20</v>
      </c>
      <c r="N38" s="2"/>
      <c r="O38" s="2" t="s">
        <v>861</v>
      </c>
      <c r="P38" s="2" t="s">
        <v>878</v>
      </c>
    </row>
    <row r="39" spans="1:16" x14ac:dyDescent="0.25">
      <c r="A39" s="15" t="s">
        <v>998</v>
      </c>
      <c r="B39" s="18" t="s">
        <v>990</v>
      </c>
      <c r="C39" s="2" t="s">
        <v>29</v>
      </c>
      <c r="D39" s="2" t="str">
        <f>VLOOKUP($C39,Sheet1!$A$2:$B$10,2,0)</f>
        <v>114010-50830</v>
      </c>
      <c r="E39" s="8" t="s">
        <v>82</v>
      </c>
      <c r="F39" s="12">
        <v>46008</v>
      </c>
      <c r="G39" s="13">
        <v>0.60416666666666663</v>
      </c>
      <c r="H39" s="2" t="s">
        <v>76</v>
      </c>
      <c r="I39" s="2" t="s">
        <v>42</v>
      </c>
      <c r="J39" s="2">
        <v>20</v>
      </c>
      <c r="K39" s="14">
        <f>VLOOKUP($C39,Sheet1!$A$2:$D$10,4,0)</f>
        <v>1</v>
      </c>
      <c r="L39" s="14" t="str">
        <f>VLOOKUP($C39,Sheet1!$A$2:$E$10,5,0)</f>
        <v>Bin</v>
      </c>
      <c r="M39" s="14">
        <f t="shared" si="5"/>
        <v>20</v>
      </c>
      <c r="N39" s="2"/>
      <c r="O39" s="2" t="s">
        <v>861</v>
      </c>
      <c r="P39" s="2" t="s">
        <v>1123</v>
      </c>
    </row>
    <row r="40" spans="1:16" s="11" customForma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>
        <v>86</v>
      </c>
      <c r="N40" s="10">
        <v>6</v>
      </c>
      <c r="O40" s="10"/>
      <c r="P40" s="10"/>
    </row>
    <row r="41" spans="1:16" x14ac:dyDescent="0.25">
      <c r="A41" s="15" t="s">
        <v>999</v>
      </c>
      <c r="B41" s="18" t="s">
        <v>953</v>
      </c>
      <c r="C41" s="2" t="s">
        <v>5</v>
      </c>
      <c r="D41" s="2" t="str">
        <f>VLOOKUP($C41,Sheet1!$A$2:$B$10,2,0)</f>
        <v>141110-14600</v>
      </c>
      <c r="E41" s="8" t="s">
        <v>40</v>
      </c>
      <c r="F41" s="12">
        <v>46008</v>
      </c>
      <c r="G41" s="13">
        <v>0.72916666666666663</v>
      </c>
      <c r="H41" s="2" t="s">
        <v>41</v>
      </c>
      <c r="I41" s="2" t="s">
        <v>42</v>
      </c>
      <c r="J41" s="2">
        <v>36</v>
      </c>
      <c r="K41" s="14">
        <f>VLOOKUP($C41,Sheet1!$A$2:$D$10,4,0)</f>
        <v>18</v>
      </c>
      <c r="L41" s="14" t="str">
        <f>VLOOKUP($C41,Sheet1!$A$2:$E$10,5,0)</f>
        <v>Trolley (H)</v>
      </c>
      <c r="M41" s="14"/>
      <c r="N41" s="51">
        <v>2</v>
      </c>
      <c r="O41" s="2" t="s">
        <v>112</v>
      </c>
      <c r="P41" s="2" t="s">
        <v>1121</v>
      </c>
    </row>
    <row r="42" spans="1:16" x14ac:dyDescent="0.25">
      <c r="A42" s="15" t="s">
        <v>999</v>
      </c>
      <c r="B42" s="18" t="s">
        <v>958</v>
      </c>
      <c r="C42" s="2" t="s">
        <v>9</v>
      </c>
      <c r="D42" s="2" t="str">
        <f>VLOOKUP($C42,Sheet1!$A$2:$B$10,2,0)</f>
        <v>141120-14600</v>
      </c>
      <c r="E42" s="8" t="s">
        <v>47</v>
      </c>
      <c r="F42" s="12">
        <v>46008</v>
      </c>
      <c r="G42" s="13">
        <v>0.72916666666666663</v>
      </c>
      <c r="H42" s="2" t="s">
        <v>41</v>
      </c>
      <c r="I42" s="2" t="s">
        <v>42</v>
      </c>
      <c r="J42" s="2">
        <v>36</v>
      </c>
      <c r="K42" s="14">
        <f>VLOOKUP($C42,Sheet1!$A$2:$D$10,4,0)</f>
        <v>18</v>
      </c>
      <c r="L42" s="14" t="str">
        <f>VLOOKUP($C42,Sheet1!$A$2:$E$10,5,0)</f>
        <v>Trolley (H)</v>
      </c>
      <c r="M42" s="14"/>
      <c r="N42" s="52"/>
      <c r="O42" s="2" t="s">
        <v>112</v>
      </c>
      <c r="P42" s="2" t="s">
        <v>1121</v>
      </c>
    </row>
    <row r="43" spans="1:16" x14ac:dyDescent="0.25">
      <c r="A43" s="15" t="s">
        <v>999</v>
      </c>
      <c r="B43" s="18" t="s">
        <v>962</v>
      </c>
      <c r="C43" s="2" t="s">
        <v>12</v>
      </c>
      <c r="D43" s="2" t="str">
        <f>VLOOKUP($C43,Sheet1!$A$2:$B$10,2,0)</f>
        <v>141185-74670</v>
      </c>
      <c r="E43" s="8" t="s">
        <v>52</v>
      </c>
      <c r="F43" s="12">
        <v>46008</v>
      </c>
      <c r="G43" s="13">
        <v>0.72916666666666663</v>
      </c>
      <c r="H43" s="2" t="s">
        <v>41</v>
      </c>
      <c r="I43" s="2" t="s">
        <v>42</v>
      </c>
      <c r="J43" s="2">
        <v>80</v>
      </c>
      <c r="K43" s="14">
        <f>VLOOKUP($C43,Sheet1!$A$2:$D$10,4,0)</f>
        <v>40</v>
      </c>
      <c r="L43" s="14" t="str">
        <f>VLOOKUP($C43,Sheet1!$A$2:$E$10,5,0)</f>
        <v>Trolley</v>
      </c>
      <c r="M43" s="14"/>
      <c r="N43" s="2">
        <f>J43/K43</f>
        <v>2</v>
      </c>
      <c r="O43" s="2" t="s">
        <v>112</v>
      </c>
      <c r="P43" s="2">
        <v>910103483</v>
      </c>
    </row>
    <row r="44" spans="1:16" x14ac:dyDescent="0.25">
      <c r="A44" s="15" t="s">
        <v>999</v>
      </c>
      <c r="B44" s="18" t="s">
        <v>967</v>
      </c>
      <c r="C44" s="2" t="s">
        <v>16</v>
      </c>
      <c r="D44" s="2" t="str">
        <f>VLOOKUP($C44,Sheet1!$A$2:$B$10,2,0)</f>
        <v>141140-91211</v>
      </c>
      <c r="E44" s="8" t="s">
        <v>57</v>
      </c>
      <c r="F44" s="12">
        <v>46008</v>
      </c>
      <c r="G44" s="13">
        <v>0.72916666666666663</v>
      </c>
      <c r="H44" s="2" t="s">
        <v>58</v>
      </c>
      <c r="I44" s="2" t="s">
        <v>42</v>
      </c>
      <c r="J44" s="2">
        <v>40</v>
      </c>
      <c r="K44" s="14">
        <f>VLOOKUP($C44,Sheet1!$A$2:$D$10,4,0)</f>
        <v>2</v>
      </c>
      <c r="L44" s="14" t="str">
        <f>VLOOKUP($C44,Sheet1!$A$2:$E$10,5,0)</f>
        <v>Bin</v>
      </c>
      <c r="M44" s="14">
        <f t="shared" ref="M44:M45" si="6">J44/K44</f>
        <v>20</v>
      </c>
      <c r="N44" s="2"/>
      <c r="O44" s="2" t="s">
        <v>112</v>
      </c>
      <c r="P44" s="2" t="s">
        <v>171</v>
      </c>
    </row>
    <row r="45" spans="1:16" x14ac:dyDescent="0.25">
      <c r="A45" s="15" t="s">
        <v>999</v>
      </c>
      <c r="B45" s="18" t="s">
        <v>972</v>
      </c>
      <c r="C45" s="2" t="s">
        <v>20</v>
      </c>
      <c r="D45" s="2" t="str">
        <f>VLOOKUP($C45,Sheet1!$A$2:$B$10,2,0)</f>
        <v>141150-91211</v>
      </c>
      <c r="E45" s="8" t="s">
        <v>64</v>
      </c>
      <c r="F45" s="12">
        <v>46008</v>
      </c>
      <c r="G45" s="13">
        <v>0.72916666666666663</v>
      </c>
      <c r="H45" s="2" t="s">
        <v>58</v>
      </c>
      <c r="I45" s="2" t="s">
        <v>42</v>
      </c>
      <c r="J45" s="2">
        <v>40</v>
      </c>
      <c r="K45" s="14">
        <f>VLOOKUP($C45,Sheet1!$A$2:$D$10,4,0)</f>
        <v>2</v>
      </c>
      <c r="L45" s="14" t="str">
        <f>VLOOKUP($C45,Sheet1!$A$2:$E$10,5,0)</f>
        <v>Bin</v>
      </c>
      <c r="M45" s="14">
        <f t="shared" si="6"/>
        <v>20</v>
      </c>
      <c r="N45" s="2"/>
      <c r="O45" s="2" t="s">
        <v>112</v>
      </c>
      <c r="P45" s="2" t="s">
        <v>171</v>
      </c>
    </row>
    <row r="46" spans="1:16" x14ac:dyDescent="0.25">
      <c r="A46" s="15" t="s">
        <v>999</v>
      </c>
      <c r="B46" s="18" t="s">
        <v>976</v>
      </c>
      <c r="C46" s="2" t="s">
        <v>23</v>
      </c>
      <c r="D46" s="2" t="str">
        <f>VLOOKUP($C46,Sheet1!$A$2:$B$10,2,0)</f>
        <v>141186-74360</v>
      </c>
      <c r="E46" s="8" t="s">
        <v>70</v>
      </c>
      <c r="F46" s="12">
        <v>46008</v>
      </c>
      <c r="G46" s="13">
        <v>0.72916666666666663</v>
      </c>
      <c r="H46" s="2" t="s">
        <v>58</v>
      </c>
      <c r="I46" s="2" t="s">
        <v>42</v>
      </c>
      <c r="J46" s="2">
        <v>80</v>
      </c>
      <c r="K46" s="14">
        <f>VLOOKUP($C46,Sheet1!$A$2:$D$10,4,0)</f>
        <v>40</v>
      </c>
      <c r="L46" s="14" t="str">
        <f>VLOOKUP($C46,Sheet1!$A$2:$E$10,5,0)</f>
        <v>Trolley</v>
      </c>
      <c r="M46" s="14"/>
      <c r="N46" s="2">
        <f>J46/K46</f>
        <v>2</v>
      </c>
      <c r="O46" s="2" t="s">
        <v>112</v>
      </c>
      <c r="P46" s="2">
        <v>910103483</v>
      </c>
    </row>
    <row r="47" spans="1:16" x14ac:dyDescent="0.25">
      <c r="A47" s="15" t="s">
        <v>1000</v>
      </c>
      <c r="B47" s="18" t="s">
        <v>981</v>
      </c>
      <c r="C47" s="2" t="s">
        <v>26</v>
      </c>
      <c r="D47" s="2" t="str">
        <f>VLOOKUP($C47,Sheet1!$A$2:$B$10,2,0)</f>
        <v>116040-92240</v>
      </c>
      <c r="E47" s="8" t="s">
        <v>75</v>
      </c>
      <c r="F47" s="12">
        <v>46008</v>
      </c>
      <c r="G47" s="13">
        <v>0.72916666666666663</v>
      </c>
      <c r="H47" s="2" t="s">
        <v>76</v>
      </c>
      <c r="I47" s="2" t="s">
        <v>42</v>
      </c>
      <c r="J47" s="2">
        <v>36</v>
      </c>
      <c r="K47" s="14">
        <f>VLOOKUP($C47,Sheet1!$A$2:$D$10,4,0)</f>
        <v>6</v>
      </c>
      <c r="L47" s="14" t="str">
        <f>VLOOKUP($C47,Sheet1!$A$2:$E$10,5,0)</f>
        <v>Bin</v>
      </c>
      <c r="M47" s="14">
        <f t="shared" ref="M47:M49" si="7">J47/K47</f>
        <v>6</v>
      </c>
      <c r="N47" s="2"/>
      <c r="O47" s="2" t="s">
        <v>112</v>
      </c>
      <c r="P47" s="2" t="s">
        <v>882</v>
      </c>
    </row>
    <row r="48" spans="1:16" x14ac:dyDescent="0.25">
      <c r="A48" s="15" t="s">
        <v>1000</v>
      </c>
      <c r="B48" s="18" t="s">
        <v>986</v>
      </c>
      <c r="C48" s="2" t="s">
        <v>32</v>
      </c>
      <c r="D48" s="2" t="str">
        <f>VLOOKUP($C48,Sheet1!$A$2:$B$10,2,0)</f>
        <v>114010-50820</v>
      </c>
      <c r="E48" s="8" t="s">
        <v>82</v>
      </c>
      <c r="F48" s="12">
        <v>46008</v>
      </c>
      <c r="G48" s="13">
        <v>0.72916666666666663</v>
      </c>
      <c r="H48" s="2" t="s">
        <v>76</v>
      </c>
      <c r="I48" s="2" t="s">
        <v>42</v>
      </c>
      <c r="J48" s="2">
        <v>16</v>
      </c>
      <c r="K48" s="14">
        <f>VLOOKUP($C48,Sheet1!$A$2:$D$10,4,0)</f>
        <v>1</v>
      </c>
      <c r="L48" s="14" t="str">
        <f>VLOOKUP($C48,Sheet1!$A$2:$E$10,5,0)</f>
        <v>Bin</v>
      </c>
      <c r="M48" s="14">
        <f t="shared" si="7"/>
        <v>16</v>
      </c>
      <c r="N48" s="2"/>
      <c r="O48" s="2" t="s">
        <v>112</v>
      </c>
      <c r="P48" s="2" t="s">
        <v>878</v>
      </c>
    </row>
    <row r="49" spans="1:16" x14ac:dyDescent="0.25">
      <c r="A49" s="15" t="s">
        <v>1000</v>
      </c>
      <c r="B49" s="18" t="s">
        <v>991</v>
      </c>
      <c r="C49" s="2" t="s">
        <v>29</v>
      </c>
      <c r="D49" s="2" t="str">
        <f>VLOOKUP($C49,Sheet1!$A$2:$B$10,2,0)</f>
        <v>114010-50830</v>
      </c>
      <c r="E49" s="8" t="s">
        <v>82</v>
      </c>
      <c r="F49" s="12">
        <v>46008</v>
      </c>
      <c r="G49" s="13">
        <v>0.72916666666666663</v>
      </c>
      <c r="H49" s="2" t="s">
        <v>76</v>
      </c>
      <c r="I49" s="2" t="s">
        <v>42</v>
      </c>
      <c r="J49" s="2">
        <v>18</v>
      </c>
      <c r="K49" s="14">
        <f>VLOOKUP($C49,Sheet1!$A$2:$D$10,4,0)</f>
        <v>1</v>
      </c>
      <c r="L49" s="14" t="str">
        <f>VLOOKUP($C49,Sheet1!$A$2:$E$10,5,0)</f>
        <v>Bin</v>
      </c>
      <c r="M49" s="14">
        <f t="shared" si="7"/>
        <v>18</v>
      </c>
      <c r="N49" s="2"/>
      <c r="O49" s="2" t="s">
        <v>112</v>
      </c>
      <c r="P49" s="2" t="s">
        <v>1122</v>
      </c>
    </row>
    <row r="50" spans="1:16" s="11" customForma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>
        <v>80</v>
      </c>
      <c r="N50" s="10">
        <v>6</v>
      </c>
      <c r="O50" s="10"/>
      <c r="P50" s="10"/>
    </row>
    <row r="51" spans="1:16" x14ac:dyDescent="0.25">
      <c r="A51" s="2"/>
      <c r="B51" s="2" t="s">
        <v>992</v>
      </c>
      <c r="C51" s="2"/>
      <c r="D51" s="2"/>
      <c r="E51" s="8"/>
      <c r="F51" s="12"/>
      <c r="G51" s="13"/>
      <c r="H51" s="2"/>
      <c r="I51" s="2"/>
      <c r="J51" s="2"/>
      <c r="K51" s="14"/>
      <c r="L51" s="14"/>
      <c r="M51" s="14"/>
      <c r="N51" s="2"/>
      <c r="O51" s="2"/>
      <c r="P51" s="2"/>
    </row>
    <row r="52" spans="1:16" x14ac:dyDescent="0.25">
      <c r="A52" s="2"/>
      <c r="B52" s="2"/>
      <c r="C52" s="2"/>
      <c r="D52" s="2"/>
      <c r="E52" s="8"/>
      <c r="F52" s="12"/>
      <c r="G52" s="13"/>
      <c r="H52" s="2"/>
      <c r="I52" s="2"/>
      <c r="J52" s="2"/>
      <c r="K52" s="14"/>
      <c r="L52" s="14"/>
      <c r="M52" s="14"/>
      <c r="N52" s="2"/>
      <c r="O52" s="2"/>
      <c r="P52" s="2"/>
    </row>
    <row r="53" spans="1:16" ht="15.75" x14ac:dyDescent="0.25">
      <c r="E53" s="34"/>
    </row>
  </sheetData>
  <mergeCells count="8">
    <mergeCell ref="N41:N42"/>
    <mergeCell ref="A1:F1"/>
    <mergeCell ref="J1:N1"/>
    <mergeCell ref="L2:N2"/>
    <mergeCell ref="N4:N5"/>
    <mergeCell ref="N6:N7"/>
    <mergeCell ref="N21:N22"/>
    <mergeCell ref="N31:N32"/>
  </mergeCells>
  <conditionalFormatting sqref="B2">
    <cfRule type="duplicateValues" dxfId="50" priority="2"/>
    <cfRule type="duplicateValues" dxfId="49" priority="3"/>
  </conditionalFormatting>
  <conditionalFormatting sqref="B4:B19 B51:B52 B21:B29 B31:B39 B41:B49">
    <cfRule type="duplicateValues" dxfId="48" priority="1"/>
  </conditionalFormatting>
  <conditionalFormatting sqref="C2:D2">
    <cfRule type="duplicateValues" dxfId="47" priority="4"/>
    <cfRule type="duplicateValues" dxfId="46" priority="5"/>
  </conditionalFormatting>
  <hyperlinks>
    <hyperlink ref="B51" r:id="rId1" display="http://192.168.1.249/downloads/temp/X539_eNagare_20251216.log" xr:uid="{00000000-0004-0000-1200-000000000000}"/>
  </hyperlinks>
  <pageMargins left="0.17" right="0.17" top="0.3" bottom="0.17" header="0.3" footer="0.3"/>
  <pageSetup paperSize="9" scale="61" orientation="landscape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P47"/>
  <sheetViews>
    <sheetView topLeftCell="A22" workbookViewId="0">
      <selection activeCell="A4" sqref="A4:XFD45"/>
    </sheetView>
  </sheetViews>
  <sheetFormatPr defaultColWidth="50.85546875" defaultRowHeight="15" x14ac:dyDescent="0.25"/>
  <cols>
    <col min="1" max="1" width="15.42578125" bestFit="1" customWidth="1"/>
    <col min="2" max="2" width="18" customWidth="1"/>
    <col min="3" max="3" width="14.140625" bestFit="1" customWidth="1"/>
    <col min="4" max="4" width="15.140625" customWidth="1"/>
    <col min="5" max="5" width="32.5703125" bestFit="1" customWidth="1"/>
    <col min="6" max="6" width="9.7109375" bestFit="1" customWidth="1"/>
    <col min="7" max="7" width="7.7109375" bestFit="1" customWidth="1"/>
    <col min="8" max="8" width="12.140625" bestFit="1" customWidth="1"/>
    <col min="9" max="9" width="4.7109375" bestFit="1" customWidth="1"/>
    <col min="10" max="10" width="8" bestFit="1" customWidth="1"/>
    <col min="11" max="11" width="9" customWidth="1"/>
    <col min="12" max="12" width="11.5703125" customWidth="1"/>
    <col min="13" max="13" width="7.140625" bestFit="1" customWidth="1"/>
    <col min="14" max="14" width="7.85546875" bestFit="1" customWidth="1"/>
    <col min="15" max="15" width="10.7109375" customWidth="1"/>
    <col min="16" max="16" width="46.7109375" customWidth="1"/>
  </cols>
  <sheetData>
    <row r="1" spans="1:16" ht="23.25" x14ac:dyDescent="0.25">
      <c r="A1" s="53" t="s">
        <v>93</v>
      </c>
      <c r="B1" s="53"/>
      <c r="C1" s="53"/>
      <c r="D1" s="53"/>
      <c r="E1" s="53"/>
      <c r="F1" s="53"/>
      <c r="G1" s="2"/>
      <c r="H1" s="2"/>
      <c r="I1" s="2"/>
      <c r="J1" s="54" t="s">
        <v>94</v>
      </c>
      <c r="K1" s="55"/>
      <c r="L1" s="55"/>
      <c r="M1" s="55"/>
      <c r="N1" s="55"/>
      <c r="O1" s="3"/>
      <c r="P1" s="4"/>
    </row>
    <row r="2" spans="1:16" ht="16.5" customHeight="1" x14ac:dyDescent="0.25">
      <c r="A2" s="5" t="s">
        <v>95</v>
      </c>
      <c r="B2" s="6">
        <v>46009</v>
      </c>
      <c r="C2" s="7"/>
      <c r="D2" s="7"/>
      <c r="E2" s="2"/>
      <c r="F2" s="8"/>
      <c r="G2" s="2"/>
      <c r="H2" s="2"/>
      <c r="I2" s="2"/>
      <c r="J2" s="2"/>
      <c r="K2" s="2"/>
      <c r="L2" s="56" t="s">
        <v>96</v>
      </c>
      <c r="M2" s="57"/>
      <c r="N2" s="58"/>
      <c r="O2" s="2"/>
      <c r="P2" s="2"/>
    </row>
    <row r="3" spans="1:16" s="11" customFormat="1" ht="33.75" customHeight="1" x14ac:dyDescent="0.25">
      <c r="A3" s="10" t="s">
        <v>97</v>
      </c>
      <c r="B3" s="10" t="s">
        <v>35</v>
      </c>
      <c r="C3" s="10" t="s">
        <v>0</v>
      </c>
      <c r="D3" s="10" t="s">
        <v>98</v>
      </c>
      <c r="E3" s="10" t="s">
        <v>2</v>
      </c>
      <c r="F3" s="10" t="s">
        <v>36</v>
      </c>
      <c r="G3" s="10" t="s">
        <v>37</v>
      </c>
      <c r="H3" s="10" t="s">
        <v>38</v>
      </c>
      <c r="I3" s="10" t="s">
        <v>99</v>
      </c>
      <c r="J3" s="10" t="s">
        <v>100</v>
      </c>
      <c r="K3" s="10" t="s">
        <v>101</v>
      </c>
      <c r="L3" s="10" t="s">
        <v>102</v>
      </c>
      <c r="M3" s="10" t="s">
        <v>103</v>
      </c>
      <c r="N3" s="10" t="s">
        <v>104</v>
      </c>
      <c r="O3" s="10" t="s">
        <v>96</v>
      </c>
      <c r="P3" s="10" t="s">
        <v>105</v>
      </c>
    </row>
    <row r="4" spans="1:16" x14ac:dyDescent="0.25">
      <c r="A4" s="15" t="s">
        <v>1059</v>
      </c>
      <c r="B4" s="18" t="s">
        <v>1002</v>
      </c>
      <c r="C4" s="2" t="s">
        <v>5</v>
      </c>
      <c r="D4" s="2" t="str">
        <f>VLOOKUP($C4,Sheet1!$A$2:$B$10,2,0)</f>
        <v>141110-14600</v>
      </c>
      <c r="E4" s="8" t="s">
        <v>40</v>
      </c>
      <c r="F4" s="12">
        <v>46009</v>
      </c>
      <c r="G4" s="13">
        <v>0.27083333333333331</v>
      </c>
      <c r="H4" s="2" t="s">
        <v>41</v>
      </c>
      <c r="I4" s="2" t="s">
        <v>42</v>
      </c>
      <c r="J4" s="2">
        <v>54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1">
        <v>3</v>
      </c>
      <c r="O4" s="2" t="s">
        <v>1001</v>
      </c>
      <c r="P4" s="2" t="s">
        <v>1203</v>
      </c>
    </row>
    <row r="5" spans="1:16" x14ac:dyDescent="0.25">
      <c r="A5" s="15" t="s">
        <v>1059</v>
      </c>
      <c r="B5" s="18" t="s">
        <v>1006</v>
      </c>
      <c r="C5" s="2" t="s">
        <v>9</v>
      </c>
      <c r="D5" s="2" t="str">
        <f>VLOOKUP($C5,Sheet1!$A$2:$B$10,2,0)</f>
        <v>141120-14600</v>
      </c>
      <c r="E5" s="8" t="s">
        <v>47</v>
      </c>
      <c r="F5" s="12">
        <v>46009</v>
      </c>
      <c r="G5" s="13">
        <v>0.27083333333333331</v>
      </c>
      <c r="H5" s="2" t="s">
        <v>41</v>
      </c>
      <c r="I5" s="2" t="s">
        <v>42</v>
      </c>
      <c r="J5" s="2">
        <v>54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2"/>
      <c r="O5" s="2" t="s">
        <v>1001</v>
      </c>
      <c r="P5" s="2" t="s">
        <v>1204</v>
      </c>
    </row>
    <row r="6" spans="1:16" x14ac:dyDescent="0.25">
      <c r="A6" s="15" t="s">
        <v>1059</v>
      </c>
      <c r="B6" s="18" t="s">
        <v>1010</v>
      </c>
      <c r="C6" s="2" t="s">
        <v>12</v>
      </c>
      <c r="D6" s="2" t="str">
        <f>VLOOKUP($C6,Sheet1!$A$2:$B$10,2,0)</f>
        <v>141185-74670</v>
      </c>
      <c r="E6" s="8" t="s">
        <v>52</v>
      </c>
      <c r="F6" s="12">
        <v>46009</v>
      </c>
      <c r="G6" s="13">
        <v>0.27083333333333331</v>
      </c>
      <c r="H6" s="2" t="s">
        <v>41</v>
      </c>
      <c r="I6" s="2" t="s">
        <v>42</v>
      </c>
      <c r="J6" s="2">
        <v>80</v>
      </c>
      <c r="K6" s="14">
        <f>VLOOKUP($C6,Sheet1!$A$2:$D$10,4,0)</f>
        <v>40</v>
      </c>
      <c r="L6" s="14" t="str">
        <f>VLOOKUP($C6,Sheet1!$A$2:$E$10,5,0)</f>
        <v>Trolley</v>
      </c>
      <c r="M6" s="14"/>
      <c r="N6" s="2">
        <f>J6/K6</f>
        <v>2</v>
      </c>
      <c r="O6" s="2" t="s">
        <v>1001</v>
      </c>
      <c r="P6" s="2">
        <v>910103483</v>
      </c>
    </row>
    <row r="7" spans="1:16" x14ac:dyDescent="0.25">
      <c r="A7" s="15" t="s">
        <v>1059</v>
      </c>
      <c r="B7" s="18" t="s">
        <v>1014</v>
      </c>
      <c r="C7" s="2" t="s">
        <v>16</v>
      </c>
      <c r="D7" s="2" t="str">
        <f>VLOOKUP($C7,Sheet1!$A$2:$B$10,2,0)</f>
        <v>141140-91211</v>
      </c>
      <c r="E7" s="8" t="s">
        <v>57</v>
      </c>
      <c r="F7" s="12">
        <v>46009</v>
      </c>
      <c r="G7" s="13">
        <v>0.27083333333333331</v>
      </c>
      <c r="H7" s="2" t="s">
        <v>58</v>
      </c>
      <c r="I7" s="2" t="s">
        <v>42</v>
      </c>
      <c r="J7" s="2">
        <v>56</v>
      </c>
      <c r="K7" s="14">
        <f>VLOOKUP($C7,Sheet1!$A$2:$D$10,4,0)</f>
        <v>2</v>
      </c>
      <c r="L7" s="14" t="str">
        <f>VLOOKUP($C7,Sheet1!$A$2:$E$10,5,0)</f>
        <v>Bin</v>
      </c>
      <c r="M7" s="14">
        <f>J7/K7</f>
        <v>28</v>
      </c>
      <c r="N7" s="2"/>
      <c r="O7" s="2" t="s">
        <v>1001</v>
      </c>
      <c r="P7" s="2" t="s">
        <v>171</v>
      </c>
    </row>
    <row r="8" spans="1:16" x14ac:dyDescent="0.25">
      <c r="A8" s="15" t="s">
        <v>1059</v>
      </c>
      <c r="B8" s="18" t="s">
        <v>1018</v>
      </c>
      <c r="C8" s="2" t="s">
        <v>20</v>
      </c>
      <c r="D8" s="2" t="str">
        <f>VLOOKUP($C8,Sheet1!$A$2:$B$10,2,0)</f>
        <v>141150-91211</v>
      </c>
      <c r="E8" s="8" t="s">
        <v>64</v>
      </c>
      <c r="F8" s="12">
        <v>46009</v>
      </c>
      <c r="G8" s="13">
        <v>0.27083333333333331</v>
      </c>
      <c r="H8" s="2" t="s">
        <v>58</v>
      </c>
      <c r="I8" s="2" t="s">
        <v>42</v>
      </c>
      <c r="J8" s="2">
        <v>56</v>
      </c>
      <c r="K8" s="14">
        <f>VLOOKUP($C8,Sheet1!$A$2:$D$10,4,0)</f>
        <v>2</v>
      </c>
      <c r="L8" s="14" t="str">
        <f>VLOOKUP($C8,Sheet1!$A$2:$E$10,5,0)</f>
        <v>Bin</v>
      </c>
      <c r="M8" s="14">
        <f>J8/K8</f>
        <v>28</v>
      </c>
      <c r="N8" s="2"/>
      <c r="O8" s="2" t="s">
        <v>1001</v>
      </c>
      <c r="P8" s="2" t="s">
        <v>1205</v>
      </c>
    </row>
    <row r="9" spans="1:16" x14ac:dyDescent="0.25">
      <c r="A9" s="15" t="s">
        <v>1059</v>
      </c>
      <c r="B9" s="18" t="s">
        <v>1022</v>
      </c>
      <c r="C9" s="2" t="s">
        <v>23</v>
      </c>
      <c r="D9" s="2" t="str">
        <f>VLOOKUP($C9,Sheet1!$A$2:$B$10,2,0)</f>
        <v>141186-74360</v>
      </c>
      <c r="E9" s="8" t="s">
        <v>70</v>
      </c>
      <c r="F9" s="12">
        <v>46009</v>
      </c>
      <c r="G9" s="13">
        <v>0.27083333333333331</v>
      </c>
      <c r="H9" s="2" t="s">
        <v>58</v>
      </c>
      <c r="I9" s="2" t="s">
        <v>42</v>
      </c>
      <c r="J9" s="2">
        <v>80</v>
      </c>
      <c r="K9" s="14">
        <f>VLOOKUP($C9,Sheet1!$A$2:$D$10,4,0)</f>
        <v>40</v>
      </c>
      <c r="L9" s="14" t="str">
        <f>VLOOKUP($C9,Sheet1!$A$2:$E$10,5,0)</f>
        <v>Trolley</v>
      </c>
      <c r="M9" s="14"/>
      <c r="N9" s="2">
        <f>J9/K9</f>
        <v>2</v>
      </c>
      <c r="O9" s="2" t="s">
        <v>1001</v>
      </c>
      <c r="P9" s="2">
        <v>910103483</v>
      </c>
    </row>
    <row r="10" spans="1:16" x14ac:dyDescent="0.25">
      <c r="A10" s="15" t="s">
        <v>1063</v>
      </c>
      <c r="B10" s="18" t="s">
        <v>1026</v>
      </c>
      <c r="C10" s="2" t="s">
        <v>26</v>
      </c>
      <c r="D10" s="2" t="str">
        <f>VLOOKUP($C10,Sheet1!$A$2:$B$10,2,0)</f>
        <v>116040-92240</v>
      </c>
      <c r="E10" s="8" t="s">
        <v>75</v>
      </c>
      <c r="F10" s="12">
        <v>46009</v>
      </c>
      <c r="G10" s="13">
        <v>0.27083333333333331</v>
      </c>
      <c r="H10" s="2" t="s">
        <v>76</v>
      </c>
      <c r="I10" s="2" t="s">
        <v>42</v>
      </c>
      <c r="J10" s="2">
        <v>54</v>
      </c>
      <c r="K10" s="14">
        <f>VLOOKUP($C10,Sheet1!$A$2:$D$10,4,0)</f>
        <v>6</v>
      </c>
      <c r="L10" s="14" t="str">
        <f>VLOOKUP($C10,Sheet1!$A$2:$E$10,5,0)</f>
        <v>Bin</v>
      </c>
      <c r="M10" s="14">
        <f>J10/K10</f>
        <v>9</v>
      </c>
      <c r="N10" s="2"/>
      <c r="O10" s="2" t="s">
        <v>1001</v>
      </c>
      <c r="P10" s="2" t="s">
        <v>882</v>
      </c>
    </row>
    <row r="11" spans="1:16" x14ac:dyDescent="0.25">
      <c r="A11" s="15" t="s">
        <v>1063</v>
      </c>
      <c r="B11" s="18" t="s">
        <v>1030</v>
      </c>
      <c r="C11" s="2" t="s">
        <v>32</v>
      </c>
      <c r="D11" s="2" t="str">
        <f>VLOOKUP($C11,Sheet1!$A$2:$B$10,2,0)</f>
        <v>114010-50820</v>
      </c>
      <c r="E11" s="8" t="s">
        <v>82</v>
      </c>
      <c r="F11" s="12">
        <v>46009</v>
      </c>
      <c r="G11" s="13">
        <v>0.27083333333333331</v>
      </c>
      <c r="H11" s="2" t="s">
        <v>76</v>
      </c>
      <c r="I11" s="2" t="s">
        <v>42</v>
      </c>
      <c r="J11" s="2">
        <v>21</v>
      </c>
      <c r="K11" s="14">
        <f>VLOOKUP($C11,Sheet1!$A$2:$D$10,4,0)</f>
        <v>1</v>
      </c>
      <c r="L11" s="14" t="str">
        <f>VLOOKUP($C11,Sheet1!$A$2:$E$10,5,0)</f>
        <v>Bin</v>
      </c>
      <c r="M11" s="14">
        <f>J11/K11</f>
        <v>21</v>
      </c>
      <c r="N11" s="2"/>
      <c r="O11" s="2" t="s">
        <v>1001</v>
      </c>
      <c r="P11" s="2" t="s">
        <v>878</v>
      </c>
    </row>
    <row r="12" spans="1:16" ht="15.75" thickBot="1" x14ac:dyDescent="0.3">
      <c r="A12" s="15" t="s">
        <v>1063</v>
      </c>
      <c r="B12" s="18" t="s">
        <v>1034</v>
      </c>
      <c r="C12" s="2" t="s">
        <v>29</v>
      </c>
      <c r="D12" s="2" t="str">
        <f>VLOOKUP($C12,Sheet1!$A$2:$B$10,2,0)</f>
        <v>114010-50830</v>
      </c>
      <c r="E12" s="8" t="s">
        <v>82</v>
      </c>
      <c r="F12" s="12">
        <v>46009</v>
      </c>
      <c r="G12" s="22">
        <v>0.27083333333333331</v>
      </c>
      <c r="H12" s="2" t="s">
        <v>76</v>
      </c>
      <c r="I12" s="2" t="s">
        <v>42</v>
      </c>
      <c r="J12" s="2">
        <v>35</v>
      </c>
      <c r="K12" s="14">
        <f>VLOOKUP($C12,Sheet1!$A$2:$D$10,4,0)</f>
        <v>1</v>
      </c>
      <c r="L12" s="14" t="str">
        <f>VLOOKUP($C12,Sheet1!$A$2:$E$10,5,0)</f>
        <v>Bin</v>
      </c>
      <c r="M12" s="14">
        <f>J12/K12</f>
        <v>35</v>
      </c>
      <c r="N12" s="2"/>
      <c r="O12" s="2" t="s">
        <v>1001</v>
      </c>
      <c r="P12" s="2" t="s">
        <v>1206</v>
      </c>
    </row>
    <row r="13" spans="1:16" ht="15.75" thickTop="1" x14ac:dyDescent="0.25">
      <c r="A13" s="15" t="s">
        <v>1069</v>
      </c>
      <c r="B13" s="18" t="s">
        <v>1067</v>
      </c>
      <c r="C13" s="2" t="s">
        <v>16</v>
      </c>
      <c r="D13" s="2" t="str">
        <f>VLOOKUP($C13,Sheet1!$A$2:$B$10,2,0)</f>
        <v>141140-91211</v>
      </c>
      <c r="E13" s="8" t="s">
        <v>57</v>
      </c>
      <c r="F13" s="12">
        <v>46009</v>
      </c>
      <c r="G13" s="35">
        <v>0.35416666666666669</v>
      </c>
      <c r="H13" s="2" t="s">
        <v>58</v>
      </c>
      <c r="I13" s="2" t="s">
        <v>42</v>
      </c>
      <c r="J13" s="2">
        <v>2</v>
      </c>
      <c r="K13" s="14">
        <f>VLOOKUP($C13,Sheet1!$A$2:$D$10,4,0)</f>
        <v>2</v>
      </c>
      <c r="L13" s="14" t="str">
        <f>VLOOKUP($C13,Sheet1!$A$2:$E$10,5,0)</f>
        <v>Bin</v>
      </c>
      <c r="M13" s="14">
        <f t="shared" ref="M13:M14" si="0">J13/K13</f>
        <v>1</v>
      </c>
      <c r="N13" s="2"/>
      <c r="O13" s="2" t="s">
        <v>1001</v>
      </c>
      <c r="P13" s="2" t="s">
        <v>1207</v>
      </c>
    </row>
    <row r="14" spans="1:16" x14ac:dyDescent="0.25">
      <c r="A14" s="15" t="s">
        <v>1070</v>
      </c>
      <c r="B14" s="18" t="s">
        <v>1068</v>
      </c>
      <c r="C14" s="2" t="s">
        <v>32</v>
      </c>
      <c r="D14" s="2" t="str">
        <f>VLOOKUP($C14,Sheet1!$A$2:$B$10,2,0)</f>
        <v>114010-50820</v>
      </c>
      <c r="E14" s="8" t="s">
        <v>82</v>
      </c>
      <c r="F14" s="12">
        <v>46009</v>
      </c>
      <c r="G14" s="21">
        <v>0.35416666666666669</v>
      </c>
      <c r="H14" s="2" t="s">
        <v>76</v>
      </c>
      <c r="I14" s="2" t="s">
        <v>42</v>
      </c>
      <c r="J14" s="2">
        <v>1</v>
      </c>
      <c r="K14" s="14">
        <f>VLOOKUP($C14,Sheet1!$A$2:$D$10,4,0)</f>
        <v>1</v>
      </c>
      <c r="L14" s="14" t="str">
        <f>VLOOKUP($C14,Sheet1!$A$2:$E$10,5,0)</f>
        <v>Bin</v>
      </c>
      <c r="M14" s="14">
        <f t="shared" si="0"/>
        <v>1</v>
      </c>
      <c r="N14" s="2"/>
      <c r="O14" s="2" t="s">
        <v>1001</v>
      </c>
      <c r="P14" s="2" t="s">
        <v>878</v>
      </c>
    </row>
    <row r="15" spans="1:16" s="11" customFormat="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>
        <v>121</v>
      </c>
      <c r="N15" s="10">
        <v>7</v>
      </c>
      <c r="O15" s="10"/>
      <c r="P15" s="10"/>
    </row>
    <row r="16" spans="1:16" x14ac:dyDescent="0.25">
      <c r="A16" s="15" t="s">
        <v>1060</v>
      </c>
      <c r="B16" s="18" t="s">
        <v>1003</v>
      </c>
      <c r="C16" s="2" t="s">
        <v>5</v>
      </c>
      <c r="D16" s="2" t="str">
        <f>VLOOKUP($C16,Sheet1!$A$2:$B$10,2,0)</f>
        <v>141110-14600</v>
      </c>
      <c r="E16" s="8" t="s">
        <v>40</v>
      </c>
      <c r="F16" s="12">
        <v>46009</v>
      </c>
      <c r="G16" s="13">
        <v>0.52083333333333337</v>
      </c>
      <c r="H16" s="2" t="s">
        <v>41</v>
      </c>
      <c r="I16" s="2" t="s">
        <v>42</v>
      </c>
      <c r="J16" s="2">
        <v>36</v>
      </c>
      <c r="K16" s="14">
        <f>VLOOKUP($C16,Sheet1!$A$2:$D$10,4,0)</f>
        <v>18</v>
      </c>
      <c r="L16" s="14" t="str">
        <f>VLOOKUP($C16,Sheet1!$A$2:$E$10,5,0)</f>
        <v>Trolley (H)</v>
      </c>
      <c r="M16" s="14"/>
      <c r="N16" s="51">
        <v>2</v>
      </c>
      <c r="O16" s="2" t="s">
        <v>113</v>
      </c>
      <c r="P16" s="2" t="s">
        <v>1121</v>
      </c>
    </row>
    <row r="17" spans="1:16" x14ac:dyDescent="0.25">
      <c r="A17" s="15" t="s">
        <v>1060</v>
      </c>
      <c r="B17" s="18" t="s">
        <v>1007</v>
      </c>
      <c r="C17" s="2" t="s">
        <v>9</v>
      </c>
      <c r="D17" s="2" t="str">
        <f>VLOOKUP($C17,Sheet1!$A$2:$B$10,2,0)</f>
        <v>141120-14600</v>
      </c>
      <c r="E17" s="8" t="s">
        <v>47</v>
      </c>
      <c r="F17" s="12">
        <v>46009</v>
      </c>
      <c r="G17" s="13">
        <v>0.52083333333333337</v>
      </c>
      <c r="H17" s="2" t="s">
        <v>41</v>
      </c>
      <c r="I17" s="2" t="s">
        <v>42</v>
      </c>
      <c r="J17" s="2">
        <v>36</v>
      </c>
      <c r="K17" s="14">
        <f>VLOOKUP($C17,Sheet1!$A$2:$D$10,4,0)</f>
        <v>18</v>
      </c>
      <c r="L17" s="14" t="str">
        <f>VLOOKUP($C17,Sheet1!$A$2:$E$10,5,0)</f>
        <v>Trolley (H)</v>
      </c>
      <c r="M17" s="14"/>
      <c r="N17" s="52"/>
      <c r="O17" s="2" t="s">
        <v>113</v>
      </c>
      <c r="P17" s="2" t="s">
        <v>1121</v>
      </c>
    </row>
    <row r="18" spans="1:16" x14ac:dyDescent="0.25">
      <c r="A18" s="15" t="s">
        <v>1060</v>
      </c>
      <c r="B18" s="18" t="s">
        <v>1011</v>
      </c>
      <c r="C18" s="2" t="s">
        <v>12</v>
      </c>
      <c r="D18" s="2" t="str">
        <f>VLOOKUP($C18,Sheet1!$A$2:$B$10,2,0)</f>
        <v>141185-74670</v>
      </c>
      <c r="E18" s="8" t="s">
        <v>52</v>
      </c>
      <c r="F18" s="12">
        <v>46009</v>
      </c>
      <c r="G18" s="13">
        <v>0.52083333333333337</v>
      </c>
      <c r="H18" s="2" t="s">
        <v>41</v>
      </c>
      <c r="I18" s="2" t="s">
        <v>42</v>
      </c>
      <c r="J18" s="2">
        <v>80</v>
      </c>
      <c r="K18" s="14">
        <f>VLOOKUP($C18,Sheet1!$A$2:$D$10,4,0)</f>
        <v>40</v>
      </c>
      <c r="L18" s="14" t="str">
        <f>VLOOKUP($C18,Sheet1!$A$2:$E$10,5,0)</f>
        <v>Trolley</v>
      </c>
      <c r="M18" s="14"/>
      <c r="N18" s="2">
        <f>J18/K18</f>
        <v>2</v>
      </c>
      <c r="O18" s="2" t="s">
        <v>113</v>
      </c>
      <c r="P18" s="2" t="s">
        <v>171</v>
      </c>
    </row>
    <row r="19" spans="1:16" x14ac:dyDescent="0.25">
      <c r="A19" s="15" t="s">
        <v>1060</v>
      </c>
      <c r="B19" s="18" t="s">
        <v>1015</v>
      </c>
      <c r="C19" s="2" t="s">
        <v>16</v>
      </c>
      <c r="D19" s="2" t="str">
        <f>VLOOKUP($C19,Sheet1!$A$2:$B$10,2,0)</f>
        <v>141140-91211</v>
      </c>
      <c r="E19" s="8" t="s">
        <v>57</v>
      </c>
      <c r="F19" s="12">
        <v>46009</v>
      </c>
      <c r="G19" s="13">
        <v>0.52083333333333337</v>
      </c>
      <c r="H19" s="2" t="s">
        <v>58</v>
      </c>
      <c r="I19" s="2" t="s">
        <v>42</v>
      </c>
      <c r="J19" s="2">
        <v>40</v>
      </c>
      <c r="K19" s="14">
        <f>VLOOKUP($C19,Sheet1!$A$2:$D$10,4,0)</f>
        <v>2</v>
      </c>
      <c r="L19" s="14" t="str">
        <f>VLOOKUP($C19,Sheet1!$A$2:$E$10,5,0)</f>
        <v>Bin</v>
      </c>
      <c r="M19" s="14">
        <f>J19/K19</f>
        <v>20</v>
      </c>
      <c r="N19" s="2"/>
      <c r="O19" s="2" t="s">
        <v>113</v>
      </c>
      <c r="P19" s="2" t="s">
        <v>1208</v>
      </c>
    </row>
    <row r="20" spans="1:16" x14ac:dyDescent="0.25">
      <c r="A20" s="15" t="s">
        <v>1060</v>
      </c>
      <c r="B20" s="18" t="s">
        <v>1019</v>
      </c>
      <c r="C20" s="2" t="s">
        <v>20</v>
      </c>
      <c r="D20" s="2" t="str">
        <f>VLOOKUP($C20,Sheet1!$A$2:$B$10,2,0)</f>
        <v>141150-91211</v>
      </c>
      <c r="E20" s="8" t="s">
        <v>64</v>
      </c>
      <c r="F20" s="12">
        <v>46009</v>
      </c>
      <c r="G20" s="13">
        <v>0.52083333333333337</v>
      </c>
      <c r="H20" s="2" t="s">
        <v>58</v>
      </c>
      <c r="I20" s="2" t="s">
        <v>42</v>
      </c>
      <c r="J20" s="2">
        <v>40</v>
      </c>
      <c r="K20" s="14">
        <f>VLOOKUP($C20,Sheet1!$A$2:$D$10,4,0)</f>
        <v>2</v>
      </c>
      <c r="L20" s="14" t="str">
        <f>VLOOKUP($C20,Sheet1!$A$2:$E$10,5,0)</f>
        <v>Bin</v>
      </c>
      <c r="M20" s="14">
        <f>J20/K20</f>
        <v>20</v>
      </c>
      <c r="N20" s="2"/>
      <c r="O20" s="2" t="s">
        <v>113</v>
      </c>
      <c r="P20" s="2" t="s">
        <v>1208</v>
      </c>
    </row>
    <row r="21" spans="1:16" x14ac:dyDescent="0.25">
      <c r="A21" s="15" t="s">
        <v>1060</v>
      </c>
      <c r="B21" s="18" t="s">
        <v>1023</v>
      </c>
      <c r="C21" s="2" t="s">
        <v>23</v>
      </c>
      <c r="D21" s="2" t="str">
        <f>VLOOKUP($C21,Sheet1!$A$2:$B$10,2,0)</f>
        <v>141186-74360</v>
      </c>
      <c r="E21" s="8" t="s">
        <v>70</v>
      </c>
      <c r="F21" s="12">
        <v>46009</v>
      </c>
      <c r="G21" s="13">
        <v>0.52083333333333337</v>
      </c>
      <c r="H21" s="2" t="s">
        <v>58</v>
      </c>
      <c r="I21" s="2" t="s">
        <v>42</v>
      </c>
      <c r="J21" s="2">
        <v>80</v>
      </c>
      <c r="K21" s="14">
        <f>VLOOKUP($C21,Sheet1!$A$2:$D$10,4,0)</f>
        <v>40</v>
      </c>
      <c r="L21" s="14" t="str">
        <f>VLOOKUP($C21,Sheet1!$A$2:$E$10,5,0)</f>
        <v>Trolley</v>
      </c>
      <c r="M21" s="14"/>
      <c r="N21" s="2">
        <f>J21/K21</f>
        <v>2</v>
      </c>
      <c r="O21" s="2" t="s">
        <v>113</v>
      </c>
      <c r="P21" s="2" t="s">
        <v>1209</v>
      </c>
    </row>
    <row r="22" spans="1:16" x14ac:dyDescent="0.25">
      <c r="A22" s="15" t="s">
        <v>1064</v>
      </c>
      <c r="B22" s="18" t="s">
        <v>1027</v>
      </c>
      <c r="C22" s="2" t="s">
        <v>26</v>
      </c>
      <c r="D22" s="2" t="str">
        <f>VLOOKUP($C22,Sheet1!$A$2:$B$10,2,0)</f>
        <v>116040-92240</v>
      </c>
      <c r="E22" s="8" t="s">
        <v>75</v>
      </c>
      <c r="F22" s="12">
        <v>46009</v>
      </c>
      <c r="G22" s="13">
        <v>0.52083333333333337</v>
      </c>
      <c r="H22" s="2" t="s">
        <v>76</v>
      </c>
      <c r="I22" s="2" t="s">
        <v>42</v>
      </c>
      <c r="J22" s="2">
        <v>42</v>
      </c>
      <c r="K22" s="14">
        <f>VLOOKUP($C22,Sheet1!$A$2:$D$10,4,0)</f>
        <v>6</v>
      </c>
      <c r="L22" s="14" t="str">
        <f>VLOOKUP($C22,Sheet1!$A$2:$E$10,5,0)</f>
        <v>Bin</v>
      </c>
      <c r="M22" s="14">
        <f>J22/K22</f>
        <v>7</v>
      </c>
      <c r="N22" s="2"/>
      <c r="O22" s="2" t="s">
        <v>113</v>
      </c>
      <c r="P22" s="2" t="s">
        <v>882</v>
      </c>
    </row>
    <row r="23" spans="1:16" x14ac:dyDescent="0.25">
      <c r="A23" s="15" t="s">
        <v>1064</v>
      </c>
      <c r="B23" s="18" t="s">
        <v>1031</v>
      </c>
      <c r="C23" s="2" t="s">
        <v>32</v>
      </c>
      <c r="D23" s="2" t="str">
        <f>VLOOKUP($C23,Sheet1!$A$2:$B$10,2,0)</f>
        <v>114010-50820</v>
      </c>
      <c r="E23" s="8" t="s">
        <v>82</v>
      </c>
      <c r="F23" s="12">
        <v>46009</v>
      </c>
      <c r="G23" s="13">
        <v>0.52083333333333337</v>
      </c>
      <c r="H23" s="2" t="s">
        <v>76</v>
      </c>
      <c r="I23" s="2" t="s">
        <v>42</v>
      </c>
      <c r="J23" s="2">
        <v>21</v>
      </c>
      <c r="K23" s="14">
        <f>VLOOKUP($C23,Sheet1!$A$2:$D$10,4,0)</f>
        <v>1</v>
      </c>
      <c r="L23" s="14" t="str">
        <f>VLOOKUP($C23,Sheet1!$A$2:$E$10,5,0)</f>
        <v>Bin</v>
      </c>
      <c r="M23" s="14">
        <f>J23/K23</f>
        <v>21</v>
      </c>
      <c r="N23" s="2"/>
      <c r="O23" s="2" t="s">
        <v>113</v>
      </c>
      <c r="P23" s="2" t="s">
        <v>878</v>
      </c>
    </row>
    <row r="24" spans="1:16" x14ac:dyDescent="0.25">
      <c r="A24" s="15" t="s">
        <v>1064</v>
      </c>
      <c r="B24" s="18" t="s">
        <v>1035</v>
      </c>
      <c r="C24" s="2" t="s">
        <v>29</v>
      </c>
      <c r="D24" s="2" t="str">
        <f>VLOOKUP($C24,Sheet1!$A$2:$B$10,2,0)</f>
        <v>114010-50830</v>
      </c>
      <c r="E24" s="8" t="s">
        <v>82</v>
      </c>
      <c r="F24" s="12">
        <v>46009</v>
      </c>
      <c r="G24" s="13">
        <v>0.52083333333333337</v>
      </c>
      <c r="H24" s="2" t="s">
        <v>76</v>
      </c>
      <c r="I24" s="2" t="s">
        <v>42</v>
      </c>
      <c r="J24" s="2">
        <v>24</v>
      </c>
      <c r="K24" s="14">
        <f>VLOOKUP($C24,Sheet1!$A$2:$D$10,4,0)</f>
        <v>1</v>
      </c>
      <c r="L24" s="14" t="str">
        <f>VLOOKUP($C24,Sheet1!$A$2:$E$10,5,0)</f>
        <v>Bin</v>
      </c>
      <c r="M24" s="14">
        <f>J24/K24</f>
        <v>24</v>
      </c>
      <c r="N24" s="2"/>
      <c r="O24" s="2" t="s">
        <v>113</v>
      </c>
      <c r="P24" s="2" t="s">
        <v>1056</v>
      </c>
    </row>
    <row r="25" spans="1:16" s="11" customForma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>
        <v>92</v>
      </c>
      <c r="N25" s="10">
        <v>6</v>
      </c>
      <c r="O25" s="10"/>
      <c r="P25" s="10"/>
    </row>
    <row r="26" spans="1:16" x14ac:dyDescent="0.25">
      <c r="A26" s="15" t="s">
        <v>1061</v>
      </c>
      <c r="B26" s="18" t="s">
        <v>1004</v>
      </c>
      <c r="C26" s="2" t="s">
        <v>5</v>
      </c>
      <c r="D26" s="2" t="str">
        <f>VLOOKUP($C26,Sheet1!$A$2:$B$10,2,0)</f>
        <v>141110-14600</v>
      </c>
      <c r="E26" s="8" t="s">
        <v>40</v>
      </c>
      <c r="F26" s="12">
        <v>46009</v>
      </c>
      <c r="G26" s="13">
        <v>0.60416666666666663</v>
      </c>
      <c r="H26" s="2" t="s">
        <v>41</v>
      </c>
      <c r="I26" s="2" t="s">
        <v>42</v>
      </c>
      <c r="J26" s="2">
        <v>36</v>
      </c>
      <c r="K26" s="14">
        <f>VLOOKUP($C26,Sheet1!$A$2:$D$10,4,0)</f>
        <v>18</v>
      </c>
      <c r="L26" s="14" t="str">
        <f>VLOOKUP($C26,Sheet1!$A$2:$E$10,5,0)</f>
        <v>Trolley (H)</v>
      </c>
      <c r="M26" s="14"/>
      <c r="N26" s="51">
        <v>2</v>
      </c>
      <c r="O26" s="2" t="s">
        <v>112</v>
      </c>
      <c r="P26" s="2" t="s">
        <v>1210</v>
      </c>
    </row>
    <row r="27" spans="1:16" x14ac:dyDescent="0.25">
      <c r="A27" s="15" t="s">
        <v>1061</v>
      </c>
      <c r="B27" s="18" t="s">
        <v>1008</v>
      </c>
      <c r="C27" s="2" t="s">
        <v>9</v>
      </c>
      <c r="D27" s="2" t="str">
        <f>VLOOKUP($C27,Sheet1!$A$2:$B$10,2,0)</f>
        <v>141120-14600</v>
      </c>
      <c r="E27" s="8" t="s">
        <v>47</v>
      </c>
      <c r="F27" s="12">
        <v>46009</v>
      </c>
      <c r="G27" s="13">
        <v>0.60416666666666663</v>
      </c>
      <c r="H27" s="2" t="s">
        <v>41</v>
      </c>
      <c r="I27" s="2" t="s">
        <v>42</v>
      </c>
      <c r="J27" s="2">
        <v>36</v>
      </c>
      <c r="K27" s="14">
        <f>VLOOKUP($C27,Sheet1!$A$2:$D$10,4,0)</f>
        <v>18</v>
      </c>
      <c r="L27" s="14" t="str">
        <f>VLOOKUP($C27,Sheet1!$A$2:$E$10,5,0)</f>
        <v>Trolley (H)</v>
      </c>
      <c r="M27" s="14"/>
      <c r="N27" s="52"/>
      <c r="O27" s="2" t="s">
        <v>112</v>
      </c>
      <c r="P27" s="2" t="s">
        <v>1210</v>
      </c>
    </row>
    <row r="28" spans="1:16" x14ac:dyDescent="0.25">
      <c r="A28" s="15" t="s">
        <v>1061</v>
      </c>
      <c r="B28" s="18" t="s">
        <v>1012</v>
      </c>
      <c r="C28" s="2" t="s">
        <v>12</v>
      </c>
      <c r="D28" s="2" t="str">
        <f>VLOOKUP($C28,Sheet1!$A$2:$B$10,2,0)</f>
        <v>141185-74670</v>
      </c>
      <c r="E28" s="8" t="s">
        <v>52</v>
      </c>
      <c r="F28" s="12">
        <v>46009</v>
      </c>
      <c r="G28" s="13">
        <v>0.60416666666666663</v>
      </c>
      <c r="H28" s="2" t="s">
        <v>41</v>
      </c>
      <c r="I28" s="2" t="s">
        <v>42</v>
      </c>
      <c r="J28" s="2">
        <v>80</v>
      </c>
      <c r="K28" s="14">
        <f>VLOOKUP($C28,Sheet1!$A$2:$D$10,4,0)</f>
        <v>40</v>
      </c>
      <c r="L28" s="14" t="str">
        <f>VLOOKUP($C28,Sheet1!$A$2:$E$10,5,0)</f>
        <v>Trolley</v>
      </c>
      <c r="M28" s="14"/>
      <c r="N28" s="2">
        <f>J28/K28</f>
        <v>2</v>
      </c>
      <c r="O28" s="2" t="s">
        <v>112</v>
      </c>
      <c r="P28" s="2" t="s">
        <v>1211</v>
      </c>
    </row>
    <row r="29" spans="1:16" x14ac:dyDescent="0.25">
      <c r="A29" s="15" t="s">
        <v>1061</v>
      </c>
      <c r="B29" s="18" t="s">
        <v>1016</v>
      </c>
      <c r="C29" s="2" t="s">
        <v>16</v>
      </c>
      <c r="D29" s="2" t="str">
        <f>VLOOKUP($C29,Sheet1!$A$2:$B$10,2,0)</f>
        <v>141140-91211</v>
      </c>
      <c r="E29" s="8" t="s">
        <v>57</v>
      </c>
      <c r="F29" s="12">
        <v>46009</v>
      </c>
      <c r="G29" s="13">
        <v>0.60416666666666663</v>
      </c>
      <c r="H29" s="2" t="s">
        <v>58</v>
      </c>
      <c r="I29" s="2" t="s">
        <v>42</v>
      </c>
      <c r="J29" s="2">
        <v>40</v>
      </c>
      <c r="K29" s="14">
        <f>VLOOKUP($C29,Sheet1!$A$2:$D$10,4,0)</f>
        <v>2</v>
      </c>
      <c r="L29" s="14" t="str">
        <f>VLOOKUP($C29,Sheet1!$A$2:$E$10,5,0)</f>
        <v>Bin</v>
      </c>
      <c r="M29" s="14">
        <f>J29/K29</f>
        <v>20</v>
      </c>
      <c r="N29" s="2"/>
      <c r="O29" s="2" t="s">
        <v>112</v>
      </c>
      <c r="P29" s="2" t="s">
        <v>171</v>
      </c>
    </row>
    <row r="30" spans="1:16" x14ac:dyDescent="0.25">
      <c r="A30" s="15" t="s">
        <v>1061</v>
      </c>
      <c r="B30" s="18" t="s">
        <v>1020</v>
      </c>
      <c r="C30" s="2" t="s">
        <v>20</v>
      </c>
      <c r="D30" s="2" t="str">
        <f>VLOOKUP($C30,Sheet1!$A$2:$B$10,2,0)</f>
        <v>141150-91211</v>
      </c>
      <c r="E30" s="8" t="s">
        <v>64</v>
      </c>
      <c r="F30" s="12">
        <v>46009</v>
      </c>
      <c r="G30" s="13">
        <v>0.60416666666666663</v>
      </c>
      <c r="H30" s="2" t="s">
        <v>58</v>
      </c>
      <c r="I30" s="2" t="s">
        <v>42</v>
      </c>
      <c r="J30" s="2">
        <v>40</v>
      </c>
      <c r="K30" s="14">
        <f>VLOOKUP($C30,Sheet1!$A$2:$D$10,4,0)</f>
        <v>2</v>
      </c>
      <c r="L30" s="14" t="str">
        <f>VLOOKUP($C30,Sheet1!$A$2:$E$10,5,0)</f>
        <v>Bin</v>
      </c>
      <c r="M30" s="14">
        <f>J30/K30</f>
        <v>20</v>
      </c>
      <c r="N30" s="2"/>
      <c r="O30" s="2" t="s">
        <v>112</v>
      </c>
      <c r="P30" s="2" t="s">
        <v>171</v>
      </c>
    </row>
    <row r="31" spans="1:16" x14ac:dyDescent="0.25">
      <c r="A31" s="15" t="s">
        <v>1061</v>
      </c>
      <c r="B31" s="18" t="s">
        <v>1024</v>
      </c>
      <c r="C31" s="2" t="s">
        <v>23</v>
      </c>
      <c r="D31" s="2" t="str">
        <f>VLOOKUP($C31,Sheet1!$A$2:$B$10,2,0)</f>
        <v>141186-74360</v>
      </c>
      <c r="E31" s="8" t="s">
        <v>70</v>
      </c>
      <c r="F31" s="12">
        <v>46009</v>
      </c>
      <c r="G31" s="13">
        <v>0.60416666666666663</v>
      </c>
      <c r="H31" s="2" t="s">
        <v>58</v>
      </c>
      <c r="I31" s="2" t="s">
        <v>42</v>
      </c>
      <c r="J31" s="2">
        <v>80</v>
      </c>
      <c r="K31" s="14">
        <f>VLOOKUP($C31,Sheet1!$A$2:$D$10,4,0)</f>
        <v>40</v>
      </c>
      <c r="L31" s="14" t="str">
        <f>VLOOKUP($C31,Sheet1!$A$2:$E$10,5,0)</f>
        <v>Trolley</v>
      </c>
      <c r="M31" s="14"/>
      <c r="N31" s="2">
        <f>J31/K31</f>
        <v>2</v>
      </c>
      <c r="O31" s="2" t="s">
        <v>112</v>
      </c>
      <c r="P31" s="2">
        <v>910103483</v>
      </c>
    </row>
    <row r="32" spans="1:16" x14ac:dyDescent="0.25">
      <c r="A32" s="15" t="s">
        <v>1065</v>
      </c>
      <c r="B32" s="18" t="s">
        <v>1028</v>
      </c>
      <c r="C32" s="2" t="s">
        <v>26</v>
      </c>
      <c r="D32" s="2" t="str">
        <f>VLOOKUP($C32,Sheet1!$A$2:$B$10,2,0)</f>
        <v>116040-92240</v>
      </c>
      <c r="E32" s="8" t="s">
        <v>75</v>
      </c>
      <c r="F32" s="12">
        <v>46009</v>
      </c>
      <c r="G32" s="13">
        <v>0.60416666666666663</v>
      </c>
      <c r="H32" s="2" t="s">
        <v>76</v>
      </c>
      <c r="I32" s="2" t="s">
        <v>42</v>
      </c>
      <c r="J32" s="2">
        <v>42</v>
      </c>
      <c r="K32" s="14">
        <f>VLOOKUP($C32,Sheet1!$A$2:$D$10,4,0)</f>
        <v>6</v>
      </c>
      <c r="L32" s="14" t="str">
        <f>VLOOKUP($C32,Sheet1!$A$2:$E$10,5,0)</f>
        <v>Bin</v>
      </c>
      <c r="M32" s="14">
        <f>J32/K32</f>
        <v>7</v>
      </c>
      <c r="N32" s="2"/>
      <c r="O32" s="2" t="s">
        <v>112</v>
      </c>
      <c r="P32" s="2" t="s">
        <v>1212</v>
      </c>
    </row>
    <row r="33" spans="1:16" x14ac:dyDescent="0.25">
      <c r="A33" s="15" t="s">
        <v>1065</v>
      </c>
      <c r="B33" s="18" t="s">
        <v>1032</v>
      </c>
      <c r="C33" s="2" t="s">
        <v>32</v>
      </c>
      <c r="D33" s="2" t="str">
        <f>VLOOKUP($C33,Sheet1!$A$2:$B$10,2,0)</f>
        <v>114010-50820</v>
      </c>
      <c r="E33" s="8" t="s">
        <v>82</v>
      </c>
      <c r="F33" s="12">
        <v>46009</v>
      </c>
      <c r="G33" s="13">
        <v>0.60416666666666663</v>
      </c>
      <c r="H33" s="2" t="s">
        <v>76</v>
      </c>
      <c r="I33" s="2" t="s">
        <v>42</v>
      </c>
      <c r="J33" s="2">
        <v>17</v>
      </c>
      <c r="K33" s="14">
        <f>VLOOKUP($C33,Sheet1!$A$2:$D$10,4,0)</f>
        <v>1</v>
      </c>
      <c r="L33" s="14" t="str">
        <f>VLOOKUP($C33,Sheet1!$A$2:$E$10,5,0)</f>
        <v>Bin</v>
      </c>
      <c r="M33" s="14">
        <f>J33/K33</f>
        <v>17</v>
      </c>
      <c r="N33" s="2"/>
      <c r="O33" s="2" t="s">
        <v>112</v>
      </c>
      <c r="P33" s="2" t="s">
        <v>878</v>
      </c>
    </row>
    <row r="34" spans="1:16" x14ac:dyDescent="0.25">
      <c r="A34" s="15" t="s">
        <v>1065</v>
      </c>
      <c r="B34" s="18" t="s">
        <v>1036</v>
      </c>
      <c r="C34" s="2" t="s">
        <v>29</v>
      </c>
      <c r="D34" s="2" t="str">
        <f>VLOOKUP($C34,Sheet1!$A$2:$B$10,2,0)</f>
        <v>114010-50830</v>
      </c>
      <c r="E34" s="8" t="s">
        <v>82</v>
      </c>
      <c r="F34" s="12">
        <v>46009</v>
      </c>
      <c r="G34" s="13">
        <v>0.60416666666666663</v>
      </c>
      <c r="H34" s="2" t="s">
        <v>76</v>
      </c>
      <c r="I34" s="2" t="s">
        <v>42</v>
      </c>
      <c r="J34" s="2">
        <v>23</v>
      </c>
      <c r="K34" s="14">
        <f>VLOOKUP($C34,Sheet1!$A$2:$D$10,4,0)</f>
        <v>1</v>
      </c>
      <c r="L34" s="14" t="str">
        <f>VLOOKUP($C34,Sheet1!$A$2:$E$10,5,0)</f>
        <v>Bin</v>
      </c>
      <c r="M34" s="14">
        <f>J34/K34</f>
        <v>23</v>
      </c>
      <c r="N34" s="2"/>
      <c r="O34" s="2" t="s">
        <v>112</v>
      </c>
      <c r="P34" s="2" t="s">
        <v>1056</v>
      </c>
    </row>
    <row r="35" spans="1:16" s="11" customForma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>
        <v>87</v>
      </c>
      <c r="N35" s="10">
        <v>6</v>
      </c>
      <c r="O35" s="10"/>
      <c r="P35" s="10"/>
    </row>
    <row r="36" spans="1:16" x14ac:dyDescent="0.25">
      <c r="A36" s="15" t="s">
        <v>1062</v>
      </c>
      <c r="B36" s="18" t="s">
        <v>1005</v>
      </c>
      <c r="C36" s="2" t="s">
        <v>5</v>
      </c>
      <c r="D36" s="2" t="str">
        <f>VLOOKUP($C36,Sheet1!$A$2:$B$10,2,0)</f>
        <v>141110-14600</v>
      </c>
      <c r="E36" s="8" t="s">
        <v>40</v>
      </c>
      <c r="F36" s="12">
        <v>46009</v>
      </c>
      <c r="G36" s="13">
        <v>0.72916666666666663</v>
      </c>
      <c r="H36" s="2" t="s">
        <v>41</v>
      </c>
      <c r="I36" s="2" t="s">
        <v>42</v>
      </c>
      <c r="J36" s="2">
        <v>36</v>
      </c>
      <c r="K36" s="14">
        <f>VLOOKUP($C36,Sheet1!$A$2:$D$10,4,0)</f>
        <v>18</v>
      </c>
      <c r="L36" s="14" t="str">
        <f>VLOOKUP($C36,Sheet1!$A$2:$E$10,5,0)</f>
        <v>Trolley (H)</v>
      </c>
      <c r="M36" s="14"/>
      <c r="N36" s="51">
        <v>2</v>
      </c>
      <c r="O36" s="2" t="s">
        <v>861</v>
      </c>
      <c r="P36" s="2" t="s">
        <v>1210</v>
      </c>
    </row>
    <row r="37" spans="1:16" x14ac:dyDescent="0.25">
      <c r="A37" s="15" t="s">
        <v>1062</v>
      </c>
      <c r="B37" s="18" t="s">
        <v>1009</v>
      </c>
      <c r="C37" s="2" t="s">
        <v>9</v>
      </c>
      <c r="D37" s="2" t="str">
        <f>VLOOKUP($C37,Sheet1!$A$2:$B$10,2,0)</f>
        <v>141120-14600</v>
      </c>
      <c r="E37" s="8" t="s">
        <v>47</v>
      </c>
      <c r="F37" s="12">
        <v>46009</v>
      </c>
      <c r="G37" s="13">
        <v>0.72916666666666663</v>
      </c>
      <c r="H37" s="2" t="s">
        <v>41</v>
      </c>
      <c r="I37" s="2" t="s">
        <v>42</v>
      </c>
      <c r="J37" s="2">
        <v>36</v>
      </c>
      <c r="K37" s="14">
        <f>VLOOKUP($C37,Sheet1!$A$2:$D$10,4,0)</f>
        <v>18</v>
      </c>
      <c r="L37" s="14" t="str">
        <f>VLOOKUP($C37,Sheet1!$A$2:$E$10,5,0)</f>
        <v>Trolley (H)</v>
      </c>
      <c r="M37" s="14"/>
      <c r="N37" s="52"/>
      <c r="O37" s="2" t="s">
        <v>861</v>
      </c>
      <c r="P37" s="2" t="s">
        <v>1210</v>
      </c>
    </row>
    <row r="38" spans="1:16" x14ac:dyDescent="0.25">
      <c r="A38" s="15" t="s">
        <v>1062</v>
      </c>
      <c r="B38" s="18" t="s">
        <v>1013</v>
      </c>
      <c r="C38" s="2" t="s">
        <v>12</v>
      </c>
      <c r="D38" s="2" t="str">
        <f>VLOOKUP($C38,Sheet1!$A$2:$B$10,2,0)</f>
        <v>141185-74670</v>
      </c>
      <c r="E38" s="8" t="s">
        <v>52</v>
      </c>
      <c r="F38" s="12">
        <v>46009</v>
      </c>
      <c r="G38" s="13">
        <v>0.72916666666666663</v>
      </c>
      <c r="H38" s="2" t="s">
        <v>41</v>
      </c>
      <c r="I38" s="2" t="s">
        <v>42</v>
      </c>
      <c r="J38" s="2">
        <v>120</v>
      </c>
      <c r="K38" s="14">
        <f>VLOOKUP($C38,Sheet1!$A$2:$D$10,4,0)</f>
        <v>40</v>
      </c>
      <c r="L38" s="14" t="str">
        <f>VLOOKUP($C38,Sheet1!$A$2:$E$10,5,0)</f>
        <v>Trolley</v>
      </c>
      <c r="M38" s="14"/>
      <c r="N38" s="2">
        <f>J38/K38</f>
        <v>3</v>
      </c>
      <c r="O38" s="2" t="s">
        <v>861</v>
      </c>
      <c r="P38" s="2">
        <v>910103483</v>
      </c>
    </row>
    <row r="39" spans="1:16" x14ac:dyDescent="0.25">
      <c r="A39" s="15" t="s">
        <v>1062</v>
      </c>
      <c r="B39" s="18" t="s">
        <v>1017</v>
      </c>
      <c r="C39" s="2" t="s">
        <v>16</v>
      </c>
      <c r="D39" s="2" t="str">
        <f>VLOOKUP($C39,Sheet1!$A$2:$B$10,2,0)</f>
        <v>141140-91211</v>
      </c>
      <c r="E39" s="8" t="s">
        <v>57</v>
      </c>
      <c r="F39" s="12">
        <v>46009</v>
      </c>
      <c r="G39" s="13">
        <v>0.72916666666666663</v>
      </c>
      <c r="H39" s="2" t="s">
        <v>58</v>
      </c>
      <c r="I39" s="2" t="s">
        <v>42</v>
      </c>
      <c r="J39" s="2">
        <v>38</v>
      </c>
      <c r="K39" s="14">
        <f>VLOOKUP($C39,Sheet1!$A$2:$D$10,4,0)</f>
        <v>2</v>
      </c>
      <c r="L39" s="14" t="str">
        <f>VLOOKUP($C39,Sheet1!$A$2:$E$10,5,0)</f>
        <v>Bin</v>
      </c>
      <c r="M39" s="14">
        <f>J39/K39</f>
        <v>19</v>
      </c>
      <c r="N39" s="2"/>
      <c r="O39" s="2" t="s">
        <v>861</v>
      </c>
      <c r="P39" s="2" t="s">
        <v>1214</v>
      </c>
    </row>
    <row r="40" spans="1:16" x14ac:dyDescent="0.25">
      <c r="A40" s="15" t="s">
        <v>1062</v>
      </c>
      <c r="B40" s="18" t="s">
        <v>1021</v>
      </c>
      <c r="C40" s="2" t="s">
        <v>20</v>
      </c>
      <c r="D40" s="2" t="str">
        <f>VLOOKUP($C40,Sheet1!$A$2:$B$10,2,0)</f>
        <v>141150-91211</v>
      </c>
      <c r="E40" s="8" t="s">
        <v>64</v>
      </c>
      <c r="F40" s="12">
        <v>46009</v>
      </c>
      <c r="G40" s="13">
        <v>0.72916666666666663</v>
      </c>
      <c r="H40" s="2" t="s">
        <v>58</v>
      </c>
      <c r="I40" s="2" t="s">
        <v>42</v>
      </c>
      <c r="J40" s="2">
        <v>38</v>
      </c>
      <c r="K40" s="14">
        <f>VLOOKUP($C40,Sheet1!$A$2:$D$10,4,0)</f>
        <v>2</v>
      </c>
      <c r="L40" s="14" t="str">
        <f>VLOOKUP($C40,Sheet1!$A$2:$E$10,5,0)</f>
        <v>Bin</v>
      </c>
      <c r="M40" s="14">
        <f>J40/K40</f>
        <v>19</v>
      </c>
      <c r="N40" s="2"/>
      <c r="O40" s="2" t="s">
        <v>861</v>
      </c>
      <c r="P40" s="2" t="s">
        <v>1215</v>
      </c>
    </row>
    <row r="41" spans="1:16" x14ac:dyDescent="0.25">
      <c r="A41" s="15" t="s">
        <v>1062</v>
      </c>
      <c r="B41" s="18" t="s">
        <v>1025</v>
      </c>
      <c r="C41" s="2" t="s">
        <v>23</v>
      </c>
      <c r="D41" s="2" t="str">
        <f>VLOOKUP($C41,Sheet1!$A$2:$B$10,2,0)</f>
        <v>141186-74360</v>
      </c>
      <c r="E41" s="8" t="s">
        <v>70</v>
      </c>
      <c r="F41" s="12">
        <v>46009</v>
      </c>
      <c r="G41" s="13">
        <v>0.72916666666666663</v>
      </c>
      <c r="H41" s="2" t="s">
        <v>58</v>
      </c>
      <c r="I41" s="2" t="s">
        <v>42</v>
      </c>
      <c r="J41" s="2">
        <v>120</v>
      </c>
      <c r="K41" s="14">
        <f>VLOOKUP($C41,Sheet1!$A$2:$D$10,4,0)</f>
        <v>40</v>
      </c>
      <c r="L41" s="14" t="str">
        <f>VLOOKUP($C41,Sheet1!$A$2:$E$10,5,0)</f>
        <v>Trolley</v>
      </c>
      <c r="M41" s="14"/>
      <c r="N41" s="2">
        <f>J41/K41</f>
        <v>3</v>
      </c>
      <c r="O41" s="2" t="s">
        <v>861</v>
      </c>
      <c r="P41" s="2">
        <v>910103483</v>
      </c>
    </row>
    <row r="42" spans="1:16" x14ac:dyDescent="0.25">
      <c r="A42" s="15" t="s">
        <v>1066</v>
      </c>
      <c r="B42" s="18" t="s">
        <v>1029</v>
      </c>
      <c r="C42" s="2" t="s">
        <v>26</v>
      </c>
      <c r="D42" s="2" t="str">
        <f>VLOOKUP($C42,Sheet1!$A$2:$B$10,2,0)</f>
        <v>116040-92240</v>
      </c>
      <c r="E42" s="8" t="s">
        <v>75</v>
      </c>
      <c r="F42" s="12">
        <v>46009</v>
      </c>
      <c r="G42" s="13">
        <v>0.72916666666666663</v>
      </c>
      <c r="H42" s="2" t="s">
        <v>76</v>
      </c>
      <c r="I42" s="2" t="s">
        <v>42</v>
      </c>
      <c r="J42" s="2">
        <v>36</v>
      </c>
      <c r="K42" s="14">
        <f>VLOOKUP($C42,Sheet1!$A$2:$D$10,4,0)</f>
        <v>6</v>
      </c>
      <c r="L42" s="14" t="str">
        <f>VLOOKUP($C42,Sheet1!$A$2:$E$10,5,0)</f>
        <v>Bin</v>
      </c>
      <c r="M42" s="14">
        <f>J42/K42</f>
        <v>6</v>
      </c>
      <c r="N42" s="2"/>
      <c r="O42" s="2" t="s">
        <v>861</v>
      </c>
      <c r="P42" s="2" t="s">
        <v>1213</v>
      </c>
    </row>
    <row r="43" spans="1:16" x14ac:dyDescent="0.25">
      <c r="A43" s="15" t="s">
        <v>1066</v>
      </c>
      <c r="B43" s="18" t="s">
        <v>1033</v>
      </c>
      <c r="C43" s="2" t="s">
        <v>32</v>
      </c>
      <c r="D43" s="2" t="str">
        <f>VLOOKUP($C43,Sheet1!$A$2:$B$10,2,0)</f>
        <v>114010-50820</v>
      </c>
      <c r="E43" s="8" t="s">
        <v>82</v>
      </c>
      <c r="F43" s="12">
        <v>46009</v>
      </c>
      <c r="G43" s="13">
        <v>0.72916666666666663</v>
      </c>
      <c r="H43" s="2" t="s">
        <v>76</v>
      </c>
      <c r="I43" s="2" t="s">
        <v>42</v>
      </c>
      <c r="J43" s="2">
        <v>14</v>
      </c>
      <c r="K43" s="14">
        <f>VLOOKUP($C43,Sheet1!$A$2:$D$10,4,0)</f>
        <v>1</v>
      </c>
      <c r="L43" s="14" t="str">
        <f>VLOOKUP($C43,Sheet1!$A$2:$E$10,5,0)</f>
        <v>Bin</v>
      </c>
      <c r="M43" s="14">
        <f>J43/K43</f>
        <v>14</v>
      </c>
      <c r="N43" s="2"/>
      <c r="O43" s="2" t="s">
        <v>861</v>
      </c>
      <c r="P43" s="2" t="s">
        <v>878</v>
      </c>
    </row>
    <row r="44" spans="1:16" x14ac:dyDescent="0.25">
      <c r="A44" s="15" t="s">
        <v>1066</v>
      </c>
      <c r="B44" s="18" t="s">
        <v>1037</v>
      </c>
      <c r="C44" s="2" t="s">
        <v>29</v>
      </c>
      <c r="D44" s="2" t="str">
        <f>VLOOKUP($C44,Sheet1!$A$2:$B$10,2,0)</f>
        <v>114010-50830</v>
      </c>
      <c r="E44" s="8" t="s">
        <v>82</v>
      </c>
      <c r="F44" s="12">
        <v>46009</v>
      </c>
      <c r="G44" s="13">
        <v>0.72916666666666663</v>
      </c>
      <c r="H44" s="2" t="s">
        <v>76</v>
      </c>
      <c r="I44" s="2" t="s">
        <v>42</v>
      </c>
      <c r="J44" s="2">
        <v>19</v>
      </c>
      <c r="K44" s="14">
        <f>VLOOKUP($C44,Sheet1!$A$2:$D$10,4,0)</f>
        <v>1</v>
      </c>
      <c r="L44" s="14" t="str">
        <f>VLOOKUP($C44,Sheet1!$A$2:$E$10,5,0)</f>
        <v>Bin</v>
      </c>
      <c r="M44" s="14">
        <f>J44/K44</f>
        <v>19</v>
      </c>
      <c r="N44" s="2"/>
      <c r="O44" s="2" t="s">
        <v>861</v>
      </c>
      <c r="P44" s="2" t="s">
        <v>1216</v>
      </c>
    </row>
    <row r="45" spans="1:16" s="11" customForma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>
        <v>77</v>
      </c>
      <c r="N45" s="10">
        <v>8</v>
      </c>
      <c r="O45" s="10"/>
      <c r="P45" s="10"/>
    </row>
    <row r="46" spans="1:16" x14ac:dyDescent="0.25">
      <c r="A46" s="2"/>
      <c r="B46" s="2" t="s">
        <v>1038</v>
      </c>
      <c r="C46" s="2"/>
      <c r="D46" s="2"/>
      <c r="E46" s="8"/>
      <c r="F46" s="12"/>
      <c r="G46" s="13"/>
      <c r="H46" s="2"/>
      <c r="I46" s="2"/>
      <c r="J46" s="2"/>
      <c r="K46" s="14"/>
      <c r="L46" s="14"/>
      <c r="M46" s="14"/>
      <c r="N46" s="2"/>
      <c r="O46" s="2"/>
      <c r="P46" s="2"/>
    </row>
    <row r="47" spans="1:16" x14ac:dyDescent="0.25">
      <c r="A47" s="2"/>
      <c r="B47" s="2"/>
      <c r="C47" s="2"/>
      <c r="D47" s="2"/>
      <c r="E47" s="8"/>
      <c r="F47" s="12"/>
      <c r="G47" s="13"/>
      <c r="H47" s="2"/>
      <c r="I47" s="2"/>
      <c r="J47" s="2"/>
      <c r="K47" s="14"/>
      <c r="L47" s="14"/>
      <c r="M47" s="14"/>
      <c r="N47" s="2"/>
      <c r="O47" s="2"/>
      <c r="P47" s="2"/>
    </row>
  </sheetData>
  <mergeCells count="7">
    <mergeCell ref="N26:N27"/>
    <mergeCell ref="N36:N37"/>
    <mergeCell ref="A1:F1"/>
    <mergeCell ref="J1:N1"/>
    <mergeCell ref="L2:N2"/>
    <mergeCell ref="N4:N5"/>
    <mergeCell ref="N16:N17"/>
  </mergeCells>
  <conditionalFormatting sqref="B2">
    <cfRule type="duplicateValues" dxfId="45" priority="2"/>
    <cfRule type="duplicateValues" dxfId="44" priority="3"/>
  </conditionalFormatting>
  <conditionalFormatting sqref="B16:B24 B36:B44 B46:B47 B4:B14 B26:B34">
    <cfRule type="duplicateValues" dxfId="43" priority="1"/>
  </conditionalFormatting>
  <conditionalFormatting sqref="C2:D2">
    <cfRule type="duplicateValues" dxfId="42" priority="4"/>
    <cfRule type="duplicateValues" dxfId="41" priority="5"/>
  </conditionalFormatting>
  <hyperlinks>
    <hyperlink ref="B46" r:id="rId1" display="http://192.168.1.248/downloads/temp/X539_eNagare_20251217.log" xr:uid="{00000000-0004-0000-1300-000000000000}"/>
  </hyperlinks>
  <pageMargins left="0.17" right="0.17" top="0.17" bottom="0.17" header="0.17" footer="0.17"/>
  <pageSetup paperSize="9" scale="62" orientation="landscape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3"/>
  <sheetViews>
    <sheetView workbookViewId="0">
      <selection activeCell="G19" sqref="G19"/>
    </sheetView>
  </sheetViews>
  <sheetFormatPr defaultColWidth="40.140625" defaultRowHeight="15" x14ac:dyDescent="0.25"/>
  <cols>
    <col min="1" max="1" width="12.28515625" bestFit="1" customWidth="1"/>
    <col min="2" max="2" width="17.85546875" bestFit="1" customWidth="1"/>
    <col min="3" max="3" width="18" bestFit="1" customWidth="1"/>
    <col min="4" max="4" width="14.7109375" bestFit="1" customWidth="1"/>
    <col min="5" max="5" width="17.28515625" bestFit="1" customWidth="1"/>
    <col min="6" max="6" width="16.28515625" bestFit="1" customWidth="1"/>
    <col min="7" max="7" width="22" bestFit="1" customWidth="1"/>
    <col min="8" max="8" width="20.5703125" bestFit="1" customWidth="1"/>
    <col min="9" max="9" width="20.5703125" customWidth="1"/>
    <col min="10" max="10" width="20.28515625" bestFit="1" customWidth="1"/>
    <col min="11" max="11" width="10.140625" bestFit="1" customWidth="1"/>
    <col min="12" max="12" width="11" bestFit="1" customWidth="1"/>
    <col min="13" max="13" width="20.140625" bestFit="1" customWidth="1"/>
    <col min="14" max="14" width="20.5703125" bestFit="1" customWidth="1"/>
    <col min="15" max="15" width="8.42578125" bestFit="1" customWidth="1"/>
    <col min="16" max="16" width="9.5703125" bestFit="1" customWidth="1"/>
    <col min="17" max="17" width="10.140625" bestFit="1" customWidth="1"/>
    <col min="18" max="18" width="26.140625" bestFit="1" customWidth="1"/>
  </cols>
  <sheetData>
    <row r="1" spans="1:18" ht="15.75" thickBot="1" x14ac:dyDescent="0.3">
      <c r="A1" s="25" t="s">
        <v>505</v>
      </c>
      <c r="B1" s="25" t="s">
        <v>506</v>
      </c>
      <c r="C1" s="25" t="s">
        <v>507</v>
      </c>
      <c r="D1" s="25" t="s">
        <v>508</v>
      </c>
      <c r="E1" s="25" t="s">
        <v>514</v>
      </c>
      <c r="F1" s="25" t="s">
        <v>509</v>
      </c>
      <c r="G1" s="25" t="s">
        <v>510</v>
      </c>
      <c r="H1" s="10" t="s">
        <v>101</v>
      </c>
      <c r="I1" s="43"/>
      <c r="J1" s="25"/>
      <c r="K1" s="25" t="s">
        <v>513</v>
      </c>
      <c r="L1" s="25" t="s">
        <v>515</v>
      </c>
      <c r="M1" s="25" t="s">
        <v>516</v>
      </c>
      <c r="N1" s="25" t="s">
        <v>517</v>
      </c>
      <c r="O1" s="25" t="s">
        <v>518</v>
      </c>
      <c r="P1" s="25" t="s">
        <v>519</v>
      </c>
      <c r="Q1" s="25" t="s">
        <v>520</v>
      </c>
      <c r="R1" s="25" t="s">
        <v>521</v>
      </c>
    </row>
    <row r="2" spans="1:18" ht="15.75" thickBot="1" x14ac:dyDescent="0.3">
      <c r="A2" s="26" t="s">
        <v>522</v>
      </c>
      <c r="B2" s="27">
        <v>45997</v>
      </c>
      <c r="C2" s="32">
        <v>46009</v>
      </c>
      <c r="D2" s="26" t="s">
        <v>458</v>
      </c>
      <c r="E2" s="31" t="s">
        <v>1040</v>
      </c>
      <c r="F2" s="26" t="s">
        <v>1039</v>
      </c>
      <c r="G2" s="26">
        <v>96</v>
      </c>
      <c r="H2" s="26">
        <v>6</v>
      </c>
      <c r="I2" s="50" t="s">
        <v>1517</v>
      </c>
      <c r="J2" s="2" t="s">
        <v>861</v>
      </c>
      <c r="K2" s="26" t="s">
        <v>524</v>
      </c>
      <c r="L2" s="26" t="s">
        <v>526</v>
      </c>
      <c r="M2" s="26" t="s">
        <v>527</v>
      </c>
      <c r="N2" s="26" t="s">
        <v>528</v>
      </c>
      <c r="O2" s="26">
        <v>7144.5</v>
      </c>
      <c r="P2" s="50" t="s">
        <v>1517</v>
      </c>
      <c r="Q2" s="26"/>
      <c r="R2" s="28" t="s">
        <v>529</v>
      </c>
    </row>
    <row r="3" spans="1:18" ht="15.75" thickBot="1" x14ac:dyDescent="0.3">
      <c r="A3" s="26" t="s">
        <v>522</v>
      </c>
      <c r="B3" s="27">
        <v>45997</v>
      </c>
      <c r="C3" s="32">
        <v>46009</v>
      </c>
      <c r="D3" s="26" t="s">
        <v>458</v>
      </c>
      <c r="E3" s="31" t="s">
        <v>1042</v>
      </c>
      <c r="F3" s="26" t="s">
        <v>1041</v>
      </c>
      <c r="G3" s="26">
        <v>6</v>
      </c>
      <c r="H3" s="26">
        <v>6</v>
      </c>
      <c r="I3" s="50" t="s">
        <v>1517</v>
      </c>
      <c r="J3" s="2" t="s">
        <v>861</v>
      </c>
      <c r="K3" s="26" t="s">
        <v>524</v>
      </c>
      <c r="L3" s="26" t="s">
        <v>526</v>
      </c>
      <c r="M3" s="26" t="s">
        <v>527</v>
      </c>
      <c r="N3" s="26" t="s">
        <v>528</v>
      </c>
      <c r="O3" s="26">
        <v>28578</v>
      </c>
      <c r="P3" s="26"/>
      <c r="Q3" s="26"/>
      <c r="R3" s="28" t="s">
        <v>529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P58"/>
  <sheetViews>
    <sheetView topLeftCell="A31" workbookViewId="0">
      <selection activeCell="A4" sqref="A4:XFD55"/>
    </sheetView>
  </sheetViews>
  <sheetFormatPr defaultColWidth="55.140625" defaultRowHeight="15" x14ac:dyDescent="0.25"/>
  <cols>
    <col min="1" max="1" width="18.7109375" customWidth="1"/>
    <col min="2" max="2" width="17.5703125" customWidth="1"/>
    <col min="3" max="3" width="14.140625" bestFit="1" customWidth="1"/>
    <col min="4" max="4" width="16.28515625" customWidth="1"/>
    <col min="5" max="5" width="32.5703125" bestFit="1" customWidth="1"/>
    <col min="6" max="6" width="12.7109375" bestFit="1" customWidth="1"/>
    <col min="7" max="7" width="7.7109375" bestFit="1" customWidth="1"/>
    <col min="8" max="8" width="12.140625" bestFit="1" customWidth="1"/>
    <col min="9" max="9" width="4.7109375" bestFit="1" customWidth="1"/>
    <col min="10" max="10" width="8" bestFit="1" customWidth="1"/>
    <col min="11" max="11" width="9" customWidth="1"/>
    <col min="12" max="12" width="11.28515625" customWidth="1"/>
    <col min="13" max="13" width="7.140625" bestFit="1" customWidth="1"/>
    <col min="14" max="14" width="7.85546875" bestFit="1" customWidth="1"/>
    <col min="15" max="15" width="10.7109375" customWidth="1"/>
    <col min="16" max="16" width="46.5703125" customWidth="1"/>
  </cols>
  <sheetData>
    <row r="1" spans="1:16" ht="23.25" x14ac:dyDescent="0.25">
      <c r="A1" s="53" t="s">
        <v>93</v>
      </c>
      <c r="B1" s="53"/>
      <c r="C1" s="53"/>
      <c r="D1" s="53"/>
      <c r="E1" s="53"/>
      <c r="F1" s="53"/>
      <c r="G1" s="2"/>
      <c r="H1" s="2"/>
      <c r="I1" s="2"/>
      <c r="J1" s="54" t="s">
        <v>94</v>
      </c>
      <c r="K1" s="55"/>
      <c r="L1" s="55"/>
      <c r="M1" s="55"/>
      <c r="N1" s="55"/>
      <c r="O1" s="3"/>
      <c r="P1" s="4"/>
    </row>
    <row r="2" spans="1:16" ht="16.5" customHeight="1" x14ac:dyDescent="0.25">
      <c r="A2" s="5" t="s">
        <v>95</v>
      </c>
      <c r="B2" s="6">
        <v>46010</v>
      </c>
      <c r="C2" s="7"/>
      <c r="D2" s="7"/>
      <c r="E2" s="2"/>
      <c r="F2" s="8"/>
      <c r="G2" s="2"/>
      <c r="H2" s="2"/>
      <c r="I2" s="2"/>
      <c r="J2" s="2"/>
      <c r="K2" s="2"/>
      <c r="L2" s="56" t="s">
        <v>96</v>
      </c>
      <c r="M2" s="57"/>
      <c r="N2" s="58"/>
      <c r="O2" s="2"/>
      <c r="P2" s="2"/>
    </row>
    <row r="3" spans="1:16" s="11" customFormat="1" ht="33.75" customHeight="1" x14ac:dyDescent="0.25">
      <c r="A3" s="10" t="s">
        <v>97</v>
      </c>
      <c r="B3" s="10" t="s">
        <v>35</v>
      </c>
      <c r="C3" s="10" t="s">
        <v>0</v>
      </c>
      <c r="D3" s="10" t="s">
        <v>98</v>
      </c>
      <c r="E3" s="10" t="s">
        <v>2</v>
      </c>
      <c r="F3" s="10" t="s">
        <v>36</v>
      </c>
      <c r="G3" s="10" t="s">
        <v>37</v>
      </c>
      <c r="H3" s="10" t="s">
        <v>38</v>
      </c>
      <c r="I3" s="10" t="s">
        <v>99</v>
      </c>
      <c r="J3" s="10" t="s">
        <v>100</v>
      </c>
      <c r="K3" s="10" t="s">
        <v>101</v>
      </c>
      <c r="L3" s="10" t="s">
        <v>102</v>
      </c>
      <c r="M3" s="10" t="s">
        <v>103</v>
      </c>
      <c r="N3" s="10" t="s">
        <v>104</v>
      </c>
      <c r="O3" s="10" t="s">
        <v>96</v>
      </c>
      <c r="P3" s="10" t="s">
        <v>105</v>
      </c>
    </row>
    <row r="4" spans="1:16" x14ac:dyDescent="0.25">
      <c r="A4" s="15" t="s">
        <v>1124</v>
      </c>
      <c r="B4" s="18" t="s">
        <v>1071</v>
      </c>
      <c r="C4" s="18" t="s">
        <v>5</v>
      </c>
      <c r="D4" s="2" t="str">
        <f>VLOOKUP($C4,Sheet1!$A$2:$B$10,2,0)</f>
        <v>141110-14600</v>
      </c>
      <c r="E4" s="8" t="s">
        <v>40</v>
      </c>
      <c r="F4" s="12">
        <v>46010</v>
      </c>
      <c r="G4" s="13">
        <v>0.27083333333333331</v>
      </c>
      <c r="H4" s="2" t="s">
        <v>41</v>
      </c>
      <c r="I4" s="2" t="s">
        <v>42</v>
      </c>
      <c r="J4" s="2">
        <v>54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1">
        <v>3</v>
      </c>
      <c r="O4" s="2" t="s">
        <v>1001</v>
      </c>
      <c r="P4" s="2" t="s">
        <v>1210</v>
      </c>
    </row>
    <row r="5" spans="1:16" x14ac:dyDescent="0.25">
      <c r="A5" s="15" t="s">
        <v>1124</v>
      </c>
      <c r="B5" s="18" t="s">
        <v>1076</v>
      </c>
      <c r="C5" s="18" t="s">
        <v>9</v>
      </c>
      <c r="D5" s="2" t="str">
        <f>VLOOKUP($C5,Sheet1!$A$2:$B$10,2,0)</f>
        <v>141120-14600</v>
      </c>
      <c r="E5" s="8" t="s">
        <v>47</v>
      </c>
      <c r="F5" s="12">
        <v>46010</v>
      </c>
      <c r="G5" s="13">
        <v>0.27083333333333331</v>
      </c>
      <c r="H5" s="2" t="s">
        <v>41</v>
      </c>
      <c r="I5" s="2" t="s">
        <v>42</v>
      </c>
      <c r="J5" s="2">
        <v>54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2"/>
      <c r="O5" s="2" t="s">
        <v>1001</v>
      </c>
      <c r="P5" s="2" t="s">
        <v>1210</v>
      </c>
    </row>
    <row r="6" spans="1:16" x14ac:dyDescent="0.25">
      <c r="A6" s="15" t="s">
        <v>1124</v>
      </c>
      <c r="B6" s="18" t="s">
        <v>1081</v>
      </c>
      <c r="C6" s="2" t="s">
        <v>12</v>
      </c>
      <c r="D6" s="2" t="str">
        <f>VLOOKUP($C6,Sheet1!$A$2:$B$10,2,0)</f>
        <v>141185-74670</v>
      </c>
      <c r="E6" s="8" t="s">
        <v>52</v>
      </c>
      <c r="F6" s="12">
        <v>46010</v>
      </c>
      <c r="G6" s="13">
        <v>0.27083333333333331</v>
      </c>
      <c r="H6" s="2" t="s">
        <v>41</v>
      </c>
      <c r="I6" s="2" t="s">
        <v>42</v>
      </c>
      <c r="J6" s="2">
        <v>120</v>
      </c>
      <c r="K6" s="14">
        <f>VLOOKUP($C6,Sheet1!$A$2:$D$10,4,0)</f>
        <v>40</v>
      </c>
      <c r="L6" s="14" t="str">
        <f>VLOOKUP($C6,Sheet1!$A$2:$E$10,5,0)</f>
        <v>Trolley</v>
      </c>
      <c r="M6" s="14"/>
      <c r="N6" s="2">
        <f>J6/K6</f>
        <v>3</v>
      </c>
      <c r="O6" s="2" t="s">
        <v>1001</v>
      </c>
      <c r="P6" s="2" t="s">
        <v>1211</v>
      </c>
    </row>
    <row r="7" spans="1:16" x14ac:dyDescent="0.25">
      <c r="A7" s="15" t="s">
        <v>1124</v>
      </c>
      <c r="B7" s="18" t="s">
        <v>1085</v>
      </c>
      <c r="C7" s="2" t="s">
        <v>16</v>
      </c>
      <c r="D7" s="2" t="str">
        <f>VLOOKUP($C7,Sheet1!$A$2:$B$10,2,0)</f>
        <v>141140-91211</v>
      </c>
      <c r="E7" s="8" t="s">
        <v>57</v>
      </c>
      <c r="F7" s="12">
        <v>46010</v>
      </c>
      <c r="G7" s="13">
        <v>0.27083333333333331</v>
      </c>
      <c r="H7" s="2" t="s">
        <v>58</v>
      </c>
      <c r="I7" s="2" t="s">
        <v>42</v>
      </c>
      <c r="J7" s="2">
        <v>58</v>
      </c>
      <c r="K7" s="14">
        <f>VLOOKUP($C7,Sheet1!$A$2:$D$10,4,0)</f>
        <v>2</v>
      </c>
      <c r="L7" s="14" t="str">
        <f>VLOOKUP($C7,Sheet1!$A$2:$E$10,5,0)</f>
        <v>Bin</v>
      </c>
      <c r="M7" s="14">
        <f>J7/K7</f>
        <v>29</v>
      </c>
      <c r="N7" s="2"/>
      <c r="O7" s="2" t="s">
        <v>1001</v>
      </c>
      <c r="P7" s="2" t="s">
        <v>1056</v>
      </c>
    </row>
    <row r="8" spans="1:16" x14ac:dyDescent="0.25">
      <c r="A8" s="15" t="s">
        <v>1124</v>
      </c>
      <c r="B8" s="18" t="s">
        <v>1090</v>
      </c>
      <c r="C8" s="2" t="s">
        <v>20</v>
      </c>
      <c r="D8" s="2" t="str">
        <f>VLOOKUP($C8,Sheet1!$A$2:$B$10,2,0)</f>
        <v>141150-91211</v>
      </c>
      <c r="E8" s="8" t="s">
        <v>64</v>
      </c>
      <c r="F8" s="12">
        <v>46010</v>
      </c>
      <c r="G8" s="13">
        <v>0.27083333333333331</v>
      </c>
      <c r="H8" s="2" t="s">
        <v>58</v>
      </c>
      <c r="I8" s="2" t="s">
        <v>42</v>
      </c>
      <c r="J8" s="2">
        <v>60</v>
      </c>
      <c r="K8" s="14">
        <f>VLOOKUP($C8,Sheet1!$A$2:$D$10,4,0)</f>
        <v>2</v>
      </c>
      <c r="L8" s="14" t="str">
        <f>VLOOKUP($C8,Sheet1!$A$2:$E$10,5,0)</f>
        <v>Bin</v>
      </c>
      <c r="M8" s="14">
        <f t="shared" ref="M8" si="0">J8/K8</f>
        <v>30</v>
      </c>
      <c r="N8" s="2"/>
      <c r="O8" s="2" t="s">
        <v>1001</v>
      </c>
      <c r="P8" s="2" t="s">
        <v>1056</v>
      </c>
    </row>
    <row r="9" spans="1:16" x14ac:dyDescent="0.25">
      <c r="A9" s="15" t="s">
        <v>1124</v>
      </c>
      <c r="B9" s="18" t="s">
        <v>1096</v>
      </c>
      <c r="C9" s="2" t="s">
        <v>23</v>
      </c>
      <c r="D9" s="2" t="str">
        <f>VLOOKUP($C9,Sheet1!$A$2:$B$10,2,0)</f>
        <v>141186-74360</v>
      </c>
      <c r="E9" s="8" t="s">
        <v>70</v>
      </c>
      <c r="F9" s="12">
        <v>46010</v>
      </c>
      <c r="G9" s="13">
        <v>0.27083333333333331</v>
      </c>
      <c r="H9" s="2" t="s">
        <v>58</v>
      </c>
      <c r="I9" s="2" t="s">
        <v>42</v>
      </c>
      <c r="J9" s="2">
        <v>40</v>
      </c>
      <c r="K9" s="14">
        <f>VLOOKUP($C9,Sheet1!$A$2:$D$10,4,0)</f>
        <v>40</v>
      </c>
      <c r="L9" s="14" t="str">
        <f>VLOOKUP($C9,Sheet1!$A$2:$E$10,5,0)</f>
        <v>Trolley</v>
      </c>
      <c r="M9" s="14"/>
      <c r="N9" s="2">
        <f>J9/K9</f>
        <v>1</v>
      </c>
      <c r="O9" s="2" t="s">
        <v>1001</v>
      </c>
      <c r="P9" s="2" t="s">
        <v>1217</v>
      </c>
    </row>
    <row r="10" spans="1:16" x14ac:dyDescent="0.25">
      <c r="A10" s="15" t="s">
        <v>1124</v>
      </c>
      <c r="B10" s="18" t="s">
        <v>1095</v>
      </c>
      <c r="C10" s="18" t="s">
        <v>23</v>
      </c>
      <c r="D10" s="2" t="str">
        <f>VLOOKUP($C10,Sheet1!$A$2:$B$10,2,0)</f>
        <v>141186-74360</v>
      </c>
      <c r="E10" s="8" t="s">
        <v>70</v>
      </c>
      <c r="F10" s="12">
        <v>46010</v>
      </c>
      <c r="G10" s="13">
        <v>0.27083333333333331</v>
      </c>
      <c r="H10" s="2" t="s">
        <v>58</v>
      </c>
      <c r="I10" s="2" t="s">
        <v>42</v>
      </c>
      <c r="J10" s="2">
        <v>40</v>
      </c>
      <c r="K10" s="14">
        <f>VLOOKUP($C10,Sheet1!$A$2:$D$10,4,0)</f>
        <v>40</v>
      </c>
      <c r="L10" s="14" t="str">
        <f>VLOOKUP($C10,Sheet1!$A$2:$E$10,5,0)</f>
        <v>Trolley</v>
      </c>
      <c r="M10" s="14"/>
      <c r="N10" s="2">
        <f t="shared" ref="N10" si="1">J10/K10</f>
        <v>1</v>
      </c>
      <c r="O10" s="2" t="s">
        <v>1001</v>
      </c>
      <c r="P10" s="2">
        <v>910103483</v>
      </c>
    </row>
    <row r="11" spans="1:16" x14ac:dyDescent="0.25">
      <c r="A11" s="15" t="s">
        <v>1125</v>
      </c>
      <c r="B11" s="18" t="s">
        <v>1100</v>
      </c>
      <c r="C11" s="2" t="s">
        <v>26</v>
      </c>
      <c r="D11" s="2" t="str">
        <f>VLOOKUP($C11,Sheet1!$A$2:$B$10,2,0)</f>
        <v>116040-92240</v>
      </c>
      <c r="E11" s="8" t="s">
        <v>75</v>
      </c>
      <c r="F11" s="12">
        <v>46010</v>
      </c>
      <c r="G11" s="13">
        <v>0.27083333333333331</v>
      </c>
      <c r="H11" s="2" t="s">
        <v>76</v>
      </c>
      <c r="I11" s="2" t="s">
        <v>42</v>
      </c>
      <c r="J11" s="2">
        <v>60</v>
      </c>
      <c r="K11" s="14">
        <f>VLOOKUP($C11,Sheet1!$A$2:$D$10,4,0)</f>
        <v>6</v>
      </c>
      <c r="L11" s="14" t="str">
        <f>VLOOKUP($C11,Sheet1!$A$2:$E$10,5,0)</f>
        <v>Bin</v>
      </c>
      <c r="M11" s="14">
        <f>J11/K11</f>
        <v>10</v>
      </c>
      <c r="N11" s="2"/>
      <c r="O11" s="2" t="s">
        <v>1001</v>
      </c>
      <c r="P11" s="2" t="s">
        <v>1213</v>
      </c>
    </row>
    <row r="12" spans="1:16" x14ac:dyDescent="0.25">
      <c r="A12" s="15" t="s">
        <v>1125</v>
      </c>
      <c r="B12" s="2" t="s">
        <v>1105</v>
      </c>
      <c r="C12" s="18" t="s">
        <v>32</v>
      </c>
      <c r="D12" s="2" t="str">
        <f>VLOOKUP($C12,Sheet1!$A$2:$B$10,2,0)</f>
        <v>114010-50820</v>
      </c>
      <c r="E12" s="8" t="s">
        <v>82</v>
      </c>
      <c r="F12" s="12">
        <v>46010</v>
      </c>
      <c r="G12" s="13">
        <v>0.27083333333333331</v>
      </c>
      <c r="H12" s="2" t="s">
        <v>76</v>
      </c>
      <c r="I12" s="2" t="s">
        <v>42</v>
      </c>
      <c r="J12" s="2">
        <v>10</v>
      </c>
      <c r="K12" s="14">
        <f>VLOOKUP($C12,Sheet1!$A$2:$D$10,4,0)</f>
        <v>1</v>
      </c>
      <c r="L12" s="14" t="str">
        <f>VLOOKUP($C12,Sheet1!$A$2:$E$10,5,0)</f>
        <v>Bin</v>
      </c>
      <c r="M12" s="14">
        <f t="shared" ref="M12" si="2">J12/K12</f>
        <v>10</v>
      </c>
      <c r="N12" s="2"/>
      <c r="O12" s="2" t="s">
        <v>1001</v>
      </c>
      <c r="P12" s="2" t="s">
        <v>878</v>
      </c>
    </row>
    <row r="13" spans="1:16" x14ac:dyDescent="0.25">
      <c r="A13" s="15" t="s">
        <v>1125</v>
      </c>
      <c r="B13" s="18" t="s">
        <v>1111</v>
      </c>
      <c r="C13" s="2" t="s">
        <v>29</v>
      </c>
      <c r="D13" s="2" t="str">
        <f>VLOOKUP($C13,Sheet1!$A$2:$B$10,2,0)</f>
        <v>114010-50830</v>
      </c>
      <c r="E13" s="8" t="s">
        <v>82</v>
      </c>
      <c r="F13" s="12">
        <v>46010</v>
      </c>
      <c r="G13" s="13">
        <v>0.27083333333333331</v>
      </c>
      <c r="H13" s="2" t="s">
        <v>76</v>
      </c>
      <c r="I13" s="2" t="s">
        <v>42</v>
      </c>
      <c r="J13" s="2">
        <v>10</v>
      </c>
      <c r="K13" s="14">
        <f>VLOOKUP($C13,Sheet1!$A$2:$D$10,4,0)</f>
        <v>1</v>
      </c>
      <c r="L13" s="14" t="str">
        <f>VLOOKUP($C13,Sheet1!$A$2:$E$10,5,0)</f>
        <v>Bin</v>
      </c>
      <c r="M13" s="14">
        <f>J13/K13</f>
        <v>10</v>
      </c>
      <c r="N13" s="2"/>
      <c r="O13" s="2" t="s">
        <v>1001</v>
      </c>
      <c r="P13" s="2" t="s">
        <v>1056</v>
      </c>
    </row>
    <row r="14" spans="1:16" s="11" customFormat="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>
        <v>89</v>
      </c>
      <c r="N14" s="10">
        <v>8</v>
      </c>
      <c r="O14" s="10"/>
      <c r="P14" s="10"/>
    </row>
    <row r="15" spans="1:16" x14ac:dyDescent="0.25">
      <c r="A15" s="15" t="s">
        <v>1126</v>
      </c>
      <c r="B15" s="2" t="s">
        <v>1071</v>
      </c>
      <c r="C15" s="18" t="s">
        <v>5</v>
      </c>
      <c r="D15" s="2" t="str">
        <f>VLOOKUP($C15,Sheet1!$A$2:$B$10,2,0)</f>
        <v>141110-14600</v>
      </c>
      <c r="E15" s="8" t="s">
        <v>40</v>
      </c>
      <c r="F15" s="12">
        <v>46010</v>
      </c>
      <c r="G15" s="13">
        <v>0.27083333333333331</v>
      </c>
      <c r="H15" s="2" t="s">
        <v>41</v>
      </c>
      <c r="I15" s="2" t="s">
        <v>42</v>
      </c>
      <c r="J15" s="2">
        <v>18</v>
      </c>
      <c r="K15" s="14">
        <f>VLOOKUP($C15,Sheet1!$A$2:$D$10,4,0)</f>
        <v>18</v>
      </c>
      <c r="L15" s="14" t="str">
        <f>VLOOKUP($C15,Sheet1!$A$2:$E$10,5,0)</f>
        <v>Trolley (H)</v>
      </c>
      <c r="M15" s="14"/>
      <c r="N15" s="51">
        <v>1</v>
      </c>
      <c r="O15" s="2" t="s">
        <v>113</v>
      </c>
      <c r="P15" s="2" t="s">
        <v>1210</v>
      </c>
    </row>
    <row r="16" spans="1:16" x14ac:dyDescent="0.25">
      <c r="A16" s="15" t="s">
        <v>1126</v>
      </c>
      <c r="B16" s="2" t="s">
        <v>1076</v>
      </c>
      <c r="C16" s="18" t="s">
        <v>9</v>
      </c>
      <c r="D16" s="2" t="str">
        <f>VLOOKUP($C16,Sheet1!$A$2:$B$10,2,0)</f>
        <v>141120-14600</v>
      </c>
      <c r="E16" s="8" t="s">
        <v>47</v>
      </c>
      <c r="F16" s="12">
        <v>46010</v>
      </c>
      <c r="G16" s="13">
        <v>0.27083333333333331</v>
      </c>
      <c r="H16" s="2" t="s">
        <v>41</v>
      </c>
      <c r="I16" s="2" t="s">
        <v>42</v>
      </c>
      <c r="J16" s="2">
        <v>18</v>
      </c>
      <c r="K16" s="14">
        <f>VLOOKUP($C16,Sheet1!$A$2:$D$10,4,0)</f>
        <v>18</v>
      </c>
      <c r="L16" s="14" t="str">
        <f>VLOOKUP($C16,Sheet1!$A$2:$E$10,5,0)</f>
        <v>Trolley (H)</v>
      </c>
      <c r="M16" s="14"/>
      <c r="N16" s="52"/>
      <c r="O16" s="2" t="s">
        <v>113</v>
      </c>
      <c r="P16" s="2" t="s">
        <v>1210</v>
      </c>
    </row>
    <row r="17" spans="1:16" x14ac:dyDescent="0.25">
      <c r="A17" s="15" t="s">
        <v>1126</v>
      </c>
      <c r="B17" s="18" t="s">
        <v>1072</v>
      </c>
      <c r="C17" s="2" t="s">
        <v>5</v>
      </c>
      <c r="D17" s="2" t="str">
        <f>VLOOKUP($C17,Sheet1!$A$2:$B$10,2,0)</f>
        <v>141110-14600</v>
      </c>
      <c r="E17" s="8" t="s">
        <v>40</v>
      </c>
      <c r="F17" s="12">
        <v>46010</v>
      </c>
      <c r="G17" s="13">
        <v>0.27083333333333331</v>
      </c>
      <c r="H17" s="2" t="s">
        <v>41</v>
      </c>
      <c r="I17" s="2" t="s">
        <v>42</v>
      </c>
      <c r="J17" s="2">
        <v>18</v>
      </c>
      <c r="K17" s="14">
        <f>VLOOKUP($C17,Sheet1!$A$2:$D$10,4,0)</f>
        <v>18</v>
      </c>
      <c r="L17" s="14" t="str">
        <f>VLOOKUP($C17,Sheet1!$A$2:$E$10,5,0)</f>
        <v>Trolley (H)</v>
      </c>
      <c r="M17" s="14"/>
      <c r="N17" s="51">
        <v>1</v>
      </c>
      <c r="O17" s="2" t="s">
        <v>113</v>
      </c>
      <c r="P17" s="2" t="s">
        <v>1210</v>
      </c>
    </row>
    <row r="18" spans="1:16" x14ac:dyDescent="0.25">
      <c r="A18" s="15" t="s">
        <v>1126</v>
      </c>
      <c r="B18" s="18" t="s">
        <v>1077</v>
      </c>
      <c r="C18" s="2" t="s">
        <v>9</v>
      </c>
      <c r="D18" s="2" t="str">
        <f>VLOOKUP($C18,Sheet1!$A$2:$B$10,2,0)</f>
        <v>141120-14600</v>
      </c>
      <c r="E18" s="8" t="s">
        <v>47</v>
      </c>
      <c r="F18" s="12">
        <v>46010</v>
      </c>
      <c r="G18" s="13">
        <v>0.27083333333333331</v>
      </c>
      <c r="H18" s="2" t="s">
        <v>41</v>
      </c>
      <c r="I18" s="2" t="s">
        <v>42</v>
      </c>
      <c r="J18" s="2">
        <v>18</v>
      </c>
      <c r="K18" s="14">
        <f>VLOOKUP($C18,Sheet1!$A$2:$D$10,4,0)</f>
        <v>18</v>
      </c>
      <c r="L18" s="14" t="str">
        <f>VLOOKUP($C18,Sheet1!$A$2:$E$10,5,0)</f>
        <v>Trolley (H)</v>
      </c>
      <c r="M18" s="14"/>
      <c r="N18" s="52"/>
      <c r="O18" s="2" t="s">
        <v>113</v>
      </c>
      <c r="P18" s="2" t="s">
        <v>1210</v>
      </c>
    </row>
    <row r="19" spans="1:16" x14ac:dyDescent="0.25">
      <c r="A19" s="15" t="s">
        <v>1126</v>
      </c>
      <c r="B19" s="18" t="s">
        <v>1086</v>
      </c>
      <c r="C19" s="2" t="s">
        <v>16</v>
      </c>
      <c r="D19" s="2" t="str">
        <f>VLOOKUP($C19,Sheet1!$A$2:$B$10,2,0)</f>
        <v>141140-91211</v>
      </c>
      <c r="E19" s="8" t="s">
        <v>57</v>
      </c>
      <c r="F19" s="12">
        <v>46010</v>
      </c>
      <c r="G19" s="13">
        <v>0.27083333333333331</v>
      </c>
      <c r="H19" s="2" t="s">
        <v>58</v>
      </c>
      <c r="I19" s="2" t="s">
        <v>42</v>
      </c>
      <c r="J19" s="2">
        <v>14</v>
      </c>
      <c r="K19" s="14">
        <f>VLOOKUP($C19,Sheet1!$A$2:$D$10,4,0)</f>
        <v>2</v>
      </c>
      <c r="L19" s="14" t="str">
        <f>VLOOKUP($C19,Sheet1!$A$2:$E$10,5,0)</f>
        <v>Bin</v>
      </c>
      <c r="M19" s="14">
        <f>J19/K19</f>
        <v>7</v>
      </c>
      <c r="N19" s="2"/>
      <c r="O19" s="2" t="s">
        <v>113</v>
      </c>
      <c r="P19" s="2" t="s">
        <v>1056</v>
      </c>
    </row>
    <row r="20" spans="1:16" x14ac:dyDescent="0.25">
      <c r="A20" s="15" t="s">
        <v>1126</v>
      </c>
      <c r="B20" s="18" t="s">
        <v>1091</v>
      </c>
      <c r="C20" s="2" t="s">
        <v>20</v>
      </c>
      <c r="D20" s="2" t="str">
        <f>VLOOKUP($C20,Sheet1!$A$2:$B$10,2,0)</f>
        <v>141150-91211</v>
      </c>
      <c r="E20" s="8" t="s">
        <v>64</v>
      </c>
      <c r="F20" s="12">
        <v>46010</v>
      </c>
      <c r="G20" s="13">
        <v>0.27083333333333331</v>
      </c>
      <c r="H20" s="2" t="s">
        <v>58</v>
      </c>
      <c r="I20" s="2" t="s">
        <v>42</v>
      </c>
      <c r="J20" s="2">
        <v>14</v>
      </c>
      <c r="K20" s="14">
        <f>VLOOKUP($C20,Sheet1!$A$2:$D$10,4,0)</f>
        <v>2</v>
      </c>
      <c r="L20" s="14" t="str">
        <f>VLOOKUP($C20,Sheet1!$A$2:$E$10,5,0)</f>
        <v>Bin</v>
      </c>
      <c r="M20" s="14">
        <f>J20/K20</f>
        <v>7</v>
      </c>
      <c r="N20" s="2"/>
      <c r="O20" s="2" t="s">
        <v>113</v>
      </c>
      <c r="P20" s="2" t="s">
        <v>1056</v>
      </c>
    </row>
    <row r="21" spans="1:16" x14ac:dyDescent="0.25">
      <c r="A21" s="15" t="s">
        <v>1126</v>
      </c>
      <c r="B21" s="2" t="s">
        <v>1095</v>
      </c>
      <c r="C21" s="18" t="s">
        <v>23</v>
      </c>
      <c r="D21" s="2" t="str">
        <f>VLOOKUP($C21,Sheet1!$A$2:$B$10,2,0)</f>
        <v>141186-74360</v>
      </c>
      <c r="E21" s="8" t="s">
        <v>70</v>
      </c>
      <c r="F21" s="12">
        <v>46010</v>
      </c>
      <c r="G21" s="13">
        <v>0.27083333333333331</v>
      </c>
      <c r="H21" s="2" t="s">
        <v>58</v>
      </c>
      <c r="I21" s="2" t="s">
        <v>42</v>
      </c>
      <c r="J21" s="2">
        <v>80</v>
      </c>
      <c r="K21" s="14">
        <f>VLOOKUP($C21,Sheet1!$A$2:$D$10,4,0)</f>
        <v>40</v>
      </c>
      <c r="L21" s="14" t="str">
        <f>VLOOKUP($C21,Sheet1!$A$2:$E$10,5,0)</f>
        <v>Trolley</v>
      </c>
      <c r="M21" s="14"/>
      <c r="N21" s="2">
        <f t="shared" ref="N21" si="3">J21/K21</f>
        <v>2</v>
      </c>
      <c r="O21" s="2" t="s">
        <v>113</v>
      </c>
      <c r="P21" s="2" t="s">
        <v>1211</v>
      </c>
    </row>
    <row r="22" spans="1:16" x14ac:dyDescent="0.25">
      <c r="A22" s="15" t="s">
        <v>1127</v>
      </c>
      <c r="B22" s="18" t="s">
        <v>1101</v>
      </c>
      <c r="C22" s="2" t="s">
        <v>26</v>
      </c>
      <c r="D22" s="2" t="str">
        <f>VLOOKUP($C22,Sheet1!$A$2:$B$10,2,0)</f>
        <v>116040-92240</v>
      </c>
      <c r="E22" s="8" t="s">
        <v>75</v>
      </c>
      <c r="F22" s="12">
        <v>46010</v>
      </c>
      <c r="G22" s="13">
        <v>0.27083333333333331</v>
      </c>
      <c r="H22" s="2" t="s">
        <v>76</v>
      </c>
      <c r="I22" s="2" t="s">
        <v>42</v>
      </c>
      <c r="J22" s="2">
        <v>12</v>
      </c>
      <c r="K22" s="14">
        <f>VLOOKUP($C22,Sheet1!$A$2:$D$10,4,0)</f>
        <v>6</v>
      </c>
      <c r="L22" s="14" t="str">
        <f>VLOOKUP($C22,Sheet1!$A$2:$E$10,5,0)</f>
        <v>Bin</v>
      </c>
      <c r="M22" s="14">
        <f t="shared" ref="M22:M25" si="4">J22/K22</f>
        <v>2</v>
      </c>
      <c r="N22" s="2"/>
      <c r="O22" s="2" t="s">
        <v>113</v>
      </c>
      <c r="P22" s="2" t="s">
        <v>1213</v>
      </c>
    </row>
    <row r="23" spans="1:16" x14ac:dyDescent="0.25">
      <c r="A23" s="15" t="s">
        <v>1127</v>
      </c>
      <c r="B23" s="18" t="s">
        <v>1105</v>
      </c>
      <c r="C23" s="18" t="s">
        <v>32</v>
      </c>
      <c r="D23" s="2" t="str">
        <f>VLOOKUP($C23,Sheet1!$A$2:$B$10,2,0)</f>
        <v>114010-50820</v>
      </c>
      <c r="E23" s="8" t="s">
        <v>82</v>
      </c>
      <c r="F23" s="12">
        <v>46010</v>
      </c>
      <c r="G23" s="13">
        <v>0.27083333333333331</v>
      </c>
      <c r="H23" s="2" t="s">
        <v>76</v>
      </c>
      <c r="I23" s="2" t="s">
        <v>42</v>
      </c>
      <c r="J23" s="2">
        <v>19</v>
      </c>
      <c r="K23" s="14">
        <f>VLOOKUP($C23,Sheet1!$A$2:$D$10,4,0)</f>
        <v>1</v>
      </c>
      <c r="L23" s="14" t="str">
        <f>VLOOKUP($C23,Sheet1!$A$2:$E$10,5,0)</f>
        <v>Bin</v>
      </c>
      <c r="M23" s="14">
        <f t="shared" si="4"/>
        <v>19</v>
      </c>
      <c r="N23" s="2"/>
      <c r="O23" s="2" t="s">
        <v>113</v>
      </c>
      <c r="P23" s="2" t="s">
        <v>878</v>
      </c>
    </row>
    <row r="24" spans="1:16" x14ac:dyDescent="0.25">
      <c r="A24" s="15" t="s">
        <v>1127</v>
      </c>
      <c r="B24" s="18" t="s">
        <v>1106</v>
      </c>
      <c r="C24" s="2" t="s">
        <v>32</v>
      </c>
      <c r="D24" s="2" t="str">
        <f>VLOOKUP($C24,Sheet1!$A$2:$B$10,2,0)</f>
        <v>114010-50820</v>
      </c>
      <c r="E24" s="8" t="s">
        <v>82</v>
      </c>
      <c r="F24" s="12">
        <v>46010</v>
      </c>
      <c r="G24" s="13">
        <v>0.27083333333333331</v>
      </c>
      <c r="H24" s="2" t="s">
        <v>76</v>
      </c>
      <c r="I24" s="2" t="s">
        <v>42</v>
      </c>
      <c r="J24" s="2">
        <v>4</v>
      </c>
      <c r="K24" s="14">
        <f>VLOOKUP($C24,Sheet1!$A$2:$D$10,4,0)</f>
        <v>1</v>
      </c>
      <c r="L24" s="14" t="str">
        <f>VLOOKUP($C24,Sheet1!$A$2:$E$10,5,0)</f>
        <v>Bin</v>
      </c>
      <c r="M24" s="14">
        <f>J24/K24</f>
        <v>4</v>
      </c>
      <c r="N24" s="2"/>
      <c r="O24" s="2" t="s">
        <v>113</v>
      </c>
      <c r="P24" s="2" t="s">
        <v>878</v>
      </c>
    </row>
    <row r="25" spans="1:16" x14ac:dyDescent="0.25">
      <c r="A25" s="15" t="s">
        <v>1127</v>
      </c>
      <c r="B25" s="18" t="s">
        <v>1110</v>
      </c>
      <c r="C25" s="2" t="s">
        <v>29</v>
      </c>
      <c r="D25" s="2" t="str">
        <f>VLOOKUP($C25,Sheet1!$A$2:$B$10,2,0)</f>
        <v>114010-50830</v>
      </c>
      <c r="E25" s="8" t="s">
        <v>82</v>
      </c>
      <c r="F25" s="12">
        <v>46010</v>
      </c>
      <c r="G25" s="13">
        <v>0.27083333333333331</v>
      </c>
      <c r="H25" s="2" t="s">
        <v>76</v>
      </c>
      <c r="I25" s="2" t="s">
        <v>42</v>
      </c>
      <c r="J25" s="2">
        <v>30</v>
      </c>
      <c r="K25" s="14">
        <f>VLOOKUP($C25,Sheet1!$A$2:$D$10,4,0)</f>
        <v>1</v>
      </c>
      <c r="L25" s="14" t="str">
        <f>VLOOKUP($C25,Sheet1!$A$2:$E$10,5,0)</f>
        <v>Bin</v>
      </c>
      <c r="M25" s="14">
        <f t="shared" si="4"/>
        <v>30</v>
      </c>
      <c r="N25" s="2"/>
      <c r="O25" s="2" t="s">
        <v>113</v>
      </c>
      <c r="P25" s="2" t="s">
        <v>1056</v>
      </c>
    </row>
    <row r="26" spans="1:16" s="11" customForma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>
        <v>69</v>
      </c>
      <c r="N26" s="10">
        <v>4</v>
      </c>
      <c r="O26" s="10"/>
      <c r="P26" s="10"/>
    </row>
    <row r="27" spans="1:16" x14ac:dyDescent="0.25">
      <c r="A27" s="15" t="s">
        <v>1128</v>
      </c>
      <c r="B27" s="18" t="s">
        <v>1073</v>
      </c>
      <c r="C27" s="2" t="s">
        <v>5</v>
      </c>
      <c r="D27" s="2" t="str">
        <f>VLOOKUP($C27,Sheet1!$A$2:$B$10,2,0)</f>
        <v>141110-14600</v>
      </c>
      <c r="E27" s="8" t="s">
        <v>40</v>
      </c>
      <c r="F27" s="12">
        <v>46010</v>
      </c>
      <c r="G27" s="13">
        <v>0.52083333333333337</v>
      </c>
      <c r="H27" s="2" t="s">
        <v>41</v>
      </c>
      <c r="I27" s="2" t="s">
        <v>42</v>
      </c>
      <c r="J27" s="2">
        <v>54</v>
      </c>
      <c r="K27" s="14">
        <f>VLOOKUP($C27,Sheet1!$A$2:$D$10,4,0)</f>
        <v>18</v>
      </c>
      <c r="L27" s="14" t="str">
        <f>VLOOKUP($C27,Sheet1!$A$2:$E$10,5,0)</f>
        <v>Trolley (H)</v>
      </c>
      <c r="M27" s="14"/>
      <c r="N27" s="51">
        <v>3</v>
      </c>
      <c r="O27" s="2" t="s">
        <v>112</v>
      </c>
      <c r="P27" s="2" t="s">
        <v>1210</v>
      </c>
    </row>
    <row r="28" spans="1:16" x14ac:dyDescent="0.25">
      <c r="A28" s="15" t="s">
        <v>1128</v>
      </c>
      <c r="B28" s="18" t="s">
        <v>1078</v>
      </c>
      <c r="C28" s="2" t="s">
        <v>9</v>
      </c>
      <c r="D28" s="2" t="str">
        <f>VLOOKUP($C28,Sheet1!$A$2:$B$10,2,0)</f>
        <v>141120-14600</v>
      </c>
      <c r="E28" s="8" t="s">
        <v>47</v>
      </c>
      <c r="F28" s="12">
        <v>46010</v>
      </c>
      <c r="G28" s="13">
        <v>0.52083333333333337</v>
      </c>
      <c r="H28" s="2" t="s">
        <v>41</v>
      </c>
      <c r="I28" s="2" t="s">
        <v>42</v>
      </c>
      <c r="J28" s="2">
        <v>54</v>
      </c>
      <c r="K28" s="14">
        <f>VLOOKUP($C28,Sheet1!$A$2:$D$10,4,0)</f>
        <v>18</v>
      </c>
      <c r="L28" s="14" t="str">
        <f>VLOOKUP($C28,Sheet1!$A$2:$E$10,5,0)</f>
        <v>Trolley (H)</v>
      </c>
      <c r="M28" s="14"/>
      <c r="N28" s="52"/>
      <c r="O28" s="2" t="s">
        <v>112</v>
      </c>
      <c r="P28" s="2" t="s">
        <v>1210</v>
      </c>
    </row>
    <row r="29" spans="1:16" x14ac:dyDescent="0.25">
      <c r="A29" s="15" t="s">
        <v>1128</v>
      </c>
      <c r="B29" s="18" t="s">
        <v>1082</v>
      </c>
      <c r="C29" s="2" t="s">
        <v>12</v>
      </c>
      <c r="D29" s="2" t="str">
        <f>VLOOKUP($C29,Sheet1!$A$2:$B$10,2,0)</f>
        <v>141185-74670</v>
      </c>
      <c r="E29" s="8" t="s">
        <v>52</v>
      </c>
      <c r="F29" s="12">
        <v>46010</v>
      </c>
      <c r="G29" s="13">
        <v>0.52083333333333337</v>
      </c>
      <c r="H29" s="2" t="s">
        <v>41</v>
      </c>
      <c r="I29" s="2" t="s">
        <v>42</v>
      </c>
      <c r="J29" s="2">
        <v>80</v>
      </c>
      <c r="K29" s="14">
        <f>VLOOKUP($C29,Sheet1!$A$2:$D$10,4,0)</f>
        <v>40</v>
      </c>
      <c r="L29" s="14" t="str">
        <f>VLOOKUP($C29,Sheet1!$A$2:$E$10,5,0)</f>
        <v>Trolley</v>
      </c>
      <c r="M29" s="14"/>
      <c r="N29" s="2">
        <f>J29/K29</f>
        <v>2</v>
      </c>
      <c r="O29" s="2" t="s">
        <v>112</v>
      </c>
      <c r="P29" s="2">
        <v>910103841</v>
      </c>
    </row>
    <row r="30" spans="1:16" x14ac:dyDescent="0.25">
      <c r="A30" s="15" t="s">
        <v>1128</v>
      </c>
      <c r="B30" s="18" t="s">
        <v>1087</v>
      </c>
      <c r="C30" s="2" t="s">
        <v>16</v>
      </c>
      <c r="D30" s="2" t="str">
        <f>VLOOKUP($C30,Sheet1!$A$2:$B$10,2,0)</f>
        <v>141140-91211</v>
      </c>
      <c r="E30" s="8" t="s">
        <v>57</v>
      </c>
      <c r="F30" s="12">
        <v>46010</v>
      </c>
      <c r="G30" s="13">
        <v>0.52083333333333337</v>
      </c>
      <c r="H30" s="2" t="s">
        <v>58</v>
      </c>
      <c r="I30" s="2" t="s">
        <v>42</v>
      </c>
      <c r="J30" s="2">
        <v>50</v>
      </c>
      <c r="K30" s="14">
        <f>VLOOKUP($C30,Sheet1!$A$2:$D$10,4,0)</f>
        <v>2</v>
      </c>
      <c r="L30" s="14" t="str">
        <f>VLOOKUP($C30,Sheet1!$A$2:$E$10,5,0)</f>
        <v>Bin</v>
      </c>
      <c r="M30" s="14">
        <f t="shared" ref="M30:M31" si="5">J30/K30</f>
        <v>25</v>
      </c>
      <c r="N30" s="2"/>
      <c r="O30" s="2" t="s">
        <v>112</v>
      </c>
      <c r="P30" s="2" t="s">
        <v>1056</v>
      </c>
    </row>
    <row r="31" spans="1:16" x14ac:dyDescent="0.25">
      <c r="A31" s="15" t="s">
        <v>1128</v>
      </c>
      <c r="B31" s="18" t="s">
        <v>1092</v>
      </c>
      <c r="C31" s="2" t="s">
        <v>20</v>
      </c>
      <c r="D31" s="2" t="str">
        <f>VLOOKUP($C31,Sheet1!$A$2:$B$10,2,0)</f>
        <v>141150-91211</v>
      </c>
      <c r="E31" s="8" t="s">
        <v>64</v>
      </c>
      <c r="F31" s="12">
        <v>46010</v>
      </c>
      <c r="G31" s="13">
        <v>0.52083333333333337</v>
      </c>
      <c r="H31" s="2" t="s">
        <v>58</v>
      </c>
      <c r="I31" s="2" t="s">
        <v>42</v>
      </c>
      <c r="J31" s="2">
        <v>50</v>
      </c>
      <c r="K31" s="14">
        <f>VLOOKUP($C31,Sheet1!$A$2:$D$10,4,0)</f>
        <v>2</v>
      </c>
      <c r="L31" s="14" t="str">
        <f>VLOOKUP($C31,Sheet1!$A$2:$E$10,5,0)</f>
        <v>Bin</v>
      </c>
      <c r="M31" s="14">
        <f t="shared" si="5"/>
        <v>25</v>
      </c>
      <c r="N31" s="2"/>
      <c r="O31" s="2" t="s">
        <v>112</v>
      </c>
      <c r="P31" s="2" t="s">
        <v>1056</v>
      </c>
    </row>
    <row r="32" spans="1:16" x14ac:dyDescent="0.25">
      <c r="A32" s="15" t="s">
        <v>1128</v>
      </c>
      <c r="B32" s="18" t="s">
        <v>1097</v>
      </c>
      <c r="C32" s="2" t="s">
        <v>23</v>
      </c>
      <c r="D32" s="2" t="str">
        <f>VLOOKUP($C32,Sheet1!$A$2:$B$10,2,0)</f>
        <v>141186-74360</v>
      </c>
      <c r="E32" s="8" t="s">
        <v>70</v>
      </c>
      <c r="F32" s="12">
        <v>46010</v>
      </c>
      <c r="G32" s="13">
        <v>0.52083333333333337</v>
      </c>
      <c r="H32" s="2" t="s">
        <v>58</v>
      </c>
      <c r="I32" s="2" t="s">
        <v>42</v>
      </c>
      <c r="J32" s="2">
        <v>80</v>
      </c>
      <c r="K32" s="14">
        <f>VLOOKUP($C32,Sheet1!$A$2:$D$10,4,0)</f>
        <v>40</v>
      </c>
      <c r="L32" s="14" t="str">
        <f>VLOOKUP($C32,Sheet1!$A$2:$E$10,5,0)</f>
        <v>Trolley</v>
      </c>
      <c r="M32" s="14"/>
      <c r="N32" s="2">
        <f>J32/K32</f>
        <v>2</v>
      </c>
      <c r="O32" s="2" t="s">
        <v>112</v>
      </c>
      <c r="P32" s="2">
        <v>910103841</v>
      </c>
    </row>
    <row r="33" spans="1:16" x14ac:dyDescent="0.25">
      <c r="A33" s="15" t="s">
        <v>1129</v>
      </c>
      <c r="B33" s="18" t="s">
        <v>1102</v>
      </c>
      <c r="C33" s="2" t="s">
        <v>26</v>
      </c>
      <c r="D33" s="2" t="str">
        <f>VLOOKUP($C33,Sheet1!$A$2:$B$10,2,0)</f>
        <v>116040-92240</v>
      </c>
      <c r="E33" s="8" t="s">
        <v>75</v>
      </c>
      <c r="F33" s="12">
        <v>46010</v>
      </c>
      <c r="G33" s="13">
        <v>0.52083333333333337</v>
      </c>
      <c r="H33" s="2" t="s">
        <v>76</v>
      </c>
      <c r="I33" s="2" t="s">
        <v>42</v>
      </c>
      <c r="J33" s="2">
        <v>48</v>
      </c>
      <c r="K33" s="14">
        <f>VLOOKUP($C33,Sheet1!$A$2:$D$10,4,0)</f>
        <v>6</v>
      </c>
      <c r="L33" s="14" t="str">
        <f>VLOOKUP($C33,Sheet1!$A$2:$E$10,5,0)</f>
        <v>Bin</v>
      </c>
      <c r="M33" s="14">
        <f t="shared" ref="M33:M35" si="6">J33/K33</f>
        <v>8</v>
      </c>
      <c r="N33" s="2"/>
      <c r="O33" s="2" t="s">
        <v>112</v>
      </c>
      <c r="P33" s="2" t="s">
        <v>1213</v>
      </c>
    </row>
    <row r="34" spans="1:16" x14ac:dyDescent="0.25">
      <c r="A34" s="15" t="s">
        <v>1129</v>
      </c>
      <c r="B34" s="18" t="s">
        <v>1107</v>
      </c>
      <c r="C34" s="2" t="s">
        <v>32</v>
      </c>
      <c r="D34" s="2" t="str">
        <f>VLOOKUP($C34,Sheet1!$A$2:$B$10,2,0)</f>
        <v>114010-50820</v>
      </c>
      <c r="E34" s="8" t="s">
        <v>82</v>
      </c>
      <c r="F34" s="12">
        <v>46010</v>
      </c>
      <c r="G34" s="13">
        <v>0.52083333333333337</v>
      </c>
      <c r="H34" s="2" t="s">
        <v>76</v>
      </c>
      <c r="I34" s="2" t="s">
        <v>42</v>
      </c>
      <c r="J34" s="2">
        <v>21</v>
      </c>
      <c r="K34" s="14">
        <f>VLOOKUP($C34,Sheet1!$A$2:$D$10,4,0)</f>
        <v>1</v>
      </c>
      <c r="L34" s="14" t="str">
        <f>VLOOKUP($C34,Sheet1!$A$2:$E$10,5,0)</f>
        <v>Bin</v>
      </c>
      <c r="M34" s="14">
        <f t="shared" si="6"/>
        <v>21</v>
      </c>
      <c r="N34" s="2"/>
      <c r="O34" s="2" t="s">
        <v>112</v>
      </c>
      <c r="P34" s="2" t="s">
        <v>878</v>
      </c>
    </row>
    <row r="35" spans="1:16" x14ac:dyDescent="0.25">
      <c r="A35" s="15" t="s">
        <v>1129</v>
      </c>
      <c r="B35" s="18" t="s">
        <v>1112</v>
      </c>
      <c r="C35" s="2" t="s">
        <v>29</v>
      </c>
      <c r="D35" s="2" t="str">
        <f>VLOOKUP($C35,Sheet1!$A$2:$B$10,2,0)</f>
        <v>114010-50830</v>
      </c>
      <c r="E35" s="8" t="s">
        <v>82</v>
      </c>
      <c r="F35" s="12">
        <v>46010</v>
      </c>
      <c r="G35" s="13">
        <v>0.52083333333333337</v>
      </c>
      <c r="H35" s="2" t="s">
        <v>76</v>
      </c>
      <c r="I35" s="2" t="s">
        <v>42</v>
      </c>
      <c r="J35" s="2">
        <v>29</v>
      </c>
      <c r="K35" s="14">
        <f>VLOOKUP($C35,Sheet1!$A$2:$D$10,4,0)</f>
        <v>1</v>
      </c>
      <c r="L35" s="14" t="str">
        <f>VLOOKUP($C35,Sheet1!$A$2:$E$10,5,0)</f>
        <v>Bin</v>
      </c>
      <c r="M35" s="14">
        <f t="shared" si="6"/>
        <v>29</v>
      </c>
      <c r="N35" s="2"/>
      <c r="O35" s="2" t="s">
        <v>112</v>
      </c>
      <c r="P35" s="2" t="s">
        <v>1056</v>
      </c>
    </row>
    <row r="36" spans="1:16" s="11" customForma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>
        <v>108</v>
      </c>
      <c r="N36" s="10">
        <v>7</v>
      </c>
      <c r="O36" s="10"/>
      <c r="P36" s="10"/>
    </row>
    <row r="37" spans="1:16" x14ac:dyDescent="0.25">
      <c r="A37" s="15" t="s">
        <v>1130</v>
      </c>
      <c r="B37" s="18" t="s">
        <v>1074</v>
      </c>
      <c r="C37" s="2" t="s">
        <v>5</v>
      </c>
      <c r="D37" s="2" t="str">
        <f>VLOOKUP($C37,Sheet1!$A$2:$B$10,2,0)</f>
        <v>141110-14600</v>
      </c>
      <c r="E37" s="8" t="s">
        <v>40</v>
      </c>
      <c r="F37" s="12">
        <v>46010</v>
      </c>
      <c r="G37" s="13">
        <v>0.60416666666666663</v>
      </c>
      <c r="H37" s="2" t="s">
        <v>41</v>
      </c>
      <c r="I37" s="2" t="s">
        <v>42</v>
      </c>
      <c r="J37" s="2">
        <v>36</v>
      </c>
      <c r="K37" s="14">
        <f>VLOOKUP($C37,Sheet1!$A$2:$D$10,4,0)</f>
        <v>18</v>
      </c>
      <c r="L37" s="14" t="str">
        <f>VLOOKUP($C37,Sheet1!$A$2:$E$10,5,0)</f>
        <v>Trolley (H)</v>
      </c>
      <c r="M37" s="14"/>
      <c r="N37" s="51">
        <v>2</v>
      </c>
      <c r="O37" s="2" t="s">
        <v>861</v>
      </c>
      <c r="P37" s="2" t="s">
        <v>1210</v>
      </c>
    </row>
    <row r="38" spans="1:16" x14ac:dyDescent="0.25">
      <c r="A38" s="15" t="s">
        <v>1130</v>
      </c>
      <c r="B38" s="18" t="s">
        <v>1079</v>
      </c>
      <c r="C38" s="2" t="s">
        <v>9</v>
      </c>
      <c r="D38" s="2" t="str">
        <f>VLOOKUP($C38,Sheet1!$A$2:$B$10,2,0)</f>
        <v>141120-14600</v>
      </c>
      <c r="E38" s="8" t="s">
        <v>47</v>
      </c>
      <c r="F38" s="12">
        <v>46010</v>
      </c>
      <c r="G38" s="13">
        <v>0.60416666666666663</v>
      </c>
      <c r="H38" s="2" t="s">
        <v>41</v>
      </c>
      <c r="I38" s="2" t="s">
        <v>42</v>
      </c>
      <c r="J38" s="2">
        <v>36</v>
      </c>
      <c r="K38" s="14">
        <f>VLOOKUP($C38,Sheet1!$A$2:$D$10,4,0)</f>
        <v>18</v>
      </c>
      <c r="L38" s="14" t="str">
        <f>VLOOKUP($C38,Sheet1!$A$2:$E$10,5,0)</f>
        <v>Trolley (H)</v>
      </c>
      <c r="M38" s="14"/>
      <c r="N38" s="52"/>
      <c r="O38" s="2" t="s">
        <v>861</v>
      </c>
      <c r="P38" s="2" t="s">
        <v>1210</v>
      </c>
    </row>
    <row r="39" spans="1:16" x14ac:dyDescent="0.25">
      <c r="A39" s="15" t="s">
        <v>1130</v>
      </c>
      <c r="B39" s="18" t="s">
        <v>1083</v>
      </c>
      <c r="C39" s="2" t="s">
        <v>12</v>
      </c>
      <c r="D39" s="2" t="str">
        <f>VLOOKUP($C39,Sheet1!$A$2:$B$10,2,0)</f>
        <v>141185-74670</v>
      </c>
      <c r="E39" s="8" t="s">
        <v>52</v>
      </c>
      <c r="F39" s="12">
        <v>46010</v>
      </c>
      <c r="G39" s="13">
        <v>0.60416666666666663</v>
      </c>
      <c r="H39" s="2" t="s">
        <v>41</v>
      </c>
      <c r="I39" s="2" t="s">
        <v>42</v>
      </c>
      <c r="J39" s="2">
        <v>80</v>
      </c>
      <c r="K39" s="14">
        <f>VLOOKUP($C39,Sheet1!$A$2:$D$10,4,0)</f>
        <v>40</v>
      </c>
      <c r="L39" s="14" t="str">
        <f>VLOOKUP($C39,Sheet1!$A$2:$E$10,5,0)</f>
        <v>Trolley</v>
      </c>
      <c r="M39" s="14"/>
      <c r="N39" s="2">
        <f>J39/K39</f>
        <v>2</v>
      </c>
      <c r="O39" s="2" t="s">
        <v>861</v>
      </c>
      <c r="P39" s="2">
        <v>910103841</v>
      </c>
    </row>
    <row r="40" spans="1:16" x14ac:dyDescent="0.25">
      <c r="A40" s="15" t="s">
        <v>1130</v>
      </c>
      <c r="B40" s="18" t="s">
        <v>1088</v>
      </c>
      <c r="C40" s="2" t="s">
        <v>16</v>
      </c>
      <c r="D40" s="2" t="str">
        <f>VLOOKUP($C40,Sheet1!$A$2:$B$10,2,0)</f>
        <v>141140-91211</v>
      </c>
      <c r="E40" s="8" t="s">
        <v>57</v>
      </c>
      <c r="F40" s="12">
        <v>46010</v>
      </c>
      <c r="G40" s="13">
        <v>0.60416666666666663</v>
      </c>
      <c r="H40" s="2" t="s">
        <v>58</v>
      </c>
      <c r="I40" s="2" t="s">
        <v>42</v>
      </c>
      <c r="J40" s="2">
        <v>42</v>
      </c>
      <c r="K40" s="14">
        <f>VLOOKUP($C40,Sheet1!$A$2:$D$10,4,0)</f>
        <v>2</v>
      </c>
      <c r="L40" s="14" t="str">
        <f>VLOOKUP($C40,Sheet1!$A$2:$E$10,5,0)</f>
        <v>Bin</v>
      </c>
      <c r="M40" s="14">
        <f t="shared" ref="M40:M41" si="7">J40/K40</f>
        <v>21</v>
      </c>
      <c r="N40" s="2"/>
      <c r="O40" s="2" t="s">
        <v>861</v>
      </c>
      <c r="P40" s="2" t="s">
        <v>1056</v>
      </c>
    </row>
    <row r="41" spans="1:16" x14ac:dyDescent="0.25">
      <c r="A41" s="15" t="s">
        <v>1130</v>
      </c>
      <c r="B41" s="18" t="s">
        <v>1093</v>
      </c>
      <c r="C41" s="2" t="s">
        <v>20</v>
      </c>
      <c r="D41" s="2" t="str">
        <f>VLOOKUP($C41,Sheet1!$A$2:$B$10,2,0)</f>
        <v>141150-91211</v>
      </c>
      <c r="E41" s="8" t="s">
        <v>64</v>
      </c>
      <c r="F41" s="12">
        <v>46010</v>
      </c>
      <c r="G41" s="13">
        <v>0.60416666666666663</v>
      </c>
      <c r="H41" s="2" t="s">
        <v>58</v>
      </c>
      <c r="I41" s="2" t="s">
        <v>42</v>
      </c>
      <c r="J41" s="2">
        <v>42</v>
      </c>
      <c r="K41" s="14">
        <f>VLOOKUP($C41,Sheet1!$A$2:$D$10,4,0)</f>
        <v>2</v>
      </c>
      <c r="L41" s="14" t="str">
        <f>VLOOKUP($C41,Sheet1!$A$2:$E$10,5,0)</f>
        <v>Bin</v>
      </c>
      <c r="M41" s="14">
        <f t="shared" si="7"/>
        <v>21</v>
      </c>
      <c r="N41" s="2"/>
      <c r="O41" s="2" t="s">
        <v>861</v>
      </c>
      <c r="P41" s="2" t="s">
        <v>1056</v>
      </c>
    </row>
    <row r="42" spans="1:16" x14ac:dyDescent="0.25">
      <c r="A42" s="15" t="s">
        <v>1130</v>
      </c>
      <c r="B42" s="18" t="s">
        <v>1098</v>
      </c>
      <c r="C42" s="2" t="s">
        <v>23</v>
      </c>
      <c r="D42" s="2" t="str">
        <f>VLOOKUP($C42,Sheet1!$A$2:$B$10,2,0)</f>
        <v>141186-74360</v>
      </c>
      <c r="E42" s="8" t="s">
        <v>70</v>
      </c>
      <c r="F42" s="12">
        <v>46010</v>
      </c>
      <c r="G42" s="13">
        <v>0.60416666666666663</v>
      </c>
      <c r="H42" s="2" t="s">
        <v>58</v>
      </c>
      <c r="I42" s="2" t="s">
        <v>42</v>
      </c>
      <c r="J42" s="2">
        <v>80</v>
      </c>
      <c r="K42" s="14">
        <f>VLOOKUP($C42,Sheet1!$A$2:$D$10,4,0)</f>
        <v>40</v>
      </c>
      <c r="L42" s="14" t="str">
        <f>VLOOKUP($C42,Sheet1!$A$2:$E$10,5,0)</f>
        <v>Trolley</v>
      </c>
      <c r="M42" s="14"/>
      <c r="N42" s="2">
        <f>J42/K42</f>
        <v>2</v>
      </c>
      <c r="O42" s="2" t="s">
        <v>861</v>
      </c>
      <c r="P42" s="2">
        <v>910103841</v>
      </c>
    </row>
    <row r="43" spans="1:16" x14ac:dyDescent="0.25">
      <c r="A43" s="15" t="s">
        <v>1131</v>
      </c>
      <c r="B43" s="18" t="s">
        <v>1103</v>
      </c>
      <c r="C43" s="2" t="s">
        <v>26</v>
      </c>
      <c r="D43" s="2" t="str">
        <f>VLOOKUP($C43,Sheet1!$A$2:$B$10,2,0)</f>
        <v>116040-92240</v>
      </c>
      <c r="E43" s="8" t="s">
        <v>75</v>
      </c>
      <c r="F43" s="12">
        <v>46010</v>
      </c>
      <c r="G43" s="13">
        <v>0.60416666666666663</v>
      </c>
      <c r="H43" s="2" t="s">
        <v>76</v>
      </c>
      <c r="I43" s="2" t="s">
        <v>42</v>
      </c>
      <c r="J43" s="2">
        <v>42</v>
      </c>
      <c r="K43" s="14">
        <f>VLOOKUP($C43,Sheet1!$A$2:$D$10,4,0)</f>
        <v>6</v>
      </c>
      <c r="L43" s="14" t="str">
        <f>VLOOKUP($C43,Sheet1!$A$2:$E$10,5,0)</f>
        <v>Bin</v>
      </c>
      <c r="M43" s="14">
        <f t="shared" ref="M43:M45" si="8">J43/K43</f>
        <v>7</v>
      </c>
      <c r="N43" s="2"/>
      <c r="O43" s="2" t="s">
        <v>861</v>
      </c>
      <c r="P43" s="2" t="s">
        <v>1213</v>
      </c>
    </row>
    <row r="44" spans="1:16" x14ac:dyDescent="0.25">
      <c r="A44" s="15" t="s">
        <v>1131</v>
      </c>
      <c r="B44" s="18" t="s">
        <v>1108</v>
      </c>
      <c r="C44" s="2" t="s">
        <v>32</v>
      </c>
      <c r="D44" s="2" t="str">
        <f>VLOOKUP($C44,Sheet1!$A$2:$B$10,2,0)</f>
        <v>114010-50820</v>
      </c>
      <c r="E44" s="8" t="s">
        <v>82</v>
      </c>
      <c r="F44" s="12">
        <v>46010</v>
      </c>
      <c r="G44" s="13">
        <v>0.60416666666666663</v>
      </c>
      <c r="H44" s="2" t="s">
        <v>76</v>
      </c>
      <c r="I44" s="2" t="s">
        <v>42</v>
      </c>
      <c r="J44" s="2">
        <v>16</v>
      </c>
      <c r="K44" s="14">
        <f>VLOOKUP($C44,Sheet1!$A$2:$D$10,4,0)</f>
        <v>1</v>
      </c>
      <c r="L44" s="14" t="str">
        <f>VLOOKUP($C44,Sheet1!$A$2:$E$10,5,0)</f>
        <v>Bin</v>
      </c>
      <c r="M44" s="14">
        <f t="shared" si="8"/>
        <v>16</v>
      </c>
      <c r="N44" s="2"/>
      <c r="O44" s="2" t="s">
        <v>861</v>
      </c>
      <c r="P44" s="2" t="s">
        <v>878</v>
      </c>
    </row>
    <row r="45" spans="1:16" x14ac:dyDescent="0.25">
      <c r="A45" s="15" t="s">
        <v>1131</v>
      </c>
      <c r="B45" s="18" t="s">
        <v>1113</v>
      </c>
      <c r="C45" s="2" t="s">
        <v>29</v>
      </c>
      <c r="D45" s="2" t="str">
        <f>VLOOKUP($C45,Sheet1!$A$2:$B$10,2,0)</f>
        <v>114010-50830</v>
      </c>
      <c r="E45" s="8" t="s">
        <v>82</v>
      </c>
      <c r="F45" s="12">
        <v>46010</v>
      </c>
      <c r="G45" s="13">
        <v>0.60416666666666663</v>
      </c>
      <c r="H45" s="2" t="s">
        <v>76</v>
      </c>
      <c r="I45" s="2" t="s">
        <v>42</v>
      </c>
      <c r="J45" s="2">
        <v>26</v>
      </c>
      <c r="K45" s="14">
        <f>VLOOKUP($C45,Sheet1!$A$2:$D$10,4,0)</f>
        <v>1</v>
      </c>
      <c r="L45" s="14" t="str">
        <f>VLOOKUP($C45,Sheet1!$A$2:$E$10,5,0)</f>
        <v>Bin</v>
      </c>
      <c r="M45" s="14">
        <f t="shared" si="8"/>
        <v>26</v>
      </c>
      <c r="N45" s="2"/>
      <c r="O45" s="2" t="s">
        <v>861</v>
      </c>
      <c r="P45" s="2" t="s">
        <v>1056</v>
      </c>
    </row>
    <row r="46" spans="1:16" s="11" customForma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>
        <v>91</v>
      </c>
      <c r="N46" s="10">
        <v>6</v>
      </c>
      <c r="O46" s="10"/>
      <c r="P46" s="10"/>
    </row>
    <row r="47" spans="1:16" x14ac:dyDescent="0.25">
      <c r="A47" s="15" t="s">
        <v>1132</v>
      </c>
      <c r="B47" s="18" t="s">
        <v>1075</v>
      </c>
      <c r="C47" s="2" t="s">
        <v>5</v>
      </c>
      <c r="D47" s="2" t="str">
        <f>VLOOKUP($C47,Sheet1!$A$2:$B$10,2,0)</f>
        <v>141110-14600</v>
      </c>
      <c r="E47" s="8" t="s">
        <v>40</v>
      </c>
      <c r="F47" s="12">
        <v>46010</v>
      </c>
      <c r="G47" s="13">
        <v>0.72916666666666663</v>
      </c>
      <c r="H47" s="2" t="s">
        <v>41</v>
      </c>
      <c r="I47" s="2" t="s">
        <v>42</v>
      </c>
      <c r="J47" s="2">
        <v>36</v>
      </c>
      <c r="K47" s="14">
        <f>VLOOKUP($C47,Sheet1!$A$2:$D$10,4,0)</f>
        <v>18</v>
      </c>
      <c r="L47" s="14" t="str">
        <f>VLOOKUP($C47,Sheet1!$A$2:$E$10,5,0)</f>
        <v>Trolley (H)</v>
      </c>
      <c r="M47" s="14"/>
      <c r="N47" s="51">
        <v>2</v>
      </c>
      <c r="O47" s="2" t="s">
        <v>1001</v>
      </c>
      <c r="P47" s="2" t="s">
        <v>1210</v>
      </c>
    </row>
    <row r="48" spans="1:16" x14ac:dyDescent="0.25">
      <c r="A48" s="15" t="s">
        <v>1132</v>
      </c>
      <c r="B48" s="18" t="s">
        <v>1080</v>
      </c>
      <c r="C48" s="2" t="s">
        <v>9</v>
      </c>
      <c r="D48" s="2" t="str">
        <f>VLOOKUP($C48,Sheet1!$A$2:$B$10,2,0)</f>
        <v>141120-14600</v>
      </c>
      <c r="E48" s="8" t="s">
        <v>47</v>
      </c>
      <c r="F48" s="12">
        <v>46010</v>
      </c>
      <c r="G48" s="13">
        <v>0.72916666666666663</v>
      </c>
      <c r="H48" s="2" t="s">
        <v>41</v>
      </c>
      <c r="I48" s="2" t="s">
        <v>42</v>
      </c>
      <c r="J48" s="2">
        <v>36</v>
      </c>
      <c r="K48" s="14">
        <f>VLOOKUP($C48,Sheet1!$A$2:$D$10,4,0)</f>
        <v>18</v>
      </c>
      <c r="L48" s="14" t="str">
        <f>VLOOKUP($C48,Sheet1!$A$2:$E$10,5,0)</f>
        <v>Trolley (H)</v>
      </c>
      <c r="M48" s="14"/>
      <c r="N48" s="52"/>
      <c r="O48" s="2" t="s">
        <v>1001</v>
      </c>
      <c r="P48" s="2" t="s">
        <v>1210</v>
      </c>
    </row>
    <row r="49" spans="1:16" x14ac:dyDescent="0.25">
      <c r="A49" s="15" t="s">
        <v>1132</v>
      </c>
      <c r="B49" s="18" t="s">
        <v>1084</v>
      </c>
      <c r="C49" s="2" t="s">
        <v>12</v>
      </c>
      <c r="D49" s="2" t="str">
        <f>VLOOKUP($C49,Sheet1!$A$2:$B$10,2,0)</f>
        <v>141185-74670</v>
      </c>
      <c r="E49" s="8" t="s">
        <v>52</v>
      </c>
      <c r="F49" s="12">
        <v>46010</v>
      </c>
      <c r="G49" s="13">
        <v>0.72916666666666663</v>
      </c>
      <c r="H49" s="2" t="s">
        <v>41</v>
      </c>
      <c r="I49" s="2" t="s">
        <v>42</v>
      </c>
      <c r="J49" s="2">
        <v>120</v>
      </c>
      <c r="K49" s="14">
        <f>VLOOKUP($C49,Sheet1!$A$2:$D$10,4,0)</f>
        <v>40</v>
      </c>
      <c r="L49" s="14" t="str">
        <f>VLOOKUP($C49,Sheet1!$A$2:$E$10,5,0)</f>
        <v>Trolley</v>
      </c>
      <c r="M49" s="14"/>
      <c r="N49" s="2">
        <f>J49/K49</f>
        <v>3</v>
      </c>
      <c r="O49" s="2" t="s">
        <v>1001</v>
      </c>
      <c r="P49" s="2">
        <v>910103841</v>
      </c>
    </row>
    <row r="50" spans="1:16" x14ac:dyDescent="0.25">
      <c r="A50" s="15" t="s">
        <v>1132</v>
      </c>
      <c r="B50" s="18" t="s">
        <v>1089</v>
      </c>
      <c r="C50" s="2" t="s">
        <v>16</v>
      </c>
      <c r="D50" s="2" t="str">
        <f>VLOOKUP($C50,Sheet1!$A$2:$B$10,2,0)</f>
        <v>141140-91211</v>
      </c>
      <c r="E50" s="8" t="s">
        <v>57</v>
      </c>
      <c r="F50" s="12">
        <v>46010</v>
      </c>
      <c r="G50" s="13">
        <v>0.72916666666666663</v>
      </c>
      <c r="H50" s="2" t="s">
        <v>58</v>
      </c>
      <c r="I50" s="2" t="s">
        <v>42</v>
      </c>
      <c r="J50" s="2">
        <v>40</v>
      </c>
      <c r="K50" s="14">
        <f>VLOOKUP($C50,Sheet1!$A$2:$D$10,4,0)</f>
        <v>2</v>
      </c>
      <c r="L50" s="14" t="str">
        <f>VLOOKUP($C50,Sheet1!$A$2:$E$10,5,0)</f>
        <v>Bin</v>
      </c>
      <c r="M50" s="14">
        <f t="shared" ref="M50:M51" si="9">J50/K50</f>
        <v>20</v>
      </c>
      <c r="N50" s="2"/>
      <c r="O50" s="2" t="s">
        <v>1001</v>
      </c>
      <c r="P50" s="2" t="s">
        <v>1056</v>
      </c>
    </row>
    <row r="51" spans="1:16" x14ac:dyDescent="0.25">
      <c r="A51" s="15" t="s">
        <v>1132</v>
      </c>
      <c r="B51" s="18" t="s">
        <v>1094</v>
      </c>
      <c r="C51" s="2" t="s">
        <v>20</v>
      </c>
      <c r="D51" s="2" t="str">
        <f>VLOOKUP($C51,Sheet1!$A$2:$B$10,2,0)</f>
        <v>141150-91211</v>
      </c>
      <c r="E51" s="8" t="s">
        <v>64</v>
      </c>
      <c r="F51" s="12">
        <v>46010</v>
      </c>
      <c r="G51" s="13">
        <v>0.72916666666666663</v>
      </c>
      <c r="H51" s="2" t="s">
        <v>58</v>
      </c>
      <c r="I51" s="2" t="s">
        <v>42</v>
      </c>
      <c r="J51" s="2">
        <v>40</v>
      </c>
      <c r="K51" s="14">
        <f>VLOOKUP($C51,Sheet1!$A$2:$D$10,4,0)</f>
        <v>2</v>
      </c>
      <c r="L51" s="14" t="str">
        <f>VLOOKUP($C51,Sheet1!$A$2:$E$10,5,0)</f>
        <v>Bin</v>
      </c>
      <c r="M51" s="14">
        <f t="shared" si="9"/>
        <v>20</v>
      </c>
      <c r="N51" s="2"/>
      <c r="O51" s="2" t="s">
        <v>1001</v>
      </c>
      <c r="P51" s="2" t="s">
        <v>1056</v>
      </c>
    </row>
    <row r="52" spans="1:16" x14ac:dyDescent="0.25">
      <c r="A52" s="15" t="s">
        <v>1132</v>
      </c>
      <c r="B52" s="18" t="s">
        <v>1099</v>
      </c>
      <c r="C52" s="2" t="s">
        <v>23</v>
      </c>
      <c r="D52" s="2" t="str">
        <f>VLOOKUP($C52,Sheet1!$A$2:$B$10,2,0)</f>
        <v>141186-74360</v>
      </c>
      <c r="E52" s="8" t="s">
        <v>70</v>
      </c>
      <c r="F52" s="12">
        <v>46010</v>
      </c>
      <c r="G52" s="13">
        <v>0.72916666666666663</v>
      </c>
      <c r="H52" s="2" t="s">
        <v>58</v>
      </c>
      <c r="I52" s="2" t="s">
        <v>42</v>
      </c>
      <c r="J52" s="2">
        <v>80</v>
      </c>
      <c r="K52" s="14">
        <f>VLOOKUP($C52,Sheet1!$A$2:$D$10,4,0)</f>
        <v>40</v>
      </c>
      <c r="L52" s="14" t="str">
        <f>VLOOKUP($C52,Sheet1!$A$2:$E$10,5,0)</f>
        <v>Trolley</v>
      </c>
      <c r="M52" s="14"/>
      <c r="N52" s="2">
        <f>J52/K52</f>
        <v>2</v>
      </c>
      <c r="O52" s="2" t="s">
        <v>1001</v>
      </c>
      <c r="P52" s="2">
        <v>910103841</v>
      </c>
    </row>
    <row r="53" spans="1:16" x14ac:dyDescent="0.25">
      <c r="A53" s="15" t="s">
        <v>1133</v>
      </c>
      <c r="B53" s="18" t="s">
        <v>1104</v>
      </c>
      <c r="C53" s="2" t="s">
        <v>26</v>
      </c>
      <c r="D53" s="2" t="str">
        <f>VLOOKUP($C53,Sheet1!$A$2:$B$10,2,0)</f>
        <v>116040-92240</v>
      </c>
      <c r="E53" s="8" t="s">
        <v>75</v>
      </c>
      <c r="F53" s="12">
        <v>46010</v>
      </c>
      <c r="G53" s="13">
        <v>0.72916666666666663</v>
      </c>
      <c r="H53" s="2" t="s">
        <v>76</v>
      </c>
      <c r="I53" s="2" t="s">
        <v>42</v>
      </c>
      <c r="J53" s="2">
        <v>42</v>
      </c>
      <c r="K53" s="14">
        <f>VLOOKUP($C53,Sheet1!$A$2:$D$10,4,0)</f>
        <v>6</v>
      </c>
      <c r="L53" s="14" t="str">
        <f>VLOOKUP($C53,Sheet1!$A$2:$E$10,5,0)</f>
        <v>Bin</v>
      </c>
      <c r="M53" s="14">
        <f t="shared" ref="M53:M55" si="10">J53/K53</f>
        <v>7</v>
      </c>
      <c r="N53" s="2"/>
      <c r="O53" s="2" t="s">
        <v>1001</v>
      </c>
      <c r="P53" s="2" t="s">
        <v>1213</v>
      </c>
    </row>
    <row r="54" spans="1:16" x14ac:dyDescent="0.25">
      <c r="A54" s="15" t="s">
        <v>1133</v>
      </c>
      <c r="B54" s="18" t="s">
        <v>1109</v>
      </c>
      <c r="C54" s="2" t="s">
        <v>32</v>
      </c>
      <c r="D54" s="2" t="str">
        <f>VLOOKUP($C54,Sheet1!$A$2:$B$10,2,0)</f>
        <v>114010-50820</v>
      </c>
      <c r="E54" s="8" t="s">
        <v>82</v>
      </c>
      <c r="F54" s="12">
        <v>46010</v>
      </c>
      <c r="G54" s="13">
        <v>0.72916666666666663</v>
      </c>
      <c r="H54" s="2" t="s">
        <v>76</v>
      </c>
      <c r="I54" s="2" t="s">
        <v>42</v>
      </c>
      <c r="J54" s="2">
        <v>15</v>
      </c>
      <c r="K54" s="14">
        <f>VLOOKUP($C54,Sheet1!$A$2:$D$10,4,0)</f>
        <v>1</v>
      </c>
      <c r="L54" s="14" t="str">
        <f>VLOOKUP($C54,Sheet1!$A$2:$E$10,5,0)</f>
        <v>Bin</v>
      </c>
      <c r="M54" s="14">
        <f t="shared" si="10"/>
        <v>15</v>
      </c>
      <c r="N54" s="2"/>
      <c r="O54" s="2" t="s">
        <v>1001</v>
      </c>
      <c r="P54" s="2" t="s">
        <v>878</v>
      </c>
    </row>
    <row r="55" spans="1:16" x14ac:dyDescent="0.25">
      <c r="A55" s="15" t="s">
        <v>1133</v>
      </c>
      <c r="B55" s="18" t="s">
        <v>1114</v>
      </c>
      <c r="C55" s="2" t="s">
        <v>29</v>
      </c>
      <c r="D55" s="2" t="str">
        <f>VLOOKUP($C55,Sheet1!$A$2:$B$10,2,0)</f>
        <v>114010-50830</v>
      </c>
      <c r="E55" s="8" t="s">
        <v>82</v>
      </c>
      <c r="F55" s="12">
        <v>46010</v>
      </c>
      <c r="G55" s="13">
        <v>0.72916666666666663</v>
      </c>
      <c r="H55" s="2" t="s">
        <v>76</v>
      </c>
      <c r="I55" s="2" t="s">
        <v>42</v>
      </c>
      <c r="J55" s="2">
        <v>25</v>
      </c>
      <c r="K55" s="14">
        <f>VLOOKUP($C55,Sheet1!$A$2:$D$10,4,0)</f>
        <v>1</v>
      </c>
      <c r="L55" s="14" t="str">
        <f>VLOOKUP($C55,Sheet1!$A$2:$E$10,5,0)</f>
        <v>Bin</v>
      </c>
      <c r="M55" s="14">
        <f t="shared" si="10"/>
        <v>25</v>
      </c>
      <c r="N55" s="2"/>
      <c r="O55" s="2" t="s">
        <v>1001</v>
      </c>
      <c r="P55" s="2" t="s">
        <v>1218</v>
      </c>
    </row>
    <row r="56" spans="1:16" s="11" customForma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>
        <v>87</v>
      </c>
      <c r="N56" s="10">
        <v>7</v>
      </c>
      <c r="O56" s="10"/>
      <c r="P56" s="10"/>
    </row>
    <row r="57" spans="1:16" x14ac:dyDescent="0.25">
      <c r="A57" s="2"/>
      <c r="B57" s="2" t="s">
        <v>1115</v>
      </c>
      <c r="C57" s="2"/>
      <c r="D57" s="2"/>
      <c r="E57" s="8"/>
      <c r="F57" s="12"/>
      <c r="G57" s="13"/>
      <c r="H57" s="2"/>
      <c r="I57" s="2"/>
      <c r="J57" s="2"/>
      <c r="K57" s="14"/>
      <c r="L57" s="14"/>
      <c r="M57" s="14"/>
      <c r="N57" s="2"/>
      <c r="O57" s="2"/>
      <c r="P57" s="2"/>
    </row>
    <row r="58" spans="1:16" x14ac:dyDescent="0.25">
      <c r="A58" s="2"/>
      <c r="B58" s="2"/>
      <c r="C58" s="2"/>
      <c r="D58" s="2"/>
      <c r="E58" s="8"/>
      <c r="F58" s="12"/>
      <c r="G58" s="13"/>
      <c r="H58" s="2"/>
      <c r="I58" s="2"/>
      <c r="J58" s="2"/>
      <c r="K58" s="14"/>
      <c r="L58" s="14"/>
      <c r="M58" s="14"/>
      <c r="N58" s="2"/>
      <c r="O58" s="2"/>
      <c r="P58" s="2"/>
    </row>
  </sheetData>
  <mergeCells count="9">
    <mergeCell ref="N47:N48"/>
    <mergeCell ref="N4:N5"/>
    <mergeCell ref="A1:F1"/>
    <mergeCell ref="J1:N1"/>
    <mergeCell ref="L2:N2"/>
    <mergeCell ref="N15:N16"/>
    <mergeCell ref="N17:N18"/>
    <mergeCell ref="N27:N28"/>
    <mergeCell ref="N37:N38"/>
  </mergeCells>
  <conditionalFormatting sqref="B2">
    <cfRule type="duplicateValues" dxfId="40" priority="2"/>
    <cfRule type="duplicateValues" dxfId="39" priority="3"/>
  </conditionalFormatting>
  <conditionalFormatting sqref="B27:B35 B37:B45 B47:B55 B57:B58 B15:B25 B4:B13">
    <cfRule type="duplicateValues" dxfId="38" priority="17"/>
  </conditionalFormatting>
  <conditionalFormatting sqref="C2:D2">
    <cfRule type="duplicateValues" dxfId="37" priority="4"/>
    <cfRule type="duplicateValues" dxfId="36" priority="5"/>
  </conditionalFormatting>
  <hyperlinks>
    <hyperlink ref="B57" r:id="rId1" display="http://192.168.1.248/downloads/temp/X539_eNagare_20251218.log" xr:uid="{00000000-0004-0000-1500-000000000000}"/>
  </hyperlinks>
  <pageMargins left="0.17" right="0.17" top="0.17" bottom="0.17" header="0.17" footer="0.17"/>
  <pageSetup paperSize="9" scale="60" orientation="landscape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9"/>
  <sheetViews>
    <sheetView workbookViewId="0">
      <selection activeCell="C7" sqref="C7"/>
    </sheetView>
  </sheetViews>
  <sheetFormatPr defaultColWidth="60" defaultRowHeight="15" x14ac:dyDescent="0.25"/>
  <cols>
    <col min="1" max="1" width="9.140625" bestFit="1" customWidth="1"/>
    <col min="2" max="2" width="17.85546875" bestFit="1" customWidth="1"/>
    <col min="3" max="3" width="18" bestFit="1" customWidth="1"/>
    <col min="4" max="4" width="14.7109375" bestFit="1" customWidth="1"/>
    <col min="5" max="5" width="17.28515625" bestFit="1" customWidth="1"/>
    <col min="6" max="6" width="16.28515625" bestFit="1" customWidth="1"/>
    <col min="7" max="7" width="22" bestFit="1" customWidth="1"/>
    <col min="8" max="8" width="20.5703125" customWidth="1"/>
    <col min="9" max="9" width="20.28515625" hidden="1" customWidth="1"/>
    <col min="10" max="10" width="10.140625" bestFit="1" customWidth="1"/>
    <col min="11" max="11" width="11" bestFit="1" customWidth="1"/>
    <col min="12" max="12" width="20.140625" bestFit="1" customWidth="1"/>
    <col min="13" max="13" width="20.5703125" bestFit="1" customWidth="1"/>
    <col min="14" max="14" width="8.42578125" bestFit="1" customWidth="1"/>
    <col min="15" max="15" width="15.42578125" customWidth="1"/>
    <col min="16" max="16" width="10.140625" bestFit="1" customWidth="1"/>
    <col min="17" max="17" width="26.140625" bestFit="1" customWidth="1"/>
  </cols>
  <sheetData>
    <row r="1" spans="1:17" ht="15.75" thickBot="1" x14ac:dyDescent="0.3">
      <c r="A1" s="25" t="s">
        <v>862</v>
      </c>
      <c r="B1" s="25"/>
      <c r="C1" s="25" t="s">
        <v>507</v>
      </c>
      <c r="D1" s="25" t="s">
        <v>508</v>
      </c>
      <c r="E1" s="25" t="s">
        <v>514</v>
      </c>
      <c r="F1" s="25" t="s">
        <v>509</v>
      </c>
      <c r="G1" s="25" t="s">
        <v>510</v>
      </c>
      <c r="H1" s="10" t="s">
        <v>101</v>
      </c>
      <c r="I1" s="25" t="s">
        <v>512</v>
      </c>
      <c r="J1" s="25" t="s">
        <v>513</v>
      </c>
      <c r="K1" s="25" t="s">
        <v>515</v>
      </c>
      <c r="L1" s="25" t="s">
        <v>516</v>
      </c>
      <c r="M1" s="25" t="s">
        <v>517</v>
      </c>
      <c r="N1" s="25" t="s">
        <v>518</v>
      </c>
      <c r="O1" s="10" t="s">
        <v>96</v>
      </c>
      <c r="P1" s="25" t="s">
        <v>520</v>
      </c>
      <c r="Q1" s="25" t="s">
        <v>521</v>
      </c>
    </row>
    <row r="2" spans="1:17" ht="15.75" thickBot="1" x14ac:dyDescent="0.3">
      <c r="A2" s="26" t="s">
        <v>522</v>
      </c>
      <c r="B2" s="50" t="s">
        <v>1518</v>
      </c>
      <c r="C2" s="27">
        <v>46011</v>
      </c>
      <c r="D2" s="26" t="s">
        <v>458</v>
      </c>
      <c r="E2" s="31" t="s">
        <v>1134</v>
      </c>
      <c r="F2" s="26" t="s">
        <v>23</v>
      </c>
      <c r="G2" s="33">
        <v>20</v>
      </c>
      <c r="H2" s="33">
        <v>1</v>
      </c>
      <c r="I2" s="26">
        <v>1</v>
      </c>
      <c r="J2" s="26" t="s">
        <v>524</v>
      </c>
      <c r="K2" s="26" t="s">
        <v>526</v>
      </c>
      <c r="L2" s="26" t="s">
        <v>527</v>
      </c>
      <c r="M2" s="26" t="s">
        <v>528</v>
      </c>
      <c r="N2" s="26">
        <v>3733.5</v>
      </c>
      <c r="O2" s="26" t="s">
        <v>1201</v>
      </c>
      <c r="P2" s="26"/>
      <c r="Q2" s="28" t="s">
        <v>529</v>
      </c>
    </row>
    <row r="3" spans="1:17" ht="15.75" thickBot="1" x14ac:dyDescent="0.3">
      <c r="A3" s="26" t="s">
        <v>522</v>
      </c>
      <c r="B3" s="50" t="s">
        <v>1518</v>
      </c>
      <c r="C3" s="27">
        <v>46011</v>
      </c>
      <c r="D3" s="26" t="s">
        <v>458</v>
      </c>
      <c r="E3" s="31" t="s">
        <v>1143</v>
      </c>
      <c r="F3" s="26" t="s">
        <v>1142</v>
      </c>
      <c r="G3" s="33">
        <v>10</v>
      </c>
      <c r="H3" s="33">
        <v>10</v>
      </c>
      <c r="I3" s="26">
        <v>2</v>
      </c>
      <c r="J3" s="26" t="s">
        <v>524</v>
      </c>
      <c r="K3" s="26" t="s">
        <v>526</v>
      </c>
      <c r="L3" s="26" t="s">
        <v>527</v>
      </c>
      <c r="M3" s="26" t="s">
        <v>528</v>
      </c>
      <c r="N3" s="26">
        <v>3917.5</v>
      </c>
      <c r="O3" s="26" t="s">
        <v>1201</v>
      </c>
      <c r="P3" s="26"/>
      <c r="Q3" s="28" t="s">
        <v>529</v>
      </c>
    </row>
    <row r="4" spans="1:17" ht="15.75" thickBot="1" x14ac:dyDescent="0.3">
      <c r="A4" s="26" t="s">
        <v>522</v>
      </c>
      <c r="B4" s="50" t="s">
        <v>1518</v>
      </c>
      <c r="C4" s="27">
        <v>46011</v>
      </c>
      <c r="D4" s="26" t="s">
        <v>458</v>
      </c>
      <c r="E4" s="31" t="s">
        <v>1137</v>
      </c>
      <c r="F4" s="26" t="s">
        <v>1136</v>
      </c>
      <c r="G4" s="33">
        <v>18</v>
      </c>
      <c r="H4" s="33">
        <v>6</v>
      </c>
      <c r="I4" s="26">
        <v>3</v>
      </c>
      <c r="J4" s="26" t="s">
        <v>524</v>
      </c>
      <c r="K4" s="26" t="s">
        <v>526</v>
      </c>
      <c r="L4" s="26" t="s">
        <v>527</v>
      </c>
      <c r="M4" s="26" t="s">
        <v>528</v>
      </c>
      <c r="N4" s="26">
        <v>28578</v>
      </c>
      <c r="O4" s="26" t="s">
        <v>1201</v>
      </c>
      <c r="P4" s="26"/>
      <c r="Q4" s="28" t="s">
        <v>529</v>
      </c>
    </row>
    <row r="5" spans="1:17" ht="15.75" thickBot="1" x14ac:dyDescent="0.3">
      <c r="A5" s="26" t="s">
        <v>522</v>
      </c>
      <c r="B5" s="50" t="s">
        <v>1518</v>
      </c>
      <c r="C5" s="27">
        <v>46011</v>
      </c>
      <c r="D5" s="26" t="s">
        <v>458</v>
      </c>
      <c r="E5" s="31" t="s">
        <v>1141</v>
      </c>
      <c r="F5" s="26" t="s">
        <v>1140</v>
      </c>
      <c r="G5" s="33">
        <v>18</v>
      </c>
      <c r="H5" s="33">
        <v>6</v>
      </c>
      <c r="I5" s="26">
        <v>4</v>
      </c>
      <c r="J5" s="26" t="s">
        <v>524</v>
      </c>
      <c r="K5" s="26" t="s">
        <v>526</v>
      </c>
      <c r="L5" s="26" t="s">
        <v>527</v>
      </c>
      <c r="M5" s="26" t="s">
        <v>528</v>
      </c>
      <c r="N5" s="26">
        <v>28578</v>
      </c>
      <c r="O5" s="26" t="s">
        <v>1201</v>
      </c>
      <c r="P5" s="26"/>
      <c r="Q5" s="28" t="s">
        <v>529</v>
      </c>
    </row>
    <row r="6" spans="1:17" ht="15.75" thickBot="1" x14ac:dyDescent="0.3">
      <c r="A6" s="26" t="s">
        <v>522</v>
      </c>
      <c r="B6" s="50" t="s">
        <v>1518</v>
      </c>
      <c r="C6" s="27">
        <v>46011</v>
      </c>
      <c r="D6" s="26" t="s">
        <v>458</v>
      </c>
      <c r="E6" s="31" t="s">
        <v>1135</v>
      </c>
      <c r="F6" s="26" t="s">
        <v>1041</v>
      </c>
      <c r="G6" s="33">
        <v>12</v>
      </c>
      <c r="H6" s="33">
        <v>6</v>
      </c>
      <c r="I6" s="26">
        <v>5</v>
      </c>
      <c r="J6" s="26" t="s">
        <v>524</v>
      </c>
      <c r="K6" s="26" t="s">
        <v>526</v>
      </c>
      <c r="L6" s="26" t="s">
        <v>527</v>
      </c>
      <c r="M6" s="26" t="s">
        <v>528</v>
      </c>
      <c r="N6" s="26">
        <v>28578</v>
      </c>
      <c r="O6" s="26" t="s">
        <v>1201</v>
      </c>
      <c r="P6" s="26"/>
      <c r="Q6" s="28" t="s">
        <v>529</v>
      </c>
    </row>
    <row r="7" spans="1:17" ht="15.75" thickBot="1" x14ac:dyDescent="0.3">
      <c r="A7" s="26" t="s">
        <v>522</v>
      </c>
      <c r="B7" s="50" t="s">
        <v>1518</v>
      </c>
      <c r="C7" s="27">
        <v>46011</v>
      </c>
      <c r="D7" s="26" t="s">
        <v>458</v>
      </c>
      <c r="E7" s="31" t="s">
        <v>1139</v>
      </c>
      <c r="F7" s="26" t="s">
        <v>1138</v>
      </c>
      <c r="G7" s="33">
        <v>6</v>
      </c>
      <c r="H7" s="33">
        <v>6</v>
      </c>
      <c r="I7" s="26">
        <v>6</v>
      </c>
      <c r="J7" s="26" t="s">
        <v>524</v>
      </c>
      <c r="K7" s="26" t="s">
        <v>526</v>
      </c>
      <c r="L7" s="26" t="s">
        <v>527</v>
      </c>
      <c r="M7" s="26" t="s">
        <v>528</v>
      </c>
      <c r="N7" s="26">
        <v>28578</v>
      </c>
      <c r="O7" s="26" t="s">
        <v>1201</v>
      </c>
      <c r="P7" s="26"/>
      <c r="Q7" s="28" t="s">
        <v>529</v>
      </c>
    </row>
    <row r="8" spans="1:17" x14ac:dyDescent="0.25">
      <c r="G8" s="36"/>
      <c r="H8" s="36"/>
    </row>
    <row r="9" spans="1:17" x14ac:dyDescent="0.25">
      <c r="A9" t="s">
        <v>1144</v>
      </c>
    </row>
  </sheetData>
  <autoFilter ref="A1:Q1" xr:uid="{00000000-0009-0000-0000-000016000000}">
    <sortState xmlns:xlrd2="http://schemas.microsoft.com/office/spreadsheetml/2017/richdata2" ref="A2:Q7">
      <sortCondition ref="I1"/>
    </sortState>
  </autoFilter>
  <hyperlinks>
    <hyperlink ref="A9" r:id="rId1" display="http://192.168.1.248/downloads/temp/X53920251219Spares.log" xr:uid="{00000000-0004-0000-1600-000000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P48"/>
  <sheetViews>
    <sheetView topLeftCell="A16" workbookViewId="0">
      <selection activeCell="A4" sqref="A4:XFD45"/>
    </sheetView>
  </sheetViews>
  <sheetFormatPr defaultColWidth="46.5703125" defaultRowHeight="15" x14ac:dyDescent="0.25"/>
  <cols>
    <col min="1" max="1" width="16.28515625" customWidth="1"/>
    <col min="2" max="2" width="17.28515625" customWidth="1"/>
    <col min="3" max="3" width="14.140625" bestFit="1" customWidth="1"/>
    <col min="4" max="4" width="16.28515625" hidden="1" customWidth="1"/>
    <col min="5" max="5" width="32.5703125" bestFit="1" customWidth="1"/>
    <col min="6" max="6" width="9.7109375" bestFit="1" customWidth="1"/>
    <col min="7" max="7" width="8.140625" bestFit="1" customWidth="1"/>
    <col min="8" max="8" width="12.5703125" bestFit="1" customWidth="1"/>
    <col min="9" max="9" width="4.7109375" bestFit="1" customWidth="1"/>
    <col min="10" max="10" width="8" bestFit="1" customWidth="1"/>
    <col min="11" max="11" width="9" hidden="1" customWidth="1"/>
    <col min="12" max="12" width="10.5703125" hidden="1" customWidth="1"/>
    <col min="13" max="13" width="7.140625" bestFit="1" customWidth="1"/>
    <col min="14" max="14" width="7.85546875" customWidth="1"/>
    <col min="15" max="15" width="10.7109375" customWidth="1"/>
    <col min="16" max="16" width="50.140625" customWidth="1"/>
  </cols>
  <sheetData>
    <row r="1" spans="1:16" ht="23.25" x14ac:dyDescent="0.25">
      <c r="A1" s="53" t="s">
        <v>93</v>
      </c>
      <c r="B1" s="53"/>
      <c r="C1" s="53"/>
      <c r="D1" s="53"/>
      <c r="E1" s="53"/>
      <c r="F1" s="53"/>
      <c r="G1" s="2"/>
      <c r="H1" s="2"/>
      <c r="I1" s="2"/>
      <c r="J1" s="54" t="s">
        <v>94</v>
      </c>
      <c r="K1" s="55"/>
      <c r="L1" s="55"/>
      <c r="M1" s="55"/>
      <c r="N1" s="55"/>
      <c r="O1" s="3"/>
      <c r="P1" s="4"/>
    </row>
    <row r="2" spans="1:16" ht="16.5" customHeight="1" x14ac:dyDescent="0.25">
      <c r="A2" s="5" t="s">
        <v>95</v>
      </c>
      <c r="B2" s="6">
        <v>46011</v>
      </c>
      <c r="C2" s="7"/>
      <c r="D2" s="7"/>
      <c r="E2" s="2"/>
      <c r="F2" s="8"/>
      <c r="G2" s="2"/>
      <c r="H2" s="2"/>
      <c r="I2" s="2"/>
      <c r="J2" s="2"/>
      <c r="K2" s="2"/>
      <c r="L2" s="56" t="s">
        <v>96</v>
      </c>
      <c r="M2" s="57"/>
      <c r="N2" s="58"/>
      <c r="O2" s="2"/>
      <c r="P2" s="2"/>
    </row>
    <row r="3" spans="1:16" s="11" customFormat="1" ht="35.25" customHeight="1" x14ac:dyDescent="0.25">
      <c r="A3" s="10" t="s">
        <v>97</v>
      </c>
      <c r="B3" s="10" t="s">
        <v>35</v>
      </c>
      <c r="C3" s="10" t="s">
        <v>0</v>
      </c>
      <c r="D3" s="10" t="s">
        <v>98</v>
      </c>
      <c r="E3" s="10" t="s">
        <v>2</v>
      </c>
      <c r="F3" s="10" t="s">
        <v>36</v>
      </c>
      <c r="G3" s="10" t="s">
        <v>37</v>
      </c>
      <c r="H3" s="10" t="s">
        <v>38</v>
      </c>
      <c r="I3" s="10" t="s">
        <v>99</v>
      </c>
      <c r="J3" s="10" t="s">
        <v>100</v>
      </c>
      <c r="K3" s="10" t="s">
        <v>101</v>
      </c>
      <c r="L3" s="10" t="s">
        <v>102</v>
      </c>
      <c r="M3" s="10" t="s">
        <v>103</v>
      </c>
      <c r="N3" s="10" t="s">
        <v>104</v>
      </c>
      <c r="O3" s="10" t="s">
        <v>96</v>
      </c>
      <c r="P3" s="10" t="s">
        <v>105</v>
      </c>
    </row>
    <row r="4" spans="1:16" x14ac:dyDescent="0.25">
      <c r="A4" s="15" t="s">
        <v>1191</v>
      </c>
      <c r="B4" s="18" t="s">
        <v>1145</v>
      </c>
      <c r="C4" s="2" t="s">
        <v>5</v>
      </c>
      <c r="D4" s="2" t="str">
        <f>VLOOKUP($C4,Sheet1!$A$2:$B$10,2,0)</f>
        <v>141110-14600</v>
      </c>
      <c r="E4" s="8" t="s">
        <v>40</v>
      </c>
      <c r="F4" s="12">
        <v>46011</v>
      </c>
      <c r="G4" s="13">
        <v>0.27083333333333331</v>
      </c>
      <c r="H4" s="2" t="s">
        <v>41</v>
      </c>
      <c r="I4" s="2" t="s">
        <v>42</v>
      </c>
      <c r="J4" s="2">
        <v>54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1">
        <v>3</v>
      </c>
      <c r="O4" s="2" t="s">
        <v>113</v>
      </c>
      <c r="P4" s="2" t="s">
        <v>1210</v>
      </c>
    </row>
    <row r="5" spans="1:16" x14ac:dyDescent="0.25">
      <c r="A5" s="15" t="s">
        <v>1191</v>
      </c>
      <c r="B5" s="18" t="s">
        <v>1150</v>
      </c>
      <c r="C5" s="2" t="s">
        <v>9</v>
      </c>
      <c r="D5" s="2" t="str">
        <f>VLOOKUP($C5,Sheet1!$A$2:$B$10,2,0)</f>
        <v>141120-14600</v>
      </c>
      <c r="E5" s="8" t="s">
        <v>47</v>
      </c>
      <c r="F5" s="12">
        <v>46011</v>
      </c>
      <c r="G5" s="13">
        <v>0.27083333333333331</v>
      </c>
      <c r="H5" s="2" t="s">
        <v>41</v>
      </c>
      <c r="I5" s="2" t="s">
        <v>42</v>
      </c>
      <c r="J5" s="2">
        <v>54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2"/>
      <c r="O5" s="2" t="s">
        <v>113</v>
      </c>
      <c r="P5" s="2" t="s">
        <v>1210</v>
      </c>
    </row>
    <row r="6" spans="1:16" x14ac:dyDescent="0.25">
      <c r="A6" s="15" t="s">
        <v>1191</v>
      </c>
      <c r="B6" s="18" t="s">
        <v>1155</v>
      </c>
      <c r="C6" s="2" t="s">
        <v>12</v>
      </c>
      <c r="D6" s="2" t="str">
        <f>VLOOKUP($C6,Sheet1!$A$2:$B$10,2,0)</f>
        <v>141185-74670</v>
      </c>
      <c r="E6" s="8" t="s">
        <v>52</v>
      </c>
      <c r="F6" s="12">
        <v>46011</v>
      </c>
      <c r="G6" s="13">
        <v>0.27083333333333331</v>
      </c>
      <c r="H6" s="2" t="s">
        <v>41</v>
      </c>
      <c r="I6" s="2" t="s">
        <v>42</v>
      </c>
      <c r="J6" s="2">
        <v>80</v>
      </c>
      <c r="K6" s="14">
        <f>VLOOKUP($C6,Sheet1!$A$2:$D$10,4,0)</f>
        <v>40</v>
      </c>
      <c r="L6" s="14" t="str">
        <f>VLOOKUP($C6,Sheet1!$A$2:$E$10,5,0)</f>
        <v>Trolley</v>
      </c>
      <c r="M6" s="14"/>
      <c r="N6" s="2">
        <f>J6/K6</f>
        <v>2</v>
      </c>
      <c r="O6" s="2" t="s">
        <v>113</v>
      </c>
      <c r="P6" s="2">
        <v>910103841</v>
      </c>
    </row>
    <row r="7" spans="1:16" x14ac:dyDescent="0.25">
      <c r="A7" s="15" t="s">
        <v>1191</v>
      </c>
      <c r="B7" s="18" t="s">
        <v>1160</v>
      </c>
      <c r="C7" s="2" t="s">
        <v>16</v>
      </c>
      <c r="D7" s="2" t="str">
        <f>VLOOKUP($C7,Sheet1!$A$2:$B$10,2,0)</f>
        <v>141140-91211</v>
      </c>
      <c r="E7" s="8" t="s">
        <v>57</v>
      </c>
      <c r="F7" s="12">
        <v>46011</v>
      </c>
      <c r="G7" s="13">
        <v>0.27083333333333331</v>
      </c>
      <c r="H7" s="2" t="s">
        <v>58</v>
      </c>
      <c r="I7" s="2" t="s">
        <v>42</v>
      </c>
      <c r="J7" s="2">
        <v>56</v>
      </c>
      <c r="K7" s="14">
        <f>VLOOKUP($C7,Sheet1!$A$2:$D$10,4,0)</f>
        <v>2</v>
      </c>
      <c r="L7" s="14" t="str">
        <f>VLOOKUP($C7,Sheet1!$A$2:$E$10,5,0)</f>
        <v>Bin</v>
      </c>
      <c r="M7" s="14">
        <f>J7/K7</f>
        <v>28</v>
      </c>
      <c r="N7" s="2"/>
      <c r="O7" s="2" t="s">
        <v>113</v>
      </c>
      <c r="P7" s="2" t="s">
        <v>1056</v>
      </c>
    </row>
    <row r="8" spans="1:16" x14ac:dyDescent="0.25">
      <c r="A8" s="15" t="s">
        <v>1191</v>
      </c>
      <c r="B8" s="18" t="s">
        <v>1165</v>
      </c>
      <c r="C8" s="2" t="s">
        <v>20</v>
      </c>
      <c r="D8" s="2" t="str">
        <f>VLOOKUP($C8,Sheet1!$A$2:$B$10,2,0)</f>
        <v>141150-91211</v>
      </c>
      <c r="E8" s="8" t="s">
        <v>64</v>
      </c>
      <c r="F8" s="12">
        <v>46011</v>
      </c>
      <c r="G8" s="13">
        <v>0.27083333333333331</v>
      </c>
      <c r="H8" s="2" t="s">
        <v>58</v>
      </c>
      <c r="I8" s="2" t="s">
        <v>42</v>
      </c>
      <c r="J8" s="2">
        <v>54</v>
      </c>
      <c r="K8" s="14">
        <f>VLOOKUP($C8,Sheet1!$A$2:$D$10,4,0)</f>
        <v>2</v>
      </c>
      <c r="L8" s="14" t="str">
        <f>VLOOKUP($C8,Sheet1!$A$2:$E$10,5,0)</f>
        <v>Bin</v>
      </c>
      <c r="M8" s="14">
        <f t="shared" ref="M8" si="0">J8/K8</f>
        <v>27</v>
      </c>
      <c r="N8" s="2"/>
      <c r="O8" s="2" t="s">
        <v>113</v>
      </c>
      <c r="P8" s="2" t="s">
        <v>1056</v>
      </c>
    </row>
    <row r="9" spans="1:16" x14ac:dyDescent="0.25">
      <c r="A9" s="15" t="s">
        <v>1191</v>
      </c>
      <c r="B9" s="18" t="s">
        <v>1170</v>
      </c>
      <c r="C9" s="2" t="s">
        <v>23</v>
      </c>
      <c r="D9" s="2" t="str">
        <f>VLOOKUP($C9,Sheet1!$A$2:$B$10,2,0)</f>
        <v>141186-74360</v>
      </c>
      <c r="E9" s="8" t="s">
        <v>70</v>
      </c>
      <c r="F9" s="12">
        <v>46011</v>
      </c>
      <c r="G9" s="13">
        <v>0.27083333333333331</v>
      </c>
      <c r="H9" s="2" t="s">
        <v>58</v>
      </c>
      <c r="I9" s="2" t="s">
        <v>42</v>
      </c>
      <c r="J9" s="2">
        <v>80</v>
      </c>
      <c r="K9" s="14">
        <f>VLOOKUP($C9,Sheet1!$A$2:$D$10,4,0)</f>
        <v>40</v>
      </c>
      <c r="L9" s="14" t="str">
        <f>VLOOKUP($C9,Sheet1!$A$2:$E$10,5,0)</f>
        <v>Trolley</v>
      </c>
      <c r="M9" s="14"/>
      <c r="N9" s="2">
        <f>J9/K9</f>
        <v>2</v>
      </c>
      <c r="O9" s="2" t="s">
        <v>113</v>
      </c>
      <c r="P9" s="2">
        <v>910103841</v>
      </c>
    </row>
    <row r="10" spans="1:16" x14ac:dyDescent="0.25">
      <c r="A10" s="15" t="s">
        <v>1192</v>
      </c>
      <c r="B10" s="18" t="s">
        <v>1175</v>
      </c>
      <c r="C10" s="2" t="s">
        <v>26</v>
      </c>
      <c r="D10" s="2" t="str">
        <f>VLOOKUP($C10,Sheet1!$A$2:$B$10,2,0)</f>
        <v>116040-92240</v>
      </c>
      <c r="E10" s="8" t="s">
        <v>75</v>
      </c>
      <c r="F10" s="12">
        <v>46011</v>
      </c>
      <c r="G10" s="13">
        <v>0.27083333333333331</v>
      </c>
      <c r="H10" s="2" t="s">
        <v>76</v>
      </c>
      <c r="I10" s="2" t="s">
        <v>42</v>
      </c>
      <c r="J10" s="2">
        <v>54</v>
      </c>
      <c r="K10" s="14">
        <f>VLOOKUP($C10,Sheet1!$A$2:$D$10,4,0)</f>
        <v>6</v>
      </c>
      <c r="L10" s="14" t="str">
        <f>VLOOKUP($C10,Sheet1!$A$2:$E$10,5,0)</f>
        <v>Bin</v>
      </c>
      <c r="M10" s="14">
        <f>J10/K10</f>
        <v>9</v>
      </c>
      <c r="N10" s="2"/>
      <c r="O10" s="2" t="s">
        <v>113</v>
      </c>
      <c r="P10" s="2" t="s">
        <v>1213</v>
      </c>
    </row>
    <row r="11" spans="1:16" x14ac:dyDescent="0.25">
      <c r="A11" s="15" t="s">
        <v>1192</v>
      </c>
      <c r="B11" s="18" t="s">
        <v>1180</v>
      </c>
      <c r="C11" s="2" t="s">
        <v>32</v>
      </c>
      <c r="D11" s="2" t="str">
        <f>VLOOKUP($C11,Sheet1!$A$2:$B$10,2,0)</f>
        <v>114010-50820</v>
      </c>
      <c r="E11" s="8" t="s">
        <v>82</v>
      </c>
      <c r="F11" s="12">
        <v>46011</v>
      </c>
      <c r="G11" s="13">
        <v>0.27083333333333331</v>
      </c>
      <c r="H11" s="2" t="s">
        <v>76</v>
      </c>
      <c r="I11" s="2" t="s">
        <v>42</v>
      </c>
      <c r="J11" s="2">
        <v>21</v>
      </c>
      <c r="K11" s="14">
        <f>VLOOKUP($C11,Sheet1!$A$2:$D$10,4,0)</f>
        <v>1</v>
      </c>
      <c r="L11" s="14" t="str">
        <f>VLOOKUP($C11,Sheet1!$A$2:$E$10,5,0)</f>
        <v>Bin</v>
      </c>
      <c r="M11" s="14">
        <f>J11/K11</f>
        <v>21</v>
      </c>
      <c r="N11" s="2"/>
      <c r="O11" s="2" t="s">
        <v>113</v>
      </c>
      <c r="P11" s="2" t="s">
        <v>878</v>
      </c>
    </row>
    <row r="12" spans="1:16" x14ac:dyDescent="0.25">
      <c r="A12" s="15" t="s">
        <v>1192</v>
      </c>
      <c r="B12" s="18" t="s">
        <v>1185</v>
      </c>
      <c r="C12" s="2" t="s">
        <v>29</v>
      </c>
      <c r="D12" s="2" t="str">
        <f>VLOOKUP($C12,Sheet1!$A$2:$B$10,2,0)</f>
        <v>114010-50830</v>
      </c>
      <c r="E12" s="8" t="s">
        <v>82</v>
      </c>
      <c r="F12" s="12">
        <v>46011</v>
      </c>
      <c r="G12" s="13">
        <v>0.27083333333333331</v>
      </c>
      <c r="H12" s="2" t="s">
        <v>76</v>
      </c>
      <c r="I12" s="2" t="s">
        <v>42</v>
      </c>
      <c r="J12" s="2">
        <v>34</v>
      </c>
      <c r="K12" s="14">
        <f>VLOOKUP($C12,Sheet1!$A$2:$D$10,4,0)</f>
        <v>1</v>
      </c>
      <c r="L12" s="14" t="str">
        <f>VLOOKUP($C12,Sheet1!$A$2:$E$10,5,0)</f>
        <v>Bin</v>
      </c>
      <c r="M12" s="14">
        <f>J12/K12</f>
        <v>34</v>
      </c>
      <c r="N12" s="2"/>
      <c r="O12" s="2" t="s">
        <v>113</v>
      </c>
      <c r="P12" s="2" t="s">
        <v>1123</v>
      </c>
    </row>
    <row r="13" spans="1:16" s="11" customFormat="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>
        <v>119</v>
      </c>
      <c r="N13" s="10">
        <v>7</v>
      </c>
      <c r="O13" s="10"/>
      <c r="P13" s="10"/>
    </row>
    <row r="14" spans="1:16" x14ac:dyDescent="0.25">
      <c r="A14" s="15" t="s">
        <v>1193</v>
      </c>
      <c r="B14" s="18" t="s">
        <v>1146</v>
      </c>
      <c r="C14" s="2" t="s">
        <v>5</v>
      </c>
      <c r="D14" s="2" t="str">
        <f>VLOOKUP($C14,Sheet1!$A$2:$B$10,2,0)</f>
        <v>141110-14600</v>
      </c>
      <c r="E14" s="8" t="s">
        <v>40</v>
      </c>
      <c r="F14" s="12">
        <v>46011</v>
      </c>
      <c r="G14" s="13">
        <v>0.27083333333333331</v>
      </c>
      <c r="H14" s="2" t="s">
        <v>41</v>
      </c>
      <c r="I14" s="2" t="s">
        <v>42</v>
      </c>
      <c r="J14" s="2">
        <v>18</v>
      </c>
      <c r="K14" s="14">
        <f>VLOOKUP($C14,Sheet1!$A$2:$D$10,4,0)</f>
        <v>18</v>
      </c>
      <c r="L14" s="14" t="str">
        <f>VLOOKUP($C14,Sheet1!$A$2:$E$10,5,0)</f>
        <v>Trolley (H)</v>
      </c>
      <c r="M14" s="14"/>
      <c r="N14" s="51">
        <v>1</v>
      </c>
      <c r="O14" s="2" t="s">
        <v>112</v>
      </c>
      <c r="P14" s="2" t="s">
        <v>1219</v>
      </c>
    </row>
    <row r="15" spans="1:16" x14ac:dyDescent="0.25">
      <c r="A15" s="15" t="s">
        <v>1193</v>
      </c>
      <c r="B15" s="18" t="s">
        <v>1151</v>
      </c>
      <c r="C15" s="2" t="s">
        <v>9</v>
      </c>
      <c r="D15" s="2" t="str">
        <f>VLOOKUP($C15,Sheet1!$A$2:$B$10,2,0)</f>
        <v>141120-14600</v>
      </c>
      <c r="E15" s="8" t="s">
        <v>47</v>
      </c>
      <c r="F15" s="12">
        <v>46011</v>
      </c>
      <c r="G15" s="13">
        <v>0.27083333333333331</v>
      </c>
      <c r="H15" s="2" t="s">
        <v>41</v>
      </c>
      <c r="I15" s="2" t="s">
        <v>42</v>
      </c>
      <c r="J15" s="2">
        <v>18</v>
      </c>
      <c r="K15" s="14">
        <f>VLOOKUP($C15,Sheet1!$A$2:$D$10,4,0)</f>
        <v>18</v>
      </c>
      <c r="L15" s="14" t="str">
        <f>VLOOKUP($C15,Sheet1!$A$2:$E$10,5,0)</f>
        <v>Trolley (H)</v>
      </c>
      <c r="M15" s="14"/>
      <c r="N15" s="52"/>
      <c r="O15" s="2" t="s">
        <v>112</v>
      </c>
      <c r="P15" s="2" t="s">
        <v>1220</v>
      </c>
    </row>
    <row r="16" spans="1:16" x14ac:dyDescent="0.25">
      <c r="A16" s="15" t="s">
        <v>1193</v>
      </c>
      <c r="B16" s="18" t="s">
        <v>1156</v>
      </c>
      <c r="C16" s="2" t="s">
        <v>12</v>
      </c>
      <c r="D16" s="2" t="str">
        <f>VLOOKUP($C16,Sheet1!$A$2:$B$10,2,0)</f>
        <v>141185-74670</v>
      </c>
      <c r="E16" s="8" t="s">
        <v>52</v>
      </c>
      <c r="F16" s="12">
        <v>46011</v>
      </c>
      <c r="G16" s="13">
        <v>0.27083333333333331</v>
      </c>
      <c r="H16" s="2" t="s">
        <v>41</v>
      </c>
      <c r="I16" s="2" t="s">
        <v>42</v>
      </c>
      <c r="J16" s="2">
        <v>40</v>
      </c>
      <c r="K16" s="14">
        <f>VLOOKUP($C16,Sheet1!$A$2:$D$10,4,0)</f>
        <v>40</v>
      </c>
      <c r="L16" s="14" t="str">
        <f>VLOOKUP($C16,Sheet1!$A$2:$E$10,5,0)</f>
        <v>Trolley</v>
      </c>
      <c r="M16" s="14"/>
      <c r="N16" s="2">
        <f>J16/K16</f>
        <v>1</v>
      </c>
      <c r="O16" s="2" t="s">
        <v>112</v>
      </c>
      <c r="P16" s="2">
        <v>910103841</v>
      </c>
    </row>
    <row r="17" spans="1:16" x14ac:dyDescent="0.25">
      <c r="A17" s="15" t="s">
        <v>1193</v>
      </c>
      <c r="B17" s="18" t="s">
        <v>1161</v>
      </c>
      <c r="C17" s="2" t="s">
        <v>16</v>
      </c>
      <c r="D17" s="2" t="str">
        <f>VLOOKUP($C17,Sheet1!$A$2:$B$10,2,0)</f>
        <v>141140-91211</v>
      </c>
      <c r="E17" s="8" t="s">
        <v>57</v>
      </c>
      <c r="F17" s="12">
        <v>46011</v>
      </c>
      <c r="G17" s="13">
        <v>0.27083333333333331</v>
      </c>
      <c r="H17" s="2" t="s">
        <v>58</v>
      </c>
      <c r="I17" s="2" t="s">
        <v>42</v>
      </c>
      <c r="J17" s="2">
        <v>20</v>
      </c>
      <c r="K17" s="14">
        <f>VLOOKUP($C17,Sheet1!$A$2:$D$10,4,0)</f>
        <v>2</v>
      </c>
      <c r="L17" s="14" t="str">
        <f>VLOOKUP($C17,Sheet1!$A$2:$E$10,5,0)</f>
        <v>Bin</v>
      </c>
      <c r="M17" s="14">
        <f>J17/K17</f>
        <v>10</v>
      </c>
      <c r="N17" s="2"/>
      <c r="O17" s="2" t="s">
        <v>112</v>
      </c>
      <c r="P17" s="2" t="s">
        <v>1056</v>
      </c>
    </row>
    <row r="18" spans="1:16" x14ac:dyDescent="0.25">
      <c r="A18" s="15" t="s">
        <v>1193</v>
      </c>
      <c r="B18" s="18" t="s">
        <v>1166</v>
      </c>
      <c r="C18" s="2" t="s">
        <v>20</v>
      </c>
      <c r="D18" s="2" t="str">
        <f>VLOOKUP($C18,Sheet1!$A$2:$B$10,2,0)</f>
        <v>141150-91211</v>
      </c>
      <c r="E18" s="8" t="s">
        <v>64</v>
      </c>
      <c r="F18" s="12">
        <v>46011</v>
      </c>
      <c r="G18" s="13">
        <v>0.27083333333333331</v>
      </c>
      <c r="H18" s="2" t="s">
        <v>58</v>
      </c>
      <c r="I18" s="2" t="s">
        <v>42</v>
      </c>
      <c r="J18" s="2">
        <v>18</v>
      </c>
      <c r="K18" s="14">
        <f>VLOOKUP($C18,Sheet1!$A$2:$D$10,4,0)</f>
        <v>2</v>
      </c>
      <c r="L18" s="14" t="str">
        <f>VLOOKUP($C18,Sheet1!$A$2:$E$10,5,0)</f>
        <v>Bin</v>
      </c>
      <c r="M18" s="14">
        <f>J18/K18</f>
        <v>9</v>
      </c>
      <c r="N18" s="2"/>
      <c r="O18" s="2" t="s">
        <v>112</v>
      </c>
      <c r="P18" s="2" t="s">
        <v>1056</v>
      </c>
    </row>
    <row r="19" spans="1:16" x14ac:dyDescent="0.25">
      <c r="A19" s="15" t="s">
        <v>1193</v>
      </c>
      <c r="B19" s="18" t="s">
        <v>1171</v>
      </c>
      <c r="C19" s="2" t="s">
        <v>23</v>
      </c>
      <c r="D19" s="2" t="str">
        <f>VLOOKUP($C19,Sheet1!$A$2:$B$10,2,0)</f>
        <v>141186-74360</v>
      </c>
      <c r="E19" s="8" t="s">
        <v>70</v>
      </c>
      <c r="F19" s="12">
        <v>46011</v>
      </c>
      <c r="G19" s="13">
        <v>0.27083333333333331</v>
      </c>
      <c r="H19" s="2" t="s">
        <v>58</v>
      </c>
      <c r="I19" s="2" t="s">
        <v>42</v>
      </c>
      <c r="J19" s="2">
        <v>40</v>
      </c>
      <c r="K19" s="14">
        <f>VLOOKUP($C19,Sheet1!$A$2:$D$10,4,0)</f>
        <v>40</v>
      </c>
      <c r="L19" s="14" t="str">
        <f>VLOOKUP($C19,Sheet1!$A$2:$E$10,5,0)</f>
        <v>Trolley</v>
      </c>
      <c r="M19" s="14"/>
      <c r="N19" s="2">
        <f t="shared" ref="N19" si="1">J19/K19</f>
        <v>1</v>
      </c>
      <c r="O19" s="2" t="s">
        <v>112</v>
      </c>
      <c r="P19" s="2">
        <v>910103841</v>
      </c>
    </row>
    <row r="20" spans="1:16" x14ac:dyDescent="0.25">
      <c r="A20" s="15" t="s">
        <v>1194</v>
      </c>
      <c r="B20" s="18" t="s">
        <v>1176</v>
      </c>
      <c r="C20" s="2" t="s">
        <v>26</v>
      </c>
      <c r="D20" s="2" t="str">
        <f>VLOOKUP($C20,Sheet1!$A$2:$B$10,2,0)</f>
        <v>116040-92240</v>
      </c>
      <c r="E20" s="8" t="s">
        <v>75</v>
      </c>
      <c r="F20" s="12">
        <v>46011</v>
      </c>
      <c r="G20" s="13">
        <v>0.27083333333333331</v>
      </c>
      <c r="H20" s="2" t="s">
        <v>76</v>
      </c>
      <c r="I20" s="2" t="s">
        <v>42</v>
      </c>
      <c r="J20" s="2">
        <v>18</v>
      </c>
      <c r="K20" s="14">
        <f>VLOOKUP($C20,Sheet1!$A$2:$D$10,4,0)</f>
        <v>6</v>
      </c>
      <c r="L20" s="14" t="str">
        <f>VLOOKUP($C20,Sheet1!$A$2:$E$10,5,0)</f>
        <v>Bin</v>
      </c>
      <c r="M20" s="14">
        <f t="shared" ref="M20:M21" si="2">J20/K20</f>
        <v>3</v>
      </c>
      <c r="N20" s="2"/>
      <c r="O20" s="2" t="s">
        <v>112</v>
      </c>
      <c r="P20" s="2" t="s">
        <v>1213</v>
      </c>
    </row>
    <row r="21" spans="1:16" x14ac:dyDescent="0.25">
      <c r="A21" s="15" t="s">
        <v>1194</v>
      </c>
      <c r="B21" s="18" t="s">
        <v>1181</v>
      </c>
      <c r="C21" s="2" t="s">
        <v>32</v>
      </c>
      <c r="D21" s="2" t="str">
        <f>VLOOKUP($C21,Sheet1!$A$2:$B$10,2,0)</f>
        <v>114010-50820</v>
      </c>
      <c r="E21" s="8" t="s">
        <v>82</v>
      </c>
      <c r="F21" s="12">
        <v>46011</v>
      </c>
      <c r="G21" s="13">
        <v>0.27083333333333331</v>
      </c>
      <c r="H21" s="2" t="s">
        <v>76</v>
      </c>
      <c r="I21" s="2" t="s">
        <v>42</v>
      </c>
      <c r="J21" s="2">
        <v>10</v>
      </c>
      <c r="K21" s="14">
        <f>VLOOKUP($C21,Sheet1!$A$2:$D$10,4,0)</f>
        <v>1</v>
      </c>
      <c r="L21" s="14" t="str">
        <f>VLOOKUP($C21,Sheet1!$A$2:$E$10,5,0)</f>
        <v>Bin</v>
      </c>
      <c r="M21" s="14">
        <f t="shared" si="2"/>
        <v>10</v>
      </c>
      <c r="N21" s="2"/>
      <c r="O21" s="2" t="s">
        <v>112</v>
      </c>
      <c r="P21" s="2" t="s">
        <v>1489</v>
      </c>
    </row>
    <row r="22" spans="1:16" x14ac:dyDescent="0.25">
      <c r="A22" s="15" t="s">
        <v>1194</v>
      </c>
      <c r="B22" s="18" t="s">
        <v>1186</v>
      </c>
      <c r="C22" s="2" t="s">
        <v>29</v>
      </c>
      <c r="D22" s="2" t="str">
        <f>VLOOKUP($C22,Sheet1!$A$2:$B$10,2,0)</f>
        <v>114010-50830</v>
      </c>
      <c r="E22" s="8" t="s">
        <v>82</v>
      </c>
      <c r="F22" s="12">
        <v>46011</v>
      </c>
      <c r="G22" s="13">
        <v>0.27083333333333331</v>
      </c>
      <c r="H22" s="2" t="s">
        <v>76</v>
      </c>
      <c r="I22" s="2" t="s">
        <v>42</v>
      </c>
      <c r="J22" s="2">
        <v>9</v>
      </c>
      <c r="K22" s="14">
        <f>VLOOKUP($C22,Sheet1!$A$2:$D$10,4,0)</f>
        <v>1</v>
      </c>
      <c r="L22" s="14" t="str">
        <f>VLOOKUP($C22,Sheet1!$A$2:$E$10,5,0)</f>
        <v>Bin</v>
      </c>
      <c r="M22" s="14">
        <f>J22/K22</f>
        <v>9</v>
      </c>
      <c r="N22" s="2"/>
      <c r="O22" s="2" t="s">
        <v>112</v>
      </c>
      <c r="P22" s="2" t="s">
        <v>1123</v>
      </c>
    </row>
    <row r="23" spans="1:16" s="11" customForma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>
        <v>41</v>
      </c>
      <c r="N23" s="10">
        <v>3</v>
      </c>
      <c r="O23" s="10"/>
      <c r="P23" s="10"/>
    </row>
    <row r="24" spans="1:16" x14ac:dyDescent="0.25">
      <c r="A24" s="15" t="s">
        <v>1195</v>
      </c>
      <c r="B24" s="18" t="s">
        <v>1147</v>
      </c>
      <c r="C24" s="2" t="s">
        <v>5</v>
      </c>
      <c r="D24" s="2" t="str">
        <f>VLOOKUP($C24,Sheet1!$A$2:$B$10,2,0)</f>
        <v>141110-14600</v>
      </c>
      <c r="E24" s="8" t="s">
        <v>40</v>
      </c>
      <c r="F24" s="12">
        <v>46011</v>
      </c>
      <c r="G24" s="13">
        <v>0.52083333333333337</v>
      </c>
      <c r="H24" s="2" t="s">
        <v>41</v>
      </c>
      <c r="I24" s="2" t="s">
        <v>42</v>
      </c>
      <c r="J24" s="2">
        <v>36</v>
      </c>
      <c r="K24" s="14">
        <f>VLOOKUP($C24,Sheet1!$A$2:$D$10,4,0)</f>
        <v>18</v>
      </c>
      <c r="L24" s="14" t="str">
        <f>VLOOKUP($C24,Sheet1!$A$2:$E$10,5,0)</f>
        <v>Trolley (H)</v>
      </c>
      <c r="M24" s="14"/>
      <c r="N24" s="51">
        <v>2</v>
      </c>
      <c r="O24" s="2" t="s">
        <v>1001</v>
      </c>
      <c r="P24" s="2" t="s">
        <v>1210</v>
      </c>
    </row>
    <row r="25" spans="1:16" x14ac:dyDescent="0.25">
      <c r="A25" s="15" t="s">
        <v>1195</v>
      </c>
      <c r="B25" s="18" t="s">
        <v>1152</v>
      </c>
      <c r="C25" s="2" t="s">
        <v>9</v>
      </c>
      <c r="D25" s="2" t="str">
        <f>VLOOKUP($C25,Sheet1!$A$2:$B$10,2,0)</f>
        <v>141120-14600</v>
      </c>
      <c r="E25" s="8" t="s">
        <v>47</v>
      </c>
      <c r="F25" s="12">
        <v>46011</v>
      </c>
      <c r="G25" s="13">
        <v>0.52083333333333337</v>
      </c>
      <c r="H25" s="2" t="s">
        <v>41</v>
      </c>
      <c r="I25" s="2" t="s">
        <v>42</v>
      </c>
      <c r="J25" s="2">
        <v>36</v>
      </c>
      <c r="K25" s="14">
        <f>VLOOKUP($C25,Sheet1!$A$2:$D$10,4,0)</f>
        <v>18</v>
      </c>
      <c r="L25" s="14" t="str">
        <f>VLOOKUP($C25,Sheet1!$A$2:$E$10,5,0)</f>
        <v>Trolley (H)</v>
      </c>
      <c r="M25" s="14"/>
      <c r="N25" s="52"/>
      <c r="O25" s="2" t="s">
        <v>1001</v>
      </c>
      <c r="P25" s="2" t="s">
        <v>1210</v>
      </c>
    </row>
    <row r="26" spans="1:16" x14ac:dyDescent="0.25">
      <c r="A26" s="15" t="s">
        <v>1195</v>
      </c>
      <c r="B26" s="18" t="s">
        <v>1157</v>
      </c>
      <c r="C26" s="2" t="s">
        <v>12</v>
      </c>
      <c r="D26" s="2" t="str">
        <f>VLOOKUP($C26,Sheet1!$A$2:$B$10,2,0)</f>
        <v>141185-74670</v>
      </c>
      <c r="E26" s="8" t="s">
        <v>52</v>
      </c>
      <c r="F26" s="12">
        <v>46011</v>
      </c>
      <c r="G26" s="13">
        <v>0.52083333333333337</v>
      </c>
      <c r="H26" s="2" t="s">
        <v>41</v>
      </c>
      <c r="I26" s="2" t="s">
        <v>42</v>
      </c>
      <c r="J26" s="2">
        <v>80</v>
      </c>
      <c r="K26" s="14">
        <f>VLOOKUP($C26,Sheet1!$A$2:$D$10,4,0)</f>
        <v>40</v>
      </c>
      <c r="L26" s="14" t="str">
        <f>VLOOKUP($C26,Sheet1!$A$2:$E$10,5,0)</f>
        <v>Trolley</v>
      </c>
      <c r="M26" s="14"/>
      <c r="N26" s="2">
        <f>J26/K26</f>
        <v>2</v>
      </c>
      <c r="O26" s="2" t="s">
        <v>1001</v>
      </c>
      <c r="P26" s="2">
        <v>910103841</v>
      </c>
    </row>
    <row r="27" spans="1:16" x14ac:dyDescent="0.25">
      <c r="A27" s="15" t="s">
        <v>1195</v>
      </c>
      <c r="B27" s="18" t="s">
        <v>1162</v>
      </c>
      <c r="C27" s="2" t="s">
        <v>16</v>
      </c>
      <c r="D27" s="2" t="str">
        <f>VLOOKUP($C27,Sheet1!$A$2:$B$10,2,0)</f>
        <v>141140-91211</v>
      </c>
      <c r="E27" s="8" t="s">
        <v>57</v>
      </c>
      <c r="F27" s="12">
        <v>46011</v>
      </c>
      <c r="G27" s="13">
        <v>0.52083333333333337</v>
      </c>
      <c r="H27" s="2" t="s">
        <v>58</v>
      </c>
      <c r="I27" s="2" t="s">
        <v>42</v>
      </c>
      <c r="J27" s="2">
        <v>38</v>
      </c>
      <c r="K27" s="14">
        <f>VLOOKUP($C27,Sheet1!$A$2:$D$10,4,0)</f>
        <v>2</v>
      </c>
      <c r="L27" s="14" t="str">
        <f>VLOOKUP($C27,Sheet1!$A$2:$E$10,5,0)</f>
        <v>Bin</v>
      </c>
      <c r="M27" s="14">
        <f t="shared" ref="M27:M28" si="3">J27/K27</f>
        <v>19</v>
      </c>
      <c r="N27" s="2"/>
      <c r="O27" s="2" t="s">
        <v>1001</v>
      </c>
      <c r="P27" s="2" t="s">
        <v>1056</v>
      </c>
    </row>
    <row r="28" spans="1:16" x14ac:dyDescent="0.25">
      <c r="A28" s="15" t="s">
        <v>1195</v>
      </c>
      <c r="B28" s="18" t="s">
        <v>1167</v>
      </c>
      <c r="C28" s="2" t="s">
        <v>20</v>
      </c>
      <c r="D28" s="2" t="str">
        <f>VLOOKUP($C28,Sheet1!$A$2:$B$10,2,0)</f>
        <v>141150-91211</v>
      </c>
      <c r="E28" s="8" t="s">
        <v>64</v>
      </c>
      <c r="F28" s="12">
        <v>46011</v>
      </c>
      <c r="G28" s="13">
        <v>0.52083333333333337</v>
      </c>
      <c r="H28" s="2" t="s">
        <v>58</v>
      </c>
      <c r="I28" s="2" t="s">
        <v>42</v>
      </c>
      <c r="J28" s="2">
        <v>40</v>
      </c>
      <c r="K28" s="14">
        <f>VLOOKUP($C28,Sheet1!$A$2:$D$10,4,0)</f>
        <v>2</v>
      </c>
      <c r="L28" s="14" t="str">
        <f>VLOOKUP($C28,Sheet1!$A$2:$E$10,5,0)</f>
        <v>Bin</v>
      </c>
      <c r="M28" s="14">
        <f t="shared" si="3"/>
        <v>20</v>
      </c>
      <c r="N28" s="2"/>
      <c r="O28" s="2" t="s">
        <v>1001</v>
      </c>
      <c r="P28" s="2" t="s">
        <v>1056</v>
      </c>
    </row>
    <row r="29" spans="1:16" x14ac:dyDescent="0.25">
      <c r="A29" s="15" t="s">
        <v>1195</v>
      </c>
      <c r="B29" s="18" t="s">
        <v>1172</v>
      </c>
      <c r="C29" s="2" t="s">
        <v>23</v>
      </c>
      <c r="D29" s="2" t="str">
        <f>VLOOKUP($C29,Sheet1!$A$2:$B$10,2,0)</f>
        <v>141186-74360</v>
      </c>
      <c r="E29" s="8" t="s">
        <v>70</v>
      </c>
      <c r="F29" s="12">
        <v>46011</v>
      </c>
      <c r="G29" s="13">
        <v>0.52083333333333337</v>
      </c>
      <c r="H29" s="2" t="s">
        <v>58</v>
      </c>
      <c r="I29" s="2" t="s">
        <v>42</v>
      </c>
      <c r="J29" s="2">
        <v>80</v>
      </c>
      <c r="K29" s="14">
        <f>VLOOKUP($C29,Sheet1!$A$2:$D$10,4,0)</f>
        <v>40</v>
      </c>
      <c r="L29" s="14" t="str">
        <f>VLOOKUP($C29,Sheet1!$A$2:$E$10,5,0)</f>
        <v>Trolley</v>
      </c>
      <c r="M29" s="14"/>
      <c r="N29" s="2">
        <f>J29/K29</f>
        <v>2</v>
      </c>
      <c r="O29" s="2" t="s">
        <v>1001</v>
      </c>
      <c r="P29" s="2">
        <v>910103841</v>
      </c>
    </row>
    <row r="30" spans="1:16" x14ac:dyDescent="0.25">
      <c r="A30" s="15" t="s">
        <v>1196</v>
      </c>
      <c r="B30" s="18" t="s">
        <v>1177</v>
      </c>
      <c r="C30" s="2" t="s">
        <v>26</v>
      </c>
      <c r="D30" s="2" t="str">
        <f>VLOOKUP($C30,Sheet1!$A$2:$B$10,2,0)</f>
        <v>116040-92240</v>
      </c>
      <c r="E30" s="8" t="s">
        <v>75</v>
      </c>
      <c r="F30" s="12">
        <v>46011</v>
      </c>
      <c r="G30" s="13">
        <v>0.52083333333333337</v>
      </c>
      <c r="H30" s="2" t="s">
        <v>76</v>
      </c>
      <c r="I30" s="2" t="s">
        <v>42</v>
      </c>
      <c r="J30" s="2">
        <v>42</v>
      </c>
      <c r="K30" s="14">
        <f>VLOOKUP($C30,Sheet1!$A$2:$D$10,4,0)</f>
        <v>6</v>
      </c>
      <c r="L30" s="14" t="str">
        <f>VLOOKUP($C30,Sheet1!$A$2:$E$10,5,0)</f>
        <v>Bin</v>
      </c>
      <c r="M30" s="14">
        <f t="shared" ref="M30:M32" si="4">J30/K30</f>
        <v>7</v>
      </c>
      <c r="N30" s="2"/>
      <c r="O30" s="2" t="s">
        <v>1001</v>
      </c>
      <c r="P30" s="2" t="s">
        <v>1213</v>
      </c>
    </row>
    <row r="31" spans="1:16" x14ac:dyDescent="0.25">
      <c r="A31" s="15" t="s">
        <v>1196</v>
      </c>
      <c r="B31" s="18" t="s">
        <v>1182</v>
      </c>
      <c r="C31" s="2" t="s">
        <v>32</v>
      </c>
      <c r="D31" s="2" t="str">
        <f>VLOOKUP($C31,Sheet1!$A$2:$B$10,2,0)</f>
        <v>114010-50820</v>
      </c>
      <c r="E31" s="8" t="s">
        <v>82</v>
      </c>
      <c r="F31" s="12">
        <v>46011</v>
      </c>
      <c r="G31" s="13">
        <v>0.52083333333333337</v>
      </c>
      <c r="H31" s="2" t="s">
        <v>76</v>
      </c>
      <c r="I31" s="2" t="s">
        <v>42</v>
      </c>
      <c r="J31" s="2">
        <v>13</v>
      </c>
      <c r="K31" s="14">
        <f>VLOOKUP($C31,Sheet1!$A$2:$D$10,4,0)</f>
        <v>1</v>
      </c>
      <c r="L31" s="14" t="str">
        <f>VLOOKUP($C31,Sheet1!$A$2:$E$10,5,0)</f>
        <v>Bin</v>
      </c>
      <c r="M31" s="14">
        <f t="shared" si="4"/>
        <v>13</v>
      </c>
      <c r="N31" s="2"/>
      <c r="O31" s="2" t="s">
        <v>1001</v>
      </c>
      <c r="P31" s="2" t="s">
        <v>171</v>
      </c>
    </row>
    <row r="32" spans="1:16" x14ac:dyDescent="0.25">
      <c r="A32" s="15" t="s">
        <v>1196</v>
      </c>
      <c r="B32" s="18" t="s">
        <v>1187</v>
      </c>
      <c r="C32" s="2" t="s">
        <v>29</v>
      </c>
      <c r="D32" s="2" t="str">
        <f>VLOOKUP($C32,Sheet1!$A$2:$B$10,2,0)</f>
        <v>114010-50830</v>
      </c>
      <c r="E32" s="8" t="s">
        <v>82</v>
      </c>
      <c r="F32" s="12">
        <v>46011</v>
      </c>
      <c r="G32" s="13">
        <v>0.52083333333333337</v>
      </c>
      <c r="H32" s="2" t="s">
        <v>76</v>
      </c>
      <c r="I32" s="2" t="s">
        <v>42</v>
      </c>
      <c r="J32" s="2">
        <v>26</v>
      </c>
      <c r="K32" s="14">
        <f>VLOOKUP($C32,Sheet1!$A$2:$D$10,4,0)</f>
        <v>1</v>
      </c>
      <c r="L32" s="14" t="str">
        <f>VLOOKUP($C32,Sheet1!$A$2:$E$10,5,0)</f>
        <v>Bin</v>
      </c>
      <c r="M32" s="14">
        <f t="shared" si="4"/>
        <v>26</v>
      </c>
      <c r="N32" s="2"/>
      <c r="O32" s="2" t="s">
        <v>1001</v>
      </c>
      <c r="P32" s="2" t="s">
        <v>1123</v>
      </c>
    </row>
    <row r="33" spans="1:16" s="11" customForma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>
        <v>85</v>
      </c>
      <c r="N33" s="10">
        <v>6</v>
      </c>
      <c r="O33" s="10"/>
      <c r="P33" s="10"/>
    </row>
    <row r="34" spans="1:16" x14ac:dyDescent="0.25">
      <c r="A34" s="15" t="s">
        <v>1197</v>
      </c>
      <c r="B34" s="18" t="s">
        <v>1148</v>
      </c>
      <c r="C34" s="2" t="s">
        <v>5</v>
      </c>
      <c r="D34" s="2" t="str">
        <f>VLOOKUP($C34,Sheet1!$A$2:$B$10,2,0)</f>
        <v>141110-14600</v>
      </c>
      <c r="E34" s="8" t="s">
        <v>40</v>
      </c>
      <c r="F34" s="12">
        <v>46011</v>
      </c>
      <c r="G34" s="13">
        <v>0.60416666666666663</v>
      </c>
      <c r="H34" s="2" t="s">
        <v>41</v>
      </c>
      <c r="I34" s="2" t="s">
        <v>42</v>
      </c>
      <c r="J34" s="2">
        <v>36</v>
      </c>
      <c r="K34" s="14">
        <f>VLOOKUP($C34,Sheet1!$A$2:$D$10,4,0)</f>
        <v>18</v>
      </c>
      <c r="L34" s="14" t="str">
        <f>VLOOKUP($C34,Sheet1!$A$2:$E$10,5,0)</f>
        <v>Trolley (H)</v>
      </c>
      <c r="M34" s="14"/>
      <c r="N34" s="51">
        <v>2</v>
      </c>
      <c r="O34" s="2" t="s">
        <v>1202</v>
      </c>
      <c r="P34" s="2" t="s">
        <v>1210</v>
      </c>
    </row>
    <row r="35" spans="1:16" x14ac:dyDescent="0.25">
      <c r="A35" s="15" t="s">
        <v>1197</v>
      </c>
      <c r="B35" s="18" t="s">
        <v>1153</v>
      </c>
      <c r="C35" s="2" t="s">
        <v>9</v>
      </c>
      <c r="D35" s="2" t="str">
        <f>VLOOKUP($C35,Sheet1!$A$2:$B$10,2,0)</f>
        <v>141120-14600</v>
      </c>
      <c r="E35" s="8" t="s">
        <v>47</v>
      </c>
      <c r="F35" s="12">
        <v>46011</v>
      </c>
      <c r="G35" s="13">
        <v>0.60416666666666663</v>
      </c>
      <c r="H35" s="2" t="s">
        <v>41</v>
      </c>
      <c r="I35" s="2" t="s">
        <v>42</v>
      </c>
      <c r="J35" s="2">
        <v>36</v>
      </c>
      <c r="K35" s="14">
        <f>VLOOKUP($C35,Sheet1!$A$2:$D$10,4,0)</f>
        <v>18</v>
      </c>
      <c r="L35" s="14" t="str">
        <f>VLOOKUP($C35,Sheet1!$A$2:$E$10,5,0)</f>
        <v>Trolley (H)</v>
      </c>
      <c r="M35" s="14"/>
      <c r="N35" s="52"/>
      <c r="O35" s="2" t="s">
        <v>1202</v>
      </c>
      <c r="P35" s="2" t="s">
        <v>1210</v>
      </c>
    </row>
    <row r="36" spans="1:16" x14ac:dyDescent="0.25">
      <c r="A36" s="15" t="s">
        <v>1197</v>
      </c>
      <c r="B36" s="18" t="s">
        <v>1158</v>
      </c>
      <c r="C36" s="2" t="s">
        <v>12</v>
      </c>
      <c r="D36" s="2" t="str">
        <f>VLOOKUP($C36,Sheet1!$A$2:$B$10,2,0)</f>
        <v>141185-74670</v>
      </c>
      <c r="E36" s="8" t="s">
        <v>52</v>
      </c>
      <c r="F36" s="12">
        <v>46011</v>
      </c>
      <c r="G36" s="13">
        <v>0.60416666666666663</v>
      </c>
      <c r="H36" s="2" t="s">
        <v>41</v>
      </c>
      <c r="I36" s="2" t="s">
        <v>42</v>
      </c>
      <c r="J36" s="2">
        <v>40</v>
      </c>
      <c r="K36" s="14">
        <f>VLOOKUP($C36,Sheet1!$A$2:$D$10,4,0)</f>
        <v>40</v>
      </c>
      <c r="L36" s="14" t="str">
        <f>VLOOKUP($C36,Sheet1!$A$2:$E$10,5,0)</f>
        <v>Trolley</v>
      </c>
      <c r="M36" s="14"/>
      <c r="N36" s="2">
        <f>J36/K36</f>
        <v>1</v>
      </c>
      <c r="O36" s="2" t="s">
        <v>1202</v>
      </c>
      <c r="P36" s="2">
        <v>910103841</v>
      </c>
    </row>
    <row r="37" spans="1:16" x14ac:dyDescent="0.25">
      <c r="A37" s="15" t="s">
        <v>1197</v>
      </c>
      <c r="B37" s="18" t="s">
        <v>1163</v>
      </c>
      <c r="C37" s="2" t="s">
        <v>16</v>
      </c>
      <c r="D37" s="2" t="str">
        <f>VLOOKUP($C37,Sheet1!$A$2:$B$10,2,0)</f>
        <v>141140-91211</v>
      </c>
      <c r="E37" s="8" t="s">
        <v>57</v>
      </c>
      <c r="F37" s="12">
        <v>46011</v>
      </c>
      <c r="G37" s="13">
        <v>0.60416666666666663</v>
      </c>
      <c r="H37" s="2" t="s">
        <v>58</v>
      </c>
      <c r="I37" s="2" t="s">
        <v>42</v>
      </c>
      <c r="J37" s="2">
        <v>30</v>
      </c>
      <c r="K37" s="14">
        <f>VLOOKUP($C37,Sheet1!$A$2:$D$10,4,0)</f>
        <v>2</v>
      </c>
      <c r="L37" s="14" t="str">
        <f>VLOOKUP($C37,Sheet1!$A$2:$E$10,5,0)</f>
        <v>Bin</v>
      </c>
      <c r="M37" s="14">
        <f t="shared" ref="M37:M38" si="5">J37/K37</f>
        <v>15</v>
      </c>
      <c r="N37" s="2"/>
      <c r="O37" s="2" t="s">
        <v>1202</v>
      </c>
      <c r="P37" s="2" t="s">
        <v>1056</v>
      </c>
    </row>
    <row r="38" spans="1:16" x14ac:dyDescent="0.25">
      <c r="A38" s="15" t="s">
        <v>1197</v>
      </c>
      <c r="B38" s="18" t="s">
        <v>1168</v>
      </c>
      <c r="C38" s="2" t="s">
        <v>20</v>
      </c>
      <c r="D38" s="2" t="str">
        <f>VLOOKUP($C38,Sheet1!$A$2:$B$10,2,0)</f>
        <v>141150-91211</v>
      </c>
      <c r="E38" s="8" t="s">
        <v>64</v>
      </c>
      <c r="F38" s="12">
        <v>46011</v>
      </c>
      <c r="G38" s="13">
        <v>0.60416666666666663</v>
      </c>
      <c r="H38" s="2" t="s">
        <v>58</v>
      </c>
      <c r="I38" s="2" t="s">
        <v>42</v>
      </c>
      <c r="J38" s="2">
        <v>30</v>
      </c>
      <c r="K38" s="14">
        <f>VLOOKUP($C38,Sheet1!$A$2:$D$10,4,0)</f>
        <v>2</v>
      </c>
      <c r="L38" s="14" t="str">
        <f>VLOOKUP($C38,Sheet1!$A$2:$E$10,5,0)</f>
        <v>Bin</v>
      </c>
      <c r="M38" s="14">
        <f t="shared" si="5"/>
        <v>15</v>
      </c>
      <c r="N38" s="2"/>
      <c r="O38" s="2" t="s">
        <v>1202</v>
      </c>
      <c r="P38" s="2" t="s">
        <v>1056</v>
      </c>
    </row>
    <row r="39" spans="1:16" x14ac:dyDescent="0.25">
      <c r="A39" s="15" t="s">
        <v>1197</v>
      </c>
      <c r="B39" s="18" t="s">
        <v>1173</v>
      </c>
      <c r="C39" s="2" t="s">
        <v>23</v>
      </c>
      <c r="D39" s="2" t="str">
        <f>VLOOKUP($C39,Sheet1!$A$2:$B$10,2,0)</f>
        <v>141186-74360</v>
      </c>
      <c r="E39" s="8" t="s">
        <v>70</v>
      </c>
      <c r="F39" s="12">
        <v>46011</v>
      </c>
      <c r="G39" s="13">
        <v>0.60416666666666663</v>
      </c>
      <c r="H39" s="2" t="s">
        <v>58</v>
      </c>
      <c r="I39" s="2" t="s">
        <v>42</v>
      </c>
      <c r="J39" s="2">
        <v>40</v>
      </c>
      <c r="K39" s="14">
        <f>VLOOKUP($C39,Sheet1!$A$2:$D$10,4,0)</f>
        <v>40</v>
      </c>
      <c r="L39" s="14" t="str">
        <f>VLOOKUP($C39,Sheet1!$A$2:$E$10,5,0)</f>
        <v>Trolley</v>
      </c>
      <c r="M39" s="14"/>
      <c r="N39" s="2">
        <f>J39/K39</f>
        <v>1</v>
      </c>
      <c r="O39" s="2" t="s">
        <v>1202</v>
      </c>
      <c r="P39" s="2">
        <v>910103841</v>
      </c>
    </row>
    <row r="40" spans="1:16" x14ac:dyDescent="0.25">
      <c r="A40" s="15" t="s">
        <v>1198</v>
      </c>
      <c r="B40" s="18" t="s">
        <v>1178</v>
      </c>
      <c r="C40" s="2" t="s">
        <v>26</v>
      </c>
      <c r="D40" s="2" t="str">
        <f>VLOOKUP($C40,Sheet1!$A$2:$B$10,2,0)</f>
        <v>116040-92240</v>
      </c>
      <c r="E40" s="8" t="s">
        <v>75</v>
      </c>
      <c r="F40" s="12">
        <v>46011</v>
      </c>
      <c r="G40" s="13">
        <v>0.60416666666666663</v>
      </c>
      <c r="H40" s="2" t="s">
        <v>76</v>
      </c>
      <c r="I40" s="2" t="s">
        <v>42</v>
      </c>
      <c r="J40" s="2">
        <v>30</v>
      </c>
      <c r="K40" s="14">
        <f>VLOOKUP($C40,Sheet1!$A$2:$D$10,4,0)</f>
        <v>6</v>
      </c>
      <c r="L40" s="14" t="str">
        <f>VLOOKUP($C40,Sheet1!$A$2:$E$10,5,0)</f>
        <v>Bin</v>
      </c>
      <c r="M40" s="14">
        <f t="shared" ref="M40:M42" si="6">J40/K40</f>
        <v>5</v>
      </c>
      <c r="N40" s="2"/>
      <c r="O40" s="2" t="s">
        <v>1202</v>
      </c>
      <c r="P40" s="2" t="s">
        <v>1213</v>
      </c>
    </row>
    <row r="41" spans="1:16" x14ac:dyDescent="0.25">
      <c r="A41" s="15" t="s">
        <v>1198</v>
      </c>
      <c r="B41" s="18" t="s">
        <v>1183</v>
      </c>
      <c r="C41" s="2" t="s">
        <v>32</v>
      </c>
      <c r="D41" s="2" t="str">
        <f>VLOOKUP($C41,Sheet1!$A$2:$B$10,2,0)</f>
        <v>114010-50820</v>
      </c>
      <c r="E41" s="8" t="s">
        <v>82</v>
      </c>
      <c r="F41" s="12">
        <v>46011</v>
      </c>
      <c r="G41" s="13">
        <v>0.60416666666666663</v>
      </c>
      <c r="H41" s="2" t="s">
        <v>76</v>
      </c>
      <c r="I41" s="2" t="s">
        <v>42</v>
      </c>
      <c r="J41" s="2">
        <v>11</v>
      </c>
      <c r="K41" s="14">
        <f>VLOOKUP($C41,Sheet1!$A$2:$D$10,4,0)</f>
        <v>1</v>
      </c>
      <c r="L41" s="14" t="str">
        <f>VLOOKUP($C41,Sheet1!$A$2:$E$10,5,0)</f>
        <v>Bin</v>
      </c>
      <c r="M41" s="14">
        <f t="shared" si="6"/>
        <v>11</v>
      </c>
      <c r="N41" s="2"/>
      <c r="O41" s="2" t="s">
        <v>1202</v>
      </c>
      <c r="P41" s="2" t="s">
        <v>171</v>
      </c>
    </row>
    <row r="42" spans="1:16" ht="15.75" thickBot="1" x14ac:dyDescent="0.3">
      <c r="A42" s="15" t="s">
        <v>1198</v>
      </c>
      <c r="B42" s="18" t="s">
        <v>1188</v>
      </c>
      <c r="C42" s="2" t="s">
        <v>29</v>
      </c>
      <c r="D42" s="2" t="str">
        <f>VLOOKUP($C42,Sheet1!$A$2:$B$10,2,0)</f>
        <v>114010-50830</v>
      </c>
      <c r="E42" s="8" t="s">
        <v>82</v>
      </c>
      <c r="F42" s="12">
        <v>46011</v>
      </c>
      <c r="G42" s="22">
        <v>0.60416666666666663</v>
      </c>
      <c r="H42" s="2" t="s">
        <v>76</v>
      </c>
      <c r="I42" s="2" t="s">
        <v>42</v>
      </c>
      <c r="J42" s="2">
        <v>21</v>
      </c>
      <c r="K42" s="14">
        <f>VLOOKUP($C42,Sheet1!$A$2:$D$10,4,0)</f>
        <v>1</v>
      </c>
      <c r="L42" s="14" t="str">
        <f>VLOOKUP($C42,Sheet1!$A$2:$E$10,5,0)</f>
        <v>Bin</v>
      </c>
      <c r="M42" s="14">
        <f t="shared" si="6"/>
        <v>21</v>
      </c>
      <c r="N42" s="2"/>
      <c r="O42" s="2" t="s">
        <v>1202</v>
      </c>
      <c r="P42" s="2" t="s">
        <v>1123</v>
      </c>
    </row>
    <row r="43" spans="1:16" ht="15.75" thickTop="1" x14ac:dyDescent="0.25">
      <c r="A43" s="15" t="s">
        <v>1276</v>
      </c>
      <c r="B43" s="18" t="s">
        <v>1159</v>
      </c>
      <c r="C43" s="2" t="s">
        <v>12</v>
      </c>
      <c r="D43" s="2" t="str">
        <f>VLOOKUP($C43,Sheet1!$A$2:$B$10,2,0)</f>
        <v>141185-74670</v>
      </c>
      <c r="E43" s="8" t="s">
        <v>52</v>
      </c>
      <c r="F43" s="12">
        <v>46011</v>
      </c>
      <c r="G43" s="35">
        <v>0.72916666666666663</v>
      </c>
      <c r="H43" s="2" t="s">
        <v>41</v>
      </c>
      <c r="I43" s="2" t="s">
        <v>42</v>
      </c>
      <c r="J43" s="2">
        <v>120</v>
      </c>
      <c r="K43" s="14">
        <f>VLOOKUP($C43,Sheet1!$A$2:$D$10,4,0)</f>
        <v>40</v>
      </c>
      <c r="L43" s="14" t="str">
        <f>VLOOKUP($C43,Sheet1!$A$2:$E$10,5,0)</f>
        <v>Trolley</v>
      </c>
      <c r="M43" s="14"/>
      <c r="N43" s="2">
        <f>J43/K43</f>
        <v>3</v>
      </c>
      <c r="O43" s="2" t="s">
        <v>1202</v>
      </c>
      <c r="P43" s="2">
        <v>910103841</v>
      </c>
    </row>
    <row r="44" spans="1:16" x14ac:dyDescent="0.25">
      <c r="A44" s="15" t="s">
        <v>1276</v>
      </c>
      <c r="B44" s="18" t="s">
        <v>1174</v>
      </c>
      <c r="C44" s="2" t="s">
        <v>23</v>
      </c>
      <c r="D44" s="2" t="str">
        <f>VLOOKUP($C44,Sheet1!$A$2:$B$10,2,0)</f>
        <v>141186-74360</v>
      </c>
      <c r="E44" s="8" t="s">
        <v>70</v>
      </c>
      <c r="F44" s="12">
        <v>46011</v>
      </c>
      <c r="G44" s="21">
        <v>0.72916666666666663</v>
      </c>
      <c r="H44" s="2" t="s">
        <v>58</v>
      </c>
      <c r="I44" s="2" t="s">
        <v>42</v>
      </c>
      <c r="J44" s="2">
        <v>120</v>
      </c>
      <c r="K44" s="14">
        <f>VLOOKUP($C44,Sheet1!$A$2:$D$10,4,0)</f>
        <v>40</v>
      </c>
      <c r="L44" s="14" t="str">
        <f>VLOOKUP($C44,Sheet1!$A$2:$E$10,5,0)</f>
        <v>Trolley</v>
      </c>
      <c r="M44" s="14"/>
      <c r="N44" s="2">
        <f>J44/K44</f>
        <v>3</v>
      </c>
      <c r="O44" s="2" t="s">
        <v>1202</v>
      </c>
      <c r="P44" s="2">
        <v>910103841</v>
      </c>
    </row>
    <row r="45" spans="1:16" s="11" customForma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>
        <v>67</v>
      </c>
      <c r="N45" s="10">
        <v>10</v>
      </c>
      <c r="O45" s="10"/>
      <c r="P45" s="10"/>
    </row>
    <row r="46" spans="1:16" x14ac:dyDescent="0.25">
      <c r="A46" s="2"/>
      <c r="B46" s="2" t="s">
        <v>1190</v>
      </c>
      <c r="C46" s="2"/>
      <c r="D46" s="2"/>
      <c r="E46" s="8"/>
      <c r="F46" s="12"/>
      <c r="G46" s="13"/>
      <c r="H46" s="2"/>
      <c r="I46" s="2"/>
      <c r="J46" s="2"/>
      <c r="K46" s="14"/>
      <c r="L46" s="14"/>
      <c r="M46" s="14"/>
      <c r="N46" s="2"/>
      <c r="O46" s="2"/>
      <c r="P46" s="2"/>
    </row>
    <row r="47" spans="1:16" x14ac:dyDescent="0.25">
      <c r="A47" s="2"/>
      <c r="B47" s="2"/>
      <c r="C47" s="2"/>
      <c r="D47" s="2"/>
      <c r="E47" s="8"/>
      <c r="F47" s="12"/>
      <c r="G47" s="13"/>
      <c r="H47" s="2"/>
      <c r="I47" s="2"/>
      <c r="J47" s="2"/>
      <c r="K47" s="14"/>
      <c r="L47" s="14"/>
      <c r="M47" s="14"/>
      <c r="N47" s="2"/>
      <c r="O47" s="2"/>
      <c r="P47" s="2"/>
    </row>
    <row r="48" spans="1:16" x14ac:dyDescent="0.25">
      <c r="B48" s="37"/>
    </row>
  </sheetData>
  <mergeCells count="7">
    <mergeCell ref="N34:N35"/>
    <mergeCell ref="A1:F1"/>
    <mergeCell ref="J1:N1"/>
    <mergeCell ref="L2:N2"/>
    <mergeCell ref="N4:N5"/>
    <mergeCell ref="N14:N15"/>
    <mergeCell ref="N24:N25"/>
  </mergeCells>
  <conditionalFormatting sqref="B2">
    <cfRule type="duplicateValues" dxfId="35" priority="5"/>
    <cfRule type="duplicateValues" dxfId="34" priority="6"/>
  </conditionalFormatting>
  <conditionalFormatting sqref="B43:B44">
    <cfRule type="duplicateValues" dxfId="33" priority="1"/>
  </conditionalFormatting>
  <conditionalFormatting sqref="B46:B47 B24:B32 B4:B12 B34:B42 B14:B22">
    <cfRule type="duplicateValues" dxfId="32" priority="21"/>
  </conditionalFormatting>
  <conditionalFormatting sqref="C2:D2">
    <cfRule type="duplicateValues" dxfId="31" priority="7"/>
    <cfRule type="duplicateValues" dxfId="30" priority="8"/>
  </conditionalFormatting>
  <hyperlinks>
    <hyperlink ref="B46" r:id="rId1" display="http://192.168.1.248/downloads/temp/X539_eNagare_20251219.log" xr:uid="{00000000-0004-0000-1700-000000000000}"/>
  </hyperlinks>
  <pageMargins left="0.17" right="0.17" top="0.17" bottom="0.17" header="0.17" footer="0.17"/>
  <pageSetup paperSize="9" scale="72" orientation="landscape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Q72"/>
  <sheetViews>
    <sheetView topLeftCell="A4" workbookViewId="0">
      <selection activeCell="P21" sqref="P21"/>
    </sheetView>
  </sheetViews>
  <sheetFormatPr defaultColWidth="62.7109375" defaultRowHeight="15" x14ac:dyDescent="0.25"/>
  <cols>
    <col min="1" max="1" width="15.140625" bestFit="1" customWidth="1"/>
    <col min="2" max="2" width="18.42578125" customWidth="1"/>
    <col min="3" max="3" width="14.140625" bestFit="1" customWidth="1"/>
    <col min="4" max="4" width="14.140625" customWidth="1"/>
    <col min="5" max="5" width="32.5703125" bestFit="1" customWidth="1"/>
    <col min="6" max="6" width="12.7109375" bestFit="1" customWidth="1"/>
    <col min="7" max="7" width="8.140625" bestFit="1" customWidth="1"/>
    <col min="8" max="8" width="12.5703125" bestFit="1" customWidth="1"/>
    <col min="9" max="9" width="4.7109375" bestFit="1" customWidth="1"/>
    <col min="10" max="10" width="6" customWidth="1"/>
    <col min="11" max="11" width="10.28515625" customWidth="1"/>
    <col min="12" max="12" width="12.7109375" customWidth="1"/>
    <col min="13" max="13" width="7.140625" bestFit="1" customWidth="1"/>
    <col min="14" max="14" width="7.85546875" bestFit="1" customWidth="1"/>
    <col min="15" max="15" width="10.7109375" customWidth="1"/>
    <col min="16" max="16" width="47" customWidth="1"/>
  </cols>
  <sheetData>
    <row r="1" spans="1:16" ht="23.25" x14ac:dyDescent="0.25">
      <c r="A1" s="53" t="s">
        <v>93</v>
      </c>
      <c r="B1" s="53"/>
      <c r="C1" s="53"/>
      <c r="D1" s="53"/>
      <c r="E1" s="53"/>
      <c r="F1" s="53"/>
      <c r="G1" s="2"/>
      <c r="H1" s="2"/>
      <c r="I1" s="2"/>
      <c r="J1" s="54" t="s">
        <v>94</v>
      </c>
      <c r="K1" s="55"/>
      <c r="L1" s="55"/>
      <c r="M1" s="55"/>
      <c r="N1" s="55"/>
      <c r="O1" s="3"/>
      <c r="P1" s="4"/>
    </row>
    <row r="2" spans="1:16" ht="16.5" customHeight="1" x14ac:dyDescent="0.25">
      <c r="A2" s="5" t="s">
        <v>95</v>
      </c>
      <c r="B2" s="6">
        <v>46013</v>
      </c>
      <c r="C2" s="7"/>
      <c r="D2" s="7"/>
      <c r="E2" s="2"/>
      <c r="F2" s="8"/>
      <c r="G2" s="2"/>
      <c r="H2" s="2"/>
      <c r="I2" s="2"/>
      <c r="J2" s="2"/>
      <c r="K2" s="2"/>
      <c r="L2" s="56" t="s">
        <v>96</v>
      </c>
      <c r="M2" s="57"/>
      <c r="N2" s="58"/>
      <c r="O2" s="2"/>
      <c r="P2" s="2"/>
    </row>
    <row r="3" spans="1:16" s="11" customFormat="1" ht="35.25" customHeight="1" x14ac:dyDescent="0.25">
      <c r="A3" s="10" t="s">
        <v>97</v>
      </c>
      <c r="B3" s="10" t="s">
        <v>35</v>
      </c>
      <c r="C3" s="10" t="s">
        <v>0</v>
      </c>
      <c r="D3" s="10" t="s">
        <v>98</v>
      </c>
      <c r="E3" s="10" t="s">
        <v>2</v>
      </c>
      <c r="F3" s="10" t="s">
        <v>36</v>
      </c>
      <c r="G3" s="10" t="s">
        <v>37</v>
      </c>
      <c r="H3" s="10" t="s">
        <v>38</v>
      </c>
      <c r="I3" s="10" t="s">
        <v>99</v>
      </c>
      <c r="J3" s="10" t="s">
        <v>100</v>
      </c>
      <c r="K3" s="10" t="s">
        <v>101</v>
      </c>
      <c r="L3" s="10" t="s">
        <v>102</v>
      </c>
      <c r="M3" s="10" t="s">
        <v>103</v>
      </c>
      <c r="N3" s="10" t="s">
        <v>104</v>
      </c>
      <c r="O3" s="10" t="s">
        <v>96</v>
      </c>
      <c r="P3" s="10" t="s">
        <v>105</v>
      </c>
    </row>
    <row r="4" spans="1:16" x14ac:dyDescent="0.25">
      <c r="A4" s="15" t="s">
        <v>1199</v>
      </c>
      <c r="B4" s="18" t="s">
        <v>1149</v>
      </c>
      <c r="C4" s="2" t="s">
        <v>5</v>
      </c>
      <c r="D4" s="2" t="str">
        <f>VLOOKUP($C4,Sheet1!$A$2:$B$10,2,0)</f>
        <v>141110-14600</v>
      </c>
      <c r="E4" s="8" t="s">
        <v>40</v>
      </c>
      <c r="F4" s="12">
        <v>46013</v>
      </c>
      <c r="G4" s="13">
        <v>0.27083333333333331</v>
      </c>
      <c r="H4" s="2" t="s">
        <v>41</v>
      </c>
      <c r="I4" s="2" t="s">
        <v>42</v>
      </c>
      <c r="J4" s="2">
        <v>18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1">
        <v>1</v>
      </c>
      <c r="O4" s="2" t="s">
        <v>113</v>
      </c>
      <c r="P4" s="2" t="s">
        <v>1210</v>
      </c>
    </row>
    <row r="5" spans="1:16" x14ac:dyDescent="0.25">
      <c r="A5" s="15" t="s">
        <v>1199</v>
      </c>
      <c r="B5" s="18" t="s">
        <v>1154</v>
      </c>
      <c r="C5" s="2" t="s">
        <v>9</v>
      </c>
      <c r="D5" s="2" t="str">
        <f>VLOOKUP($C5,Sheet1!$A$2:$B$10,2,0)</f>
        <v>141120-14600</v>
      </c>
      <c r="E5" s="8" t="s">
        <v>47</v>
      </c>
      <c r="F5" s="12">
        <v>46013</v>
      </c>
      <c r="G5" s="13">
        <v>0.27083333333333331</v>
      </c>
      <c r="H5" s="2" t="s">
        <v>41</v>
      </c>
      <c r="I5" s="2" t="s">
        <v>42</v>
      </c>
      <c r="J5" s="2">
        <v>18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2"/>
      <c r="O5" s="2" t="s">
        <v>113</v>
      </c>
      <c r="P5" s="2" t="s">
        <v>1210</v>
      </c>
    </row>
    <row r="6" spans="1:16" x14ac:dyDescent="0.25">
      <c r="A6" s="15" t="s">
        <v>1199</v>
      </c>
      <c r="B6" s="18" t="s">
        <v>1233</v>
      </c>
      <c r="C6" s="2" t="s">
        <v>12</v>
      </c>
      <c r="D6" s="2" t="str">
        <f>VLOOKUP($C6,Sheet1!$A$2:$B$10,2,0)</f>
        <v>141185-74670</v>
      </c>
      <c r="E6" s="8" t="s">
        <v>52</v>
      </c>
      <c r="F6" s="12">
        <v>46013</v>
      </c>
      <c r="G6" s="13">
        <v>0.27083333333333331</v>
      </c>
      <c r="H6" s="2" t="s">
        <v>41</v>
      </c>
      <c r="I6" s="2" t="s">
        <v>42</v>
      </c>
      <c r="J6" s="2">
        <v>80</v>
      </c>
      <c r="K6" s="14">
        <f>VLOOKUP($C6,Sheet1!$A$2:$D$10,4,0)</f>
        <v>40</v>
      </c>
      <c r="L6" s="14" t="str">
        <f>VLOOKUP($C6,Sheet1!$A$2:$E$10,5,0)</f>
        <v>Trolley</v>
      </c>
      <c r="M6" s="14"/>
      <c r="N6" s="2">
        <f>J6/K6</f>
        <v>2</v>
      </c>
      <c r="O6" s="2" t="s">
        <v>113</v>
      </c>
      <c r="P6" s="2">
        <v>910103841</v>
      </c>
    </row>
    <row r="7" spans="1:16" x14ac:dyDescent="0.25">
      <c r="A7" s="15" t="s">
        <v>1199</v>
      </c>
      <c r="B7" s="18" t="s">
        <v>1234</v>
      </c>
      <c r="C7" s="2" t="s">
        <v>12</v>
      </c>
      <c r="D7" s="2" t="str">
        <f>VLOOKUP($C7,Sheet1!$A$2:$B$10,2,0)</f>
        <v>141185-74670</v>
      </c>
      <c r="E7" s="8" t="s">
        <v>52</v>
      </c>
      <c r="F7" s="12">
        <v>46013</v>
      </c>
      <c r="G7" s="13">
        <v>0.27083333333333331</v>
      </c>
      <c r="H7" s="2" t="s">
        <v>41</v>
      </c>
      <c r="I7" s="2" t="s">
        <v>42</v>
      </c>
      <c r="J7" s="2">
        <v>40</v>
      </c>
      <c r="K7" s="14">
        <f>VLOOKUP($C7,Sheet1!$A$2:$D$10,4,0)</f>
        <v>40</v>
      </c>
      <c r="L7" s="14" t="str">
        <f>VLOOKUP($C7,Sheet1!$A$2:$E$10,5,0)</f>
        <v>Trolley</v>
      </c>
      <c r="M7" s="14"/>
      <c r="N7" s="2">
        <f>J7/K7</f>
        <v>1</v>
      </c>
      <c r="O7" s="2" t="s">
        <v>113</v>
      </c>
      <c r="P7" s="2">
        <v>910103841</v>
      </c>
    </row>
    <row r="8" spans="1:16" x14ac:dyDescent="0.25">
      <c r="A8" s="15" t="s">
        <v>1199</v>
      </c>
      <c r="B8" s="18" t="s">
        <v>1164</v>
      </c>
      <c r="C8" s="2" t="s">
        <v>16</v>
      </c>
      <c r="D8" s="2" t="str">
        <f>VLOOKUP($C8,Sheet1!$A$2:$B$10,2,0)</f>
        <v>141140-91211</v>
      </c>
      <c r="E8" s="8" t="s">
        <v>57</v>
      </c>
      <c r="F8" s="12">
        <v>46013</v>
      </c>
      <c r="G8" s="13">
        <v>0.27083333333333331</v>
      </c>
      <c r="H8" s="2" t="s">
        <v>58</v>
      </c>
      <c r="I8" s="2" t="s">
        <v>42</v>
      </c>
      <c r="J8" s="2">
        <v>30</v>
      </c>
      <c r="K8" s="14">
        <f>VLOOKUP($C8,Sheet1!$A$2:$D$10,4,0)</f>
        <v>2</v>
      </c>
      <c r="L8" s="14" t="str">
        <f>VLOOKUP($C8,Sheet1!$A$2:$E$10,5,0)</f>
        <v>Bin</v>
      </c>
      <c r="M8" s="14">
        <f>J8/K8</f>
        <v>15</v>
      </c>
      <c r="N8" s="2"/>
      <c r="O8" s="2" t="s">
        <v>113</v>
      </c>
      <c r="P8" s="2" t="s">
        <v>1056</v>
      </c>
    </row>
    <row r="9" spans="1:16" x14ac:dyDescent="0.25">
      <c r="A9" s="15" t="s">
        <v>1199</v>
      </c>
      <c r="B9" s="18" t="s">
        <v>1169</v>
      </c>
      <c r="C9" s="2" t="s">
        <v>20</v>
      </c>
      <c r="D9" s="2" t="str">
        <f>VLOOKUP($C9,Sheet1!$A$2:$B$10,2,0)</f>
        <v>141150-91211</v>
      </c>
      <c r="E9" s="8" t="s">
        <v>64</v>
      </c>
      <c r="F9" s="12">
        <v>46013</v>
      </c>
      <c r="G9" s="13">
        <v>0.27083333333333331</v>
      </c>
      <c r="H9" s="2" t="s">
        <v>58</v>
      </c>
      <c r="I9" s="2" t="s">
        <v>42</v>
      </c>
      <c r="J9" s="2">
        <v>30</v>
      </c>
      <c r="K9" s="14">
        <f>VLOOKUP($C9,Sheet1!$A$2:$D$10,4,0)</f>
        <v>2</v>
      </c>
      <c r="L9" s="14" t="str">
        <f>VLOOKUP($C9,Sheet1!$A$2:$E$10,5,0)</f>
        <v>Bin</v>
      </c>
      <c r="M9" s="14">
        <f>J9/K9</f>
        <v>15</v>
      </c>
      <c r="N9" s="2"/>
      <c r="O9" s="2" t="s">
        <v>113</v>
      </c>
      <c r="P9" s="2" t="s">
        <v>1056</v>
      </c>
    </row>
    <row r="10" spans="1:16" x14ac:dyDescent="0.25">
      <c r="A10" s="15" t="s">
        <v>1199</v>
      </c>
      <c r="B10" s="18" t="s">
        <v>1251</v>
      </c>
      <c r="C10" s="2" t="s">
        <v>23</v>
      </c>
      <c r="D10" s="2" t="str">
        <f>VLOOKUP($C10,Sheet1!$A$2:$B$10,2,0)</f>
        <v>141186-74360</v>
      </c>
      <c r="E10" s="8" t="s">
        <v>70</v>
      </c>
      <c r="F10" s="12">
        <v>46013</v>
      </c>
      <c r="G10" s="13">
        <v>0.27083333333333331</v>
      </c>
      <c r="H10" s="2" t="s">
        <v>58</v>
      </c>
      <c r="I10" s="2" t="s">
        <v>42</v>
      </c>
      <c r="J10" s="2">
        <v>80</v>
      </c>
      <c r="K10" s="14">
        <f>VLOOKUP($C10,Sheet1!$A$2:$D$10,4,0)</f>
        <v>40</v>
      </c>
      <c r="L10" s="14" t="str">
        <f>VLOOKUP($C10,Sheet1!$A$2:$E$10,5,0)</f>
        <v>Trolley</v>
      </c>
      <c r="M10" s="14"/>
      <c r="N10" s="2">
        <f>J10/K10</f>
        <v>2</v>
      </c>
      <c r="O10" s="2" t="s">
        <v>113</v>
      </c>
      <c r="P10" s="2">
        <v>910103841</v>
      </c>
    </row>
    <row r="11" spans="1:16" x14ac:dyDescent="0.25">
      <c r="A11" s="15" t="s">
        <v>1199</v>
      </c>
      <c r="B11" s="18" t="s">
        <v>1252</v>
      </c>
      <c r="C11" s="18" t="s">
        <v>23</v>
      </c>
      <c r="D11" s="2" t="str">
        <f>VLOOKUP($C11,Sheet1!$A$2:$B$10,2,0)</f>
        <v>141186-74360</v>
      </c>
      <c r="E11" s="8" t="s">
        <v>70</v>
      </c>
      <c r="F11" s="12">
        <v>46013</v>
      </c>
      <c r="G11" s="13">
        <v>0.27083333333333331</v>
      </c>
      <c r="H11" s="2" t="s">
        <v>58</v>
      </c>
      <c r="I11" s="2" t="s">
        <v>42</v>
      </c>
      <c r="J11" s="2">
        <v>40</v>
      </c>
      <c r="K11" s="14">
        <f>VLOOKUP($C11,Sheet1!$A$2:$D$10,4,0)</f>
        <v>40</v>
      </c>
      <c r="L11" s="14" t="str">
        <f>VLOOKUP($C11,Sheet1!$A$2:$E$10,5,0)</f>
        <v>Trolley</v>
      </c>
      <c r="M11" s="14"/>
      <c r="N11" s="2">
        <f t="shared" ref="N11" si="0">J11/K11</f>
        <v>1</v>
      </c>
      <c r="O11" s="2" t="s">
        <v>113</v>
      </c>
      <c r="P11" s="2" t="s">
        <v>1490</v>
      </c>
    </row>
    <row r="12" spans="1:16" x14ac:dyDescent="0.25">
      <c r="A12" s="15" t="s">
        <v>1200</v>
      </c>
      <c r="B12" s="18" t="s">
        <v>1179</v>
      </c>
      <c r="C12" s="2" t="s">
        <v>26</v>
      </c>
      <c r="D12" s="2" t="str">
        <f>VLOOKUP($C12,Sheet1!$A$2:$B$10,2,0)</f>
        <v>116040-92240</v>
      </c>
      <c r="E12" s="8" t="s">
        <v>75</v>
      </c>
      <c r="F12" s="12">
        <v>46013</v>
      </c>
      <c r="G12" s="13">
        <v>0.27083333333333331</v>
      </c>
      <c r="H12" s="2" t="s">
        <v>76</v>
      </c>
      <c r="I12" s="2" t="s">
        <v>42</v>
      </c>
      <c r="J12" s="2">
        <v>30</v>
      </c>
      <c r="K12" s="14">
        <f>VLOOKUP($C12,Sheet1!$A$2:$D$10,4,0)</f>
        <v>6</v>
      </c>
      <c r="L12" s="14" t="str">
        <f>VLOOKUP($C12,Sheet1!$A$2:$E$10,5,0)</f>
        <v>Bin</v>
      </c>
      <c r="M12" s="14">
        <f>J12/K12</f>
        <v>5</v>
      </c>
      <c r="N12" s="2"/>
      <c r="O12" s="2" t="s">
        <v>113</v>
      </c>
      <c r="P12" s="2" t="s">
        <v>1213</v>
      </c>
    </row>
    <row r="13" spans="1:16" x14ac:dyDescent="0.25">
      <c r="A13" s="15" t="s">
        <v>1200</v>
      </c>
      <c r="B13" s="18" t="s">
        <v>1184</v>
      </c>
      <c r="C13" s="2" t="s">
        <v>32</v>
      </c>
      <c r="D13" s="2" t="str">
        <f>VLOOKUP($C13,Sheet1!$A$2:$B$10,2,0)</f>
        <v>114010-50820</v>
      </c>
      <c r="E13" s="8" t="s">
        <v>82</v>
      </c>
      <c r="F13" s="12">
        <v>46013</v>
      </c>
      <c r="G13" s="13">
        <v>0.27083333333333331</v>
      </c>
      <c r="H13" s="2" t="s">
        <v>76</v>
      </c>
      <c r="I13" s="2" t="s">
        <v>42</v>
      </c>
      <c r="J13" s="2">
        <v>9</v>
      </c>
      <c r="K13" s="14">
        <f>VLOOKUP($C13,Sheet1!$A$2:$D$10,4,0)</f>
        <v>1</v>
      </c>
      <c r="L13" s="14" t="str">
        <f>VLOOKUP($C13,Sheet1!$A$2:$E$10,5,0)</f>
        <v>Bin</v>
      </c>
      <c r="M13" s="14">
        <f>J13/K13</f>
        <v>9</v>
      </c>
      <c r="N13" s="2"/>
      <c r="O13" s="2" t="s">
        <v>113</v>
      </c>
      <c r="P13" s="2" t="s">
        <v>171</v>
      </c>
    </row>
    <row r="14" spans="1:16" x14ac:dyDescent="0.25">
      <c r="A14" s="15" t="s">
        <v>1200</v>
      </c>
      <c r="B14" s="18" t="s">
        <v>1189</v>
      </c>
      <c r="C14" s="2" t="s">
        <v>29</v>
      </c>
      <c r="D14" s="2" t="str">
        <f>VLOOKUP($C14,Sheet1!$A$2:$B$10,2,0)</f>
        <v>114010-50830</v>
      </c>
      <c r="E14" s="8" t="s">
        <v>82</v>
      </c>
      <c r="F14" s="12">
        <v>46013</v>
      </c>
      <c r="G14" s="13">
        <v>0.27083333333333331</v>
      </c>
      <c r="H14" s="2" t="s">
        <v>76</v>
      </c>
      <c r="I14" s="2" t="s">
        <v>42</v>
      </c>
      <c r="J14" s="2">
        <v>19</v>
      </c>
      <c r="K14" s="14">
        <f>VLOOKUP($C14,Sheet1!$A$2:$D$10,4,0)</f>
        <v>1</v>
      </c>
      <c r="L14" s="14" t="str">
        <f>VLOOKUP($C14,Sheet1!$A$2:$E$10,5,0)</f>
        <v>Bin</v>
      </c>
      <c r="M14" s="14">
        <f>J14/K14</f>
        <v>19</v>
      </c>
      <c r="N14" s="2"/>
      <c r="O14" s="2" t="s">
        <v>113</v>
      </c>
      <c r="P14" s="2" t="s">
        <v>1123</v>
      </c>
    </row>
    <row r="15" spans="1:16" s="11" customFormat="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>
        <v>63</v>
      </c>
      <c r="N15" s="10">
        <v>7</v>
      </c>
      <c r="O15" s="10"/>
      <c r="P15" s="10"/>
    </row>
    <row r="16" spans="1:16" x14ac:dyDescent="0.25">
      <c r="A16" s="15" t="s">
        <v>1278</v>
      </c>
      <c r="B16" s="18" t="s">
        <v>1257</v>
      </c>
      <c r="C16" s="2" t="s">
        <v>26</v>
      </c>
      <c r="D16" s="2" t="str">
        <f>VLOOKUP($C16,Sheet1!$A$2:$B$10,2,0)</f>
        <v>116040-92240</v>
      </c>
      <c r="E16" s="8" t="s">
        <v>75</v>
      </c>
      <c r="F16" s="12">
        <v>46013</v>
      </c>
      <c r="G16" s="13">
        <v>0.27083333333333331</v>
      </c>
      <c r="H16" s="2" t="s">
        <v>76</v>
      </c>
      <c r="I16" s="2" t="s">
        <v>42</v>
      </c>
      <c r="J16" s="2">
        <v>42</v>
      </c>
      <c r="K16" s="14">
        <f>VLOOKUP($C16,Sheet1!$A$2:$D$10,4,0)</f>
        <v>6</v>
      </c>
      <c r="L16" s="14" t="str">
        <f>VLOOKUP($C16,Sheet1!$A$2:$E$10,5,0)</f>
        <v>Bin</v>
      </c>
      <c r="M16" s="14">
        <f t="shared" ref="M16:M21" si="1">J16/K16</f>
        <v>7</v>
      </c>
      <c r="N16" s="2"/>
      <c r="O16" s="2" t="s">
        <v>112</v>
      </c>
      <c r="P16" s="2" t="s">
        <v>1213</v>
      </c>
    </row>
    <row r="17" spans="1:16" x14ac:dyDescent="0.25">
      <c r="A17" s="15" t="s">
        <v>1278</v>
      </c>
      <c r="B17" s="18" t="s">
        <v>1258</v>
      </c>
      <c r="C17" s="2" t="s">
        <v>26</v>
      </c>
      <c r="D17" s="2" t="str">
        <f>VLOOKUP($C17,Sheet1!$A$2:$B$10,2,0)</f>
        <v>116040-92240</v>
      </c>
      <c r="E17" s="8" t="s">
        <v>75</v>
      </c>
      <c r="F17" s="12">
        <v>46013</v>
      </c>
      <c r="G17" s="13">
        <v>0.27083333333333331</v>
      </c>
      <c r="H17" s="2" t="s">
        <v>76</v>
      </c>
      <c r="I17" s="2" t="s">
        <v>42</v>
      </c>
      <c r="J17" s="2">
        <v>42</v>
      </c>
      <c r="K17" s="14">
        <f>VLOOKUP($C17,Sheet1!$A$2:$D$10,4,0)</f>
        <v>6</v>
      </c>
      <c r="L17" s="14" t="str">
        <f>VLOOKUP($C17,Sheet1!$A$2:$E$10,5,0)</f>
        <v>Bin</v>
      </c>
      <c r="M17" s="14">
        <f>J17/K17</f>
        <v>7</v>
      </c>
      <c r="N17" s="2"/>
      <c r="O17" s="2" t="s">
        <v>112</v>
      </c>
      <c r="P17" s="2" t="s">
        <v>1213</v>
      </c>
    </row>
    <row r="18" spans="1:16" x14ac:dyDescent="0.25">
      <c r="A18" s="15" t="s">
        <v>1278</v>
      </c>
      <c r="B18" s="18" t="s">
        <v>1263</v>
      </c>
      <c r="C18" s="2" t="s">
        <v>32</v>
      </c>
      <c r="D18" s="2" t="str">
        <f>VLOOKUP($C18,Sheet1!$A$2:$B$10,2,0)</f>
        <v>114010-50820</v>
      </c>
      <c r="E18" s="8" t="s">
        <v>82</v>
      </c>
      <c r="F18" s="12">
        <v>46013</v>
      </c>
      <c r="G18" s="13">
        <v>0.27083333333333331</v>
      </c>
      <c r="H18" s="2" t="s">
        <v>76</v>
      </c>
      <c r="I18" s="2" t="s">
        <v>42</v>
      </c>
      <c r="J18" s="2">
        <v>17</v>
      </c>
      <c r="K18" s="14">
        <f>VLOOKUP($C18,Sheet1!$A$2:$D$10,4,0)</f>
        <v>1</v>
      </c>
      <c r="L18" s="14" t="str">
        <f>VLOOKUP($C18,Sheet1!$A$2:$E$10,5,0)</f>
        <v>Bin</v>
      </c>
      <c r="M18" s="14">
        <f t="shared" si="1"/>
        <v>17</v>
      </c>
      <c r="N18" s="2"/>
      <c r="O18" s="2" t="s">
        <v>112</v>
      </c>
      <c r="P18" s="2" t="s">
        <v>171</v>
      </c>
    </row>
    <row r="19" spans="1:16" x14ac:dyDescent="0.25">
      <c r="A19" s="15" t="s">
        <v>1278</v>
      </c>
      <c r="B19" s="18" t="s">
        <v>1264</v>
      </c>
      <c r="C19" s="2" t="s">
        <v>32</v>
      </c>
      <c r="D19" s="2" t="str">
        <f>VLOOKUP($C19,Sheet1!$A$2:$B$10,2,0)</f>
        <v>114010-50820</v>
      </c>
      <c r="E19" s="8" t="s">
        <v>82</v>
      </c>
      <c r="F19" s="12">
        <v>46013</v>
      </c>
      <c r="G19" s="13">
        <v>0.27083333333333331</v>
      </c>
      <c r="H19" s="2" t="s">
        <v>76</v>
      </c>
      <c r="I19" s="2" t="s">
        <v>42</v>
      </c>
      <c r="J19" s="2">
        <v>12</v>
      </c>
      <c r="K19" s="14">
        <f>VLOOKUP($C19,Sheet1!$A$2:$D$10,4,0)</f>
        <v>1</v>
      </c>
      <c r="L19" s="14" t="str">
        <f>VLOOKUP($C19,Sheet1!$A$2:$E$10,5,0)</f>
        <v>Bin</v>
      </c>
      <c r="M19" s="14">
        <f>J19/K19</f>
        <v>12</v>
      </c>
      <c r="N19" s="2"/>
      <c r="O19" s="2" t="s">
        <v>112</v>
      </c>
      <c r="P19" s="2" t="s">
        <v>171</v>
      </c>
    </row>
    <row r="20" spans="1:16" x14ac:dyDescent="0.25">
      <c r="A20" s="15" t="s">
        <v>1278</v>
      </c>
      <c r="B20" s="18" t="s">
        <v>1269</v>
      </c>
      <c r="C20" s="2" t="s">
        <v>29</v>
      </c>
      <c r="D20" s="2" t="str">
        <f>VLOOKUP($C20,Sheet1!$A$2:$B$10,2,0)</f>
        <v>114010-50830</v>
      </c>
      <c r="E20" s="8" t="s">
        <v>82</v>
      </c>
      <c r="F20" s="12">
        <v>46013</v>
      </c>
      <c r="G20" s="13">
        <v>0.27083333333333331</v>
      </c>
      <c r="H20" s="2" t="s">
        <v>76</v>
      </c>
      <c r="I20" s="2" t="s">
        <v>42</v>
      </c>
      <c r="J20" s="2">
        <v>31</v>
      </c>
      <c r="K20" s="14">
        <f>VLOOKUP($C20,Sheet1!$A$2:$D$10,4,0)</f>
        <v>1</v>
      </c>
      <c r="L20" s="14" t="str">
        <f>VLOOKUP($C20,Sheet1!$A$2:$E$10,5,0)</f>
        <v>Bin</v>
      </c>
      <c r="M20" s="14">
        <f t="shared" si="1"/>
        <v>31</v>
      </c>
      <c r="N20" s="2"/>
      <c r="O20" s="2" t="s">
        <v>112</v>
      </c>
      <c r="P20" s="2" t="s">
        <v>1123</v>
      </c>
    </row>
    <row r="21" spans="1:16" x14ac:dyDescent="0.25">
      <c r="A21" s="15" t="s">
        <v>1278</v>
      </c>
      <c r="B21" s="18" t="s">
        <v>1270</v>
      </c>
      <c r="C21" s="2" t="s">
        <v>29</v>
      </c>
      <c r="D21" s="2" t="str">
        <f>VLOOKUP($C21,Sheet1!$A$2:$B$10,2,0)</f>
        <v>114010-50830</v>
      </c>
      <c r="E21" s="8" t="s">
        <v>82</v>
      </c>
      <c r="F21" s="12">
        <v>46013</v>
      </c>
      <c r="G21" s="13">
        <v>0.27083333333333331</v>
      </c>
      <c r="H21" s="2" t="s">
        <v>76</v>
      </c>
      <c r="I21" s="2" t="s">
        <v>42</v>
      </c>
      <c r="J21" s="2">
        <v>27</v>
      </c>
      <c r="K21" s="14">
        <f>VLOOKUP($C21,Sheet1!$A$2:$D$10,4,0)</f>
        <v>1</v>
      </c>
      <c r="L21" s="14" t="str">
        <f>VLOOKUP($C21,Sheet1!$A$2:$E$10,5,0)</f>
        <v>Bin</v>
      </c>
      <c r="M21" s="14">
        <f t="shared" si="1"/>
        <v>27</v>
      </c>
      <c r="N21" s="2"/>
      <c r="O21" s="2" t="s">
        <v>112</v>
      </c>
      <c r="P21" s="2" t="s">
        <v>1123</v>
      </c>
    </row>
    <row r="22" spans="1:16" x14ac:dyDescent="0.25">
      <c r="A22" s="15" t="s">
        <v>1279</v>
      </c>
      <c r="B22" s="18" t="s">
        <v>1223</v>
      </c>
      <c r="C22" s="2" t="s">
        <v>5</v>
      </c>
      <c r="D22" s="2" t="str">
        <f>VLOOKUP($C22,Sheet1!$A$2:$B$10,2,0)</f>
        <v>141110-14600</v>
      </c>
      <c r="E22" s="8" t="s">
        <v>40</v>
      </c>
      <c r="F22" s="12">
        <v>46013</v>
      </c>
      <c r="G22" s="13">
        <v>0.3125</v>
      </c>
      <c r="H22" s="2" t="s">
        <v>41</v>
      </c>
      <c r="I22" s="2" t="s">
        <v>42</v>
      </c>
      <c r="J22" s="2">
        <v>18</v>
      </c>
      <c r="K22" s="14">
        <f>VLOOKUP($C22,Sheet1!$A$2:$D$10,4,0)</f>
        <v>18</v>
      </c>
      <c r="L22" s="14" t="str">
        <f>VLOOKUP($C22,Sheet1!$A$2:$E$10,5,0)</f>
        <v>Trolley (H)</v>
      </c>
      <c r="M22" s="14"/>
      <c r="N22" s="51">
        <v>1</v>
      </c>
      <c r="O22" s="2" t="s">
        <v>112</v>
      </c>
      <c r="P22" s="2" t="s">
        <v>1491</v>
      </c>
    </row>
    <row r="23" spans="1:16" x14ac:dyDescent="0.25">
      <c r="A23" s="15" t="s">
        <v>1279</v>
      </c>
      <c r="B23" s="18" t="s">
        <v>1229</v>
      </c>
      <c r="C23" s="2" t="s">
        <v>9</v>
      </c>
      <c r="D23" s="2" t="str">
        <f>VLOOKUP($C23,Sheet1!$A$2:$B$10,2,0)</f>
        <v>141120-14600</v>
      </c>
      <c r="E23" s="8" t="s">
        <v>47</v>
      </c>
      <c r="F23" s="12">
        <v>46013</v>
      </c>
      <c r="G23" s="13">
        <v>0.3125</v>
      </c>
      <c r="H23" s="2" t="s">
        <v>41</v>
      </c>
      <c r="I23" s="2" t="s">
        <v>42</v>
      </c>
      <c r="J23" s="2">
        <v>18</v>
      </c>
      <c r="K23" s="14">
        <f>VLOOKUP($C23,Sheet1!$A$2:$D$10,4,0)</f>
        <v>18</v>
      </c>
      <c r="L23" s="14" t="str">
        <f>VLOOKUP($C23,Sheet1!$A$2:$E$10,5,0)</f>
        <v>Trolley (H)</v>
      </c>
      <c r="M23" s="14"/>
      <c r="N23" s="52"/>
      <c r="O23" s="2" t="s">
        <v>112</v>
      </c>
      <c r="P23" s="2" t="s">
        <v>1491</v>
      </c>
    </row>
    <row r="24" spans="1:16" x14ac:dyDescent="0.25">
      <c r="A24" s="15" t="s">
        <v>1279</v>
      </c>
      <c r="B24" s="18" t="s">
        <v>1235</v>
      </c>
      <c r="C24" s="2" t="s">
        <v>12</v>
      </c>
      <c r="D24" s="2" t="str">
        <f>VLOOKUP($C24,Sheet1!$A$2:$B$10,2,0)</f>
        <v>141185-74670</v>
      </c>
      <c r="E24" s="8" t="s">
        <v>52</v>
      </c>
      <c r="F24" s="12">
        <v>46013</v>
      </c>
      <c r="G24" s="13">
        <v>0.3125</v>
      </c>
      <c r="H24" s="2" t="s">
        <v>41</v>
      </c>
      <c r="I24" s="2" t="s">
        <v>42</v>
      </c>
      <c r="J24" s="2">
        <v>40</v>
      </c>
      <c r="K24" s="14">
        <f>VLOOKUP($C24,Sheet1!$A$2:$D$10,4,0)</f>
        <v>40</v>
      </c>
      <c r="L24" s="14" t="str">
        <f>VLOOKUP($C24,Sheet1!$A$2:$E$10,5,0)</f>
        <v>Trolley</v>
      </c>
      <c r="M24" s="14"/>
      <c r="N24" s="2">
        <f>J24/K24</f>
        <v>1</v>
      </c>
      <c r="O24" s="2" t="s">
        <v>112</v>
      </c>
      <c r="P24" s="2">
        <v>910103841</v>
      </c>
    </row>
    <row r="25" spans="1:16" x14ac:dyDescent="0.25">
      <c r="A25" s="15" t="s">
        <v>1279</v>
      </c>
      <c r="B25" s="18" t="s">
        <v>1241</v>
      </c>
      <c r="C25" s="2" t="s">
        <v>16</v>
      </c>
      <c r="D25" s="2" t="str">
        <f>VLOOKUP($C25,Sheet1!$A$2:$B$10,2,0)</f>
        <v>141140-91211</v>
      </c>
      <c r="E25" s="8" t="s">
        <v>57</v>
      </c>
      <c r="F25" s="12">
        <v>46013</v>
      </c>
      <c r="G25" s="13">
        <v>0.3125</v>
      </c>
      <c r="H25" s="2" t="s">
        <v>58</v>
      </c>
      <c r="I25" s="2" t="s">
        <v>42</v>
      </c>
      <c r="J25" s="2">
        <v>12</v>
      </c>
      <c r="K25" s="14">
        <f>VLOOKUP($C25,Sheet1!$A$2:$D$10,4,0)</f>
        <v>2</v>
      </c>
      <c r="L25" s="14" t="str">
        <f>VLOOKUP($C25,Sheet1!$A$2:$E$10,5,0)</f>
        <v>Bin</v>
      </c>
      <c r="M25" s="14">
        <f t="shared" ref="M25:M26" si="2">J25/K25</f>
        <v>6</v>
      </c>
      <c r="N25" s="2"/>
      <c r="O25" s="2" t="s">
        <v>112</v>
      </c>
      <c r="P25" s="2" t="s">
        <v>1056</v>
      </c>
    </row>
    <row r="26" spans="1:16" x14ac:dyDescent="0.25">
      <c r="A26" s="15" t="s">
        <v>1279</v>
      </c>
      <c r="B26" s="18" t="s">
        <v>1247</v>
      </c>
      <c r="C26" s="2" t="s">
        <v>20</v>
      </c>
      <c r="D26" s="2" t="str">
        <f>VLOOKUP($C26,Sheet1!$A$2:$B$10,2,0)</f>
        <v>141150-91211</v>
      </c>
      <c r="E26" s="8" t="s">
        <v>64</v>
      </c>
      <c r="F26" s="12">
        <v>46013</v>
      </c>
      <c r="G26" s="13">
        <v>0.3125</v>
      </c>
      <c r="H26" s="2" t="s">
        <v>58</v>
      </c>
      <c r="I26" s="2" t="s">
        <v>42</v>
      </c>
      <c r="J26" s="2">
        <v>14</v>
      </c>
      <c r="K26" s="14">
        <f>VLOOKUP($C26,Sheet1!$A$2:$D$10,4,0)</f>
        <v>2</v>
      </c>
      <c r="L26" s="14" t="str">
        <f>VLOOKUP($C26,Sheet1!$A$2:$E$10,5,0)</f>
        <v>Bin</v>
      </c>
      <c r="M26" s="14">
        <f t="shared" si="2"/>
        <v>7</v>
      </c>
      <c r="N26" s="2"/>
      <c r="O26" s="2" t="s">
        <v>112</v>
      </c>
      <c r="P26" s="2" t="s">
        <v>1123</v>
      </c>
    </row>
    <row r="27" spans="1:16" x14ac:dyDescent="0.25">
      <c r="A27" s="15" t="s">
        <v>1279</v>
      </c>
      <c r="B27" s="18" t="s">
        <v>1253</v>
      </c>
      <c r="C27" s="2" t="s">
        <v>23</v>
      </c>
      <c r="D27" s="2" t="str">
        <f>VLOOKUP($C27,Sheet1!$A$2:$B$10,2,0)</f>
        <v>141186-74360</v>
      </c>
      <c r="E27" s="8" t="s">
        <v>70</v>
      </c>
      <c r="F27" s="12">
        <v>46013</v>
      </c>
      <c r="G27" s="13">
        <v>0.3125</v>
      </c>
      <c r="H27" s="2" t="s">
        <v>58</v>
      </c>
      <c r="I27" s="2" t="s">
        <v>42</v>
      </c>
      <c r="J27" s="2">
        <v>40</v>
      </c>
      <c r="K27" s="14">
        <f>VLOOKUP($C27,Sheet1!$A$2:$D$10,4,0)</f>
        <v>40</v>
      </c>
      <c r="L27" s="14" t="str">
        <f>VLOOKUP($C27,Sheet1!$A$2:$E$10,5,0)</f>
        <v>Trolley</v>
      </c>
      <c r="M27" s="14"/>
      <c r="N27" s="2">
        <f>J27/K27</f>
        <v>1</v>
      </c>
      <c r="O27" s="2" t="s">
        <v>112</v>
      </c>
      <c r="P27" s="2">
        <v>910103978</v>
      </c>
    </row>
    <row r="28" spans="1:16" x14ac:dyDescent="0.25">
      <c r="A28" s="15" t="s">
        <v>1280</v>
      </c>
      <c r="B28" s="18" t="s">
        <v>1259</v>
      </c>
      <c r="C28" s="2" t="s">
        <v>26</v>
      </c>
      <c r="D28" s="2" t="str">
        <f>VLOOKUP($C28,Sheet1!$A$2:$B$10,2,0)</f>
        <v>116040-92240</v>
      </c>
      <c r="E28" s="8" t="s">
        <v>75</v>
      </c>
      <c r="F28" s="12">
        <v>46013</v>
      </c>
      <c r="G28" s="13">
        <v>0.3125</v>
      </c>
      <c r="H28" s="2" t="s">
        <v>76</v>
      </c>
      <c r="I28" s="2" t="s">
        <v>42</v>
      </c>
      <c r="J28" s="2">
        <v>12</v>
      </c>
      <c r="K28" s="14">
        <f>VLOOKUP($C28,Sheet1!$A$2:$D$10,4,0)</f>
        <v>6</v>
      </c>
      <c r="L28" s="14" t="str">
        <f>VLOOKUP($C28,Sheet1!$A$2:$E$10,5,0)</f>
        <v>Bin</v>
      </c>
      <c r="M28" s="14">
        <f t="shared" ref="M28:M30" si="3">J28/K28</f>
        <v>2</v>
      </c>
      <c r="N28" s="2"/>
      <c r="O28" s="2" t="s">
        <v>112</v>
      </c>
      <c r="P28" s="2" t="s">
        <v>1213</v>
      </c>
    </row>
    <row r="29" spans="1:16" x14ac:dyDescent="0.25">
      <c r="A29" s="15" t="s">
        <v>1280</v>
      </c>
      <c r="B29" s="18" t="s">
        <v>1265</v>
      </c>
      <c r="C29" s="2" t="s">
        <v>32</v>
      </c>
      <c r="D29" s="2" t="str">
        <f>VLOOKUP($C29,Sheet1!$A$2:$B$10,2,0)</f>
        <v>114010-50820</v>
      </c>
      <c r="E29" s="8" t="s">
        <v>82</v>
      </c>
      <c r="F29" s="12">
        <v>46013</v>
      </c>
      <c r="G29" s="13">
        <v>0.3125</v>
      </c>
      <c r="H29" s="2" t="s">
        <v>76</v>
      </c>
      <c r="I29" s="2" t="s">
        <v>42</v>
      </c>
      <c r="J29" s="2">
        <v>4</v>
      </c>
      <c r="K29" s="14">
        <f>VLOOKUP($C29,Sheet1!$A$2:$D$10,4,0)</f>
        <v>1</v>
      </c>
      <c r="L29" s="14" t="str">
        <f>VLOOKUP($C29,Sheet1!$A$2:$E$10,5,0)</f>
        <v>Bin</v>
      </c>
      <c r="M29" s="14">
        <f t="shared" si="3"/>
        <v>4</v>
      </c>
      <c r="N29" s="2"/>
      <c r="O29" s="2" t="s">
        <v>112</v>
      </c>
      <c r="P29" s="2" t="s">
        <v>171</v>
      </c>
    </row>
    <row r="30" spans="1:16" x14ac:dyDescent="0.25">
      <c r="A30" s="15" t="s">
        <v>1280</v>
      </c>
      <c r="B30" s="18" t="s">
        <v>1271</v>
      </c>
      <c r="C30" s="2" t="s">
        <v>29</v>
      </c>
      <c r="D30" s="2" t="str">
        <f>VLOOKUP($C30,Sheet1!$A$2:$B$10,2,0)</f>
        <v>114010-50830</v>
      </c>
      <c r="E30" s="8" t="s">
        <v>82</v>
      </c>
      <c r="F30" s="12">
        <v>46013</v>
      </c>
      <c r="G30" s="13">
        <v>0.3125</v>
      </c>
      <c r="H30" s="2" t="s">
        <v>76</v>
      </c>
      <c r="I30" s="2" t="s">
        <v>42</v>
      </c>
      <c r="J30" s="2">
        <v>9</v>
      </c>
      <c r="K30" s="14">
        <f>VLOOKUP($C30,Sheet1!$A$2:$D$10,4,0)</f>
        <v>1</v>
      </c>
      <c r="L30" s="14" t="str">
        <f>VLOOKUP($C30,Sheet1!$A$2:$E$10,5,0)</f>
        <v>Bin</v>
      </c>
      <c r="M30" s="14">
        <f t="shared" si="3"/>
        <v>9</v>
      </c>
      <c r="N30" s="2"/>
      <c r="O30" s="2" t="s">
        <v>112</v>
      </c>
      <c r="P30" s="2" t="s">
        <v>1123</v>
      </c>
    </row>
    <row r="31" spans="1:16" s="11" customForma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>
        <v>129</v>
      </c>
      <c r="N31" s="10">
        <v>3</v>
      </c>
      <c r="O31" s="10"/>
      <c r="P31" s="10"/>
    </row>
    <row r="32" spans="1:16" x14ac:dyDescent="0.25">
      <c r="A32" s="15" t="s">
        <v>1277</v>
      </c>
      <c r="B32" s="18" t="s">
        <v>1221</v>
      </c>
      <c r="C32" s="2" t="s">
        <v>5</v>
      </c>
      <c r="D32" s="2" t="str">
        <f>VLOOKUP($C32,Sheet1!$A$2:$B$10,2,0)</f>
        <v>141110-14600</v>
      </c>
      <c r="E32" s="8" t="s">
        <v>40</v>
      </c>
      <c r="F32" s="12">
        <v>46013</v>
      </c>
      <c r="G32" s="13">
        <v>0.27083333333333331</v>
      </c>
      <c r="H32" s="2" t="s">
        <v>41</v>
      </c>
      <c r="I32" s="2" t="s">
        <v>42</v>
      </c>
      <c r="J32" s="2">
        <v>54</v>
      </c>
      <c r="K32" s="14">
        <f>VLOOKUP($C32,Sheet1!$A$2:$D$10,4,0)</f>
        <v>18</v>
      </c>
      <c r="L32" s="14" t="str">
        <f>VLOOKUP($C32,Sheet1!$A$2:$E$10,5,0)</f>
        <v>Trolley (H)</v>
      </c>
      <c r="M32" s="14"/>
      <c r="N32" s="51">
        <v>3</v>
      </c>
      <c r="O32" s="2" t="s">
        <v>1001</v>
      </c>
      <c r="P32" s="2" t="s">
        <v>1491</v>
      </c>
    </row>
    <row r="33" spans="1:17" x14ac:dyDescent="0.25">
      <c r="A33" s="15" t="s">
        <v>1277</v>
      </c>
      <c r="B33" s="18" t="s">
        <v>1227</v>
      </c>
      <c r="C33" s="2" t="s">
        <v>9</v>
      </c>
      <c r="D33" s="2" t="str">
        <f>VLOOKUP($C33,Sheet1!$A$2:$B$10,2,0)</f>
        <v>141120-14600</v>
      </c>
      <c r="E33" s="8" t="s">
        <v>47</v>
      </c>
      <c r="F33" s="12">
        <v>46013</v>
      </c>
      <c r="G33" s="13">
        <v>0.27083333333333331</v>
      </c>
      <c r="H33" s="2" t="s">
        <v>41</v>
      </c>
      <c r="I33" s="2" t="s">
        <v>42</v>
      </c>
      <c r="J33" s="2">
        <v>54</v>
      </c>
      <c r="K33" s="14">
        <f>VLOOKUP($C33,Sheet1!$A$2:$D$10,4,0)</f>
        <v>18</v>
      </c>
      <c r="L33" s="14" t="str">
        <f>VLOOKUP($C33,Sheet1!$A$2:$E$10,5,0)</f>
        <v>Trolley (H)</v>
      </c>
      <c r="M33" s="14"/>
      <c r="N33" s="52"/>
      <c r="O33" s="2" t="s">
        <v>1001</v>
      </c>
      <c r="P33" s="2" t="s">
        <v>1491</v>
      </c>
    </row>
    <row r="34" spans="1:17" x14ac:dyDescent="0.25">
      <c r="A34" s="15" t="s">
        <v>1277</v>
      </c>
      <c r="B34" s="18" t="s">
        <v>1222</v>
      </c>
      <c r="C34" s="2" t="s">
        <v>5</v>
      </c>
      <c r="D34" s="2" t="str">
        <f>VLOOKUP($C34,Sheet1!$A$2:$B$10,2,0)</f>
        <v>141110-14600</v>
      </c>
      <c r="E34" s="8" t="s">
        <v>40</v>
      </c>
      <c r="F34" s="12">
        <v>46013</v>
      </c>
      <c r="G34" s="13">
        <v>0.27083333333333331</v>
      </c>
      <c r="H34" s="2" t="s">
        <v>41</v>
      </c>
      <c r="I34" s="2" t="s">
        <v>42</v>
      </c>
      <c r="J34" s="2">
        <v>36</v>
      </c>
      <c r="K34" s="14">
        <f>VLOOKUP($C34,Sheet1!$A$2:$D$10,4,0)</f>
        <v>18</v>
      </c>
      <c r="L34" s="14" t="str">
        <f>VLOOKUP($C34,Sheet1!$A$2:$E$10,5,0)</f>
        <v>Trolley (H)</v>
      </c>
      <c r="M34" s="14"/>
      <c r="N34" s="51">
        <v>2</v>
      </c>
      <c r="O34" s="2" t="s">
        <v>1001</v>
      </c>
      <c r="P34" s="2" t="s">
        <v>1491</v>
      </c>
    </row>
    <row r="35" spans="1:17" x14ac:dyDescent="0.25">
      <c r="A35" s="15" t="s">
        <v>1277</v>
      </c>
      <c r="B35" s="18" t="s">
        <v>1228</v>
      </c>
      <c r="C35" s="2" t="s">
        <v>9</v>
      </c>
      <c r="D35" s="2" t="str">
        <f>VLOOKUP($C35,Sheet1!$A$2:$B$10,2,0)</f>
        <v>141120-14600</v>
      </c>
      <c r="E35" s="8" t="s">
        <v>47</v>
      </c>
      <c r="F35" s="12">
        <v>46013</v>
      </c>
      <c r="G35" s="13">
        <v>0.27083333333333331</v>
      </c>
      <c r="H35" s="2" t="s">
        <v>41</v>
      </c>
      <c r="I35" s="2" t="s">
        <v>42</v>
      </c>
      <c r="J35" s="2">
        <v>36</v>
      </c>
      <c r="K35" s="14">
        <f>VLOOKUP($C35,Sheet1!$A$2:$D$10,4,0)</f>
        <v>18</v>
      </c>
      <c r="L35" s="14" t="str">
        <f>VLOOKUP($C35,Sheet1!$A$2:$E$10,5,0)</f>
        <v>Trolley (H)</v>
      </c>
      <c r="M35" s="14"/>
      <c r="N35" s="52"/>
      <c r="O35" s="2" t="s">
        <v>1001</v>
      </c>
      <c r="P35" s="2" t="s">
        <v>1491</v>
      </c>
    </row>
    <row r="36" spans="1:17" x14ac:dyDescent="0.25">
      <c r="A36" s="15" t="s">
        <v>1277</v>
      </c>
      <c r="B36" s="18" t="s">
        <v>1239</v>
      </c>
      <c r="C36" s="2" t="s">
        <v>16</v>
      </c>
      <c r="D36" s="2" t="str">
        <f>VLOOKUP($C36,Sheet1!$A$2:$B$10,2,0)</f>
        <v>141140-91211</v>
      </c>
      <c r="E36" s="8" t="s">
        <v>57</v>
      </c>
      <c r="F36" s="12">
        <v>46013</v>
      </c>
      <c r="G36" s="13">
        <v>0.27083333333333331</v>
      </c>
      <c r="H36" s="2" t="s">
        <v>58</v>
      </c>
      <c r="I36" s="2" t="s">
        <v>42</v>
      </c>
      <c r="J36" s="2">
        <v>40</v>
      </c>
      <c r="K36" s="14">
        <f>VLOOKUP($C36,Sheet1!$A$2:$D$10,4,0)</f>
        <v>2</v>
      </c>
      <c r="L36" s="14" t="str">
        <f>VLOOKUP($C36,Sheet1!$A$2:$E$10,5,0)</f>
        <v>Bin</v>
      </c>
      <c r="M36" s="14">
        <f t="shared" ref="M36:M39" si="4">J36/K36</f>
        <v>20</v>
      </c>
      <c r="N36" s="2"/>
      <c r="O36" s="2" t="s">
        <v>1001</v>
      </c>
      <c r="P36" s="2" t="s">
        <v>1056</v>
      </c>
    </row>
    <row r="37" spans="1:17" x14ac:dyDescent="0.25">
      <c r="A37" s="15" t="s">
        <v>1277</v>
      </c>
      <c r="B37" s="18" t="s">
        <v>1240</v>
      </c>
      <c r="C37" s="2" t="s">
        <v>16</v>
      </c>
      <c r="D37" s="2" t="str">
        <f>VLOOKUP($C37,Sheet1!$A$2:$B$10,2,0)</f>
        <v>141140-91211</v>
      </c>
      <c r="E37" s="8" t="s">
        <v>57</v>
      </c>
      <c r="F37" s="12">
        <v>46013</v>
      </c>
      <c r="G37" s="13">
        <v>0.27083333333333331</v>
      </c>
      <c r="H37" s="2" t="s">
        <v>58</v>
      </c>
      <c r="I37" s="2" t="s">
        <v>42</v>
      </c>
      <c r="J37" s="2">
        <v>40</v>
      </c>
      <c r="K37" s="14">
        <f>VLOOKUP($C37,Sheet1!$A$2:$D$10,4,0)</f>
        <v>2</v>
      </c>
      <c r="L37" s="14" t="str">
        <f>VLOOKUP($C37,Sheet1!$A$2:$E$10,5,0)</f>
        <v>Bin</v>
      </c>
      <c r="M37" s="14">
        <f t="shared" si="4"/>
        <v>20</v>
      </c>
      <c r="N37" s="2"/>
      <c r="O37" s="2" t="s">
        <v>1001</v>
      </c>
      <c r="P37" s="2" t="s">
        <v>1056</v>
      </c>
      <c r="Q37" s="38"/>
    </row>
    <row r="38" spans="1:17" x14ac:dyDescent="0.25">
      <c r="A38" s="15" t="s">
        <v>1277</v>
      </c>
      <c r="B38" s="18" t="s">
        <v>1245</v>
      </c>
      <c r="C38" s="2" t="s">
        <v>20</v>
      </c>
      <c r="D38" s="2" t="str">
        <f>VLOOKUP($C38,Sheet1!$A$2:$B$10,2,0)</f>
        <v>141150-91211</v>
      </c>
      <c r="E38" s="8" t="s">
        <v>64</v>
      </c>
      <c r="F38" s="12">
        <v>46013</v>
      </c>
      <c r="G38" s="13">
        <v>0.27083333333333331</v>
      </c>
      <c r="H38" s="2" t="s">
        <v>58</v>
      </c>
      <c r="I38" s="2" t="s">
        <v>42</v>
      </c>
      <c r="J38" s="2">
        <v>40</v>
      </c>
      <c r="K38" s="14">
        <f>VLOOKUP($C38,Sheet1!$A$2:$D$10,4,0)</f>
        <v>2</v>
      </c>
      <c r="L38" s="14" t="str">
        <f>VLOOKUP($C38,Sheet1!$A$2:$E$10,5,0)</f>
        <v>Bin</v>
      </c>
      <c r="M38" s="14">
        <f t="shared" si="4"/>
        <v>20</v>
      </c>
      <c r="N38" s="2"/>
      <c r="O38" s="2" t="s">
        <v>1001</v>
      </c>
      <c r="P38" s="2" t="s">
        <v>1056</v>
      </c>
    </row>
    <row r="39" spans="1:17" x14ac:dyDescent="0.25">
      <c r="A39" s="15" t="s">
        <v>1277</v>
      </c>
      <c r="B39" s="18" t="s">
        <v>1246</v>
      </c>
      <c r="C39" s="2" t="s">
        <v>20</v>
      </c>
      <c r="D39" s="2" t="str">
        <f>VLOOKUP($C39,Sheet1!$A$2:$B$10,2,0)</f>
        <v>141150-91211</v>
      </c>
      <c r="E39" s="8" t="s">
        <v>64</v>
      </c>
      <c r="F39" s="12">
        <v>46013</v>
      </c>
      <c r="G39" s="13">
        <v>0.27083333333333331</v>
      </c>
      <c r="H39" s="2" t="s">
        <v>58</v>
      </c>
      <c r="I39" s="2" t="s">
        <v>42</v>
      </c>
      <c r="J39" s="2">
        <v>38</v>
      </c>
      <c r="K39" s="14">
        <f>VLOOKUP($C39,Sheet1!$A$2:$D$10,4,0)</f>
        <v>2</v>
      </c>
      <c r="L39" s="14" t="str">
        <f>VLOOKUP($C39,Sheet1!$A$2:$E$10,5,0)</f>
        <v>Bin</v>
      </c>
      <c r="M39" s="14">
        <f t="shared" si="4"/>
        <v>19</v>
      </c>
      <c r="N39" s="2"/>
      <c r="O39" s="2" t="s">
        <v>1001</v>
      </c>
      <c r="P39" s="2" t="s">
        <v>1056</v>
      </c>
    </row>
    <row r="40" spans="1:17" x14ac:dyDescent="0.25">
      <c r="A40" s="15" t="s">
        <v>1277</v>
      </c>
      <c r="B40" s="18" t="s">
        <v>1252</v>
      </c>
      <c r="C40" s="18" t="s">
        <v>23</v>
      </c>
      <c r="D40" s="2" t="str">
        <f>VLOOKUP($C40,Sheet1!$A$2:$B$10,2,0)</f>
        <v>141186-74360</v>
      </c>
      <c r="E40" s="8" t="s">
        <v>70</v>
      </c>
      <c r="F40" s="12">
        <v>46013</v>
      </c>
      <c r="G40" s="13">
        <v>0.27083333333333331</v>
      </c>
      <c r="H40" s="2" t="s">
        <v>58</v>
      </c>
      <c r="I40" s="2" t="s">
        <v>42</v>
      </c>
      <c r="J40" s="2">
        <v>40</v>
      </c>
      <c r="K40" s="14">
        <f>VLOOKUP($C40,Sheet1!$A$2:$D$10,4,0)</f>
        <v>40</v>
      </c>
      <c r="L40" s="14" t="str">
        <f>VLOOKUP($C40,Sheet1!$A$2:$E$10,5,0)</f>
        <v>Trolley</v>
      </c>
      <c r="M40" s="14"/>
      <c r="N40" s="2">
        <f t="shared" ref="N40" si="5">J40/K40</f>
        <v>1</v>
      </c>
      <c r="O40" s="2" t="s">
        <v>1001</v>
      </c>
      <c r="P40" s="2">
        <v>910103978</v>
      </c>
    </row>
    <row r="41" spans="1:17" s="11" customForma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>
        <v>79</v>
      </c>
      <c r="N41" s="10">
        <v>6</v>
      </c>
      <c r="O41" s="10"/>
      <c r="P41" s="10"/>
    </row>
    <row r="42" spans="1:17" x14ac:dyDescent="0.25">
      <c r="A42" s="15" t="s">
        <v>1281</v>
      </c>
      <c r="B42" s="18" t="s">
        <v>1224</v>
      </c>
      <c r="C42" s="2" t="s">
        <v>5</v>
      </c>
      <c r="D42" s="2" t="str">
        <f>VLOOKUP($C42,Sheet1!$A$2:$B$10,2,0)</f>
        <v>141110-14600</v>
      </c>
      <c r="E42" s="8" t="s">
        <v>40</v>
      </c>
      <c r="F42" s="12">
        <v>46013</v>
      </c>
      <c r="G42" s="13">
        <v>0.52083333333333337</v>
      </c>
      <c r="H42" s="2" t="s">
        <v>41</v>
      </c>
      <c r="I42" s="2" t="s">
        <v>42</v>
      </c>
      <c r="J42" s="2">
        <v>36</v>
      </c>
      <c r="K42" s="14">
        <f>VLOOKUP($C42,Sheet1!$A$2:$D$10,4,0)</f>
        <v>18</v>
      </c>
      <c r="L42" s="14" t="str">
        <f>VLOOKUP($C42,Sheet1!$A$2:$E$10,5,0)</f>
        <v>Trolley (H)</v>
      </c>
      <c r="M42" s="14"/>
      <c r="N42" s="51">
        <v>2</v>
      </c>
      <c r="O42" s="2" t="s">
        <v>1202</v>
      </c>
      <c r="P42" s="2" t="s">
        <v>1491</v>
      </c>
    </row>
    <row r="43" spans="1:17" x14ac:dyDescent="0.25">
      <c r="A43" s="15" t="s">
        <v>1281</v>
      </c>
      <c r="B43" s="18" t="s">
        <v>1230</v>
      </c>
      <c r="C43" s="2" t="s">
        <v>9</v>
      </c>
      <c r="D43" s="2" t="str">
        <f>VLOOKUP($C43,Sheet1!$A$2:$B$10,2,0)</f>
        <v>141120-14600</v>
      </c>
      <c r="E43" s="8" t="s">
        <v>47</v>
      </c>
      <c r="F43" s="12">
        <v>46013</v>
      </c>
      <c r="G43" s="13">
        <v>0.52083333333333337</v>
      </c>
      <c r="H43" s="2" t="s">
        <v>41</v>
      </c>
      <c r="I43" s="2" t="s">
        <v>42</v>
      </c>
      <c r="J43" s="2">
        <v>36</v>
      </c>
      <c r="K43" s="14">
        <f>VLOOKUP($C43,Sheet1!$A$2:$D$10,4,0)</f>
        <v>18</v>
      </c>
      <c r="L43" s="14" t="str">
        <f>VLOOKUP($C43,Sheet1!$A$2:$E$10,5,0)</f>
        <v>Trolley (H)</v>
      </c>
      <c r="M43" s="14"/>
      <c r="N43" s="52"/>
      <c r="O43" s="2" t="s">
        <v>1202</v>
      </c>
      <c r="P43" s="2" t="s">
        <v>1491</v>
      </c>
    </row>
    <row r="44" spans="1:17" x14ac:dyDescent="0.25">
      <c r="A44" s="15" t="s">
        <v>1281</v>
      </c>
      <c r="B44" s="18" t="s">
        <v>1236</v>
      </c>
      <c r="C44" s="2" t="s">
        <v>12</v>
      </c>
      <c r="D44" s="2" t="str">
        <f>VLOOKUP($C44,Sheet1!$A$2:$B$10,2,0)</f>
        <v>141185-74670</v>
      </c>
      <c r="E44" s="8" t="s">
        <v>52</v>
      </c>
      <c r="F44" s="12">
        <v>46013</v>
      </c>
      <c r="G44" s="13">
        <v>0.52083333333333337</v>
      </c>
      <c r="H44" s="2" t="s">
        <v>41</v>
      </c>
      <c r="I44" s="2" t="s">
        <v>42</v>
      </c>
      <c r="J44" s="2">
        <v>80</v>
      </c>
      <c r="K44" s="14">
        <f>VLOOKUP($C44,Sheet1!$A$2:$D$10,4,0)</f>
        <v>40</v>
      </c>
      <c r="L44" s="14" t="str">
        <f>VLOOKUP($C44,Sheet1!$A$2:$E$10,5,0)</f>
        <v>Trolley</v>
      </c>
      <c r="M44" s="14"/>
      <c r="N44" s="2">
        <f>J44/K44</f>
        <v>2</v>
      </c>
      <c r="O44" s="2" t="s">
        <v>1202</v>
      </c>
      <c r="P44" s="2" t="s">
        <v>1492</v>
      </c>
    </row>
    <row r="45" spans="1:17" x14ac:dyDescent="0.25">
      <c r="A45" s="15" t="s">
        <v>1281</v>
      </c>
      <c r="B45" s="18" t="s">
        <v>1242</v>
      </c>
      <c r="C45" s="2" t="s">
        <v>16</v>
      </c>
      <c r="D45" s="2" t="str">
        <f>VLOOKUP($C45,Sheet1!$A$2:$B$10,2,0)</f>
        <v>141140-91211</v>
      </c>
      <c r="E45" s="8" t="s">
        <v>57</v>
      </c>
      <c r="F45" s="12">
        <v>46013</v>
      </c>
      <c r="G45" s="13">
        <v>0.52083333333333337</v>
      </c>
      <c r="H45" s="2" t="s">
        <v>58</v>
      </c>
      <c r="I45" s="2" t="s">
        <v>42</v>
      </c>
      <c r="J45" s="2">
        <v>40</v>
      </c>
      <c r="K45" s="14">
        <f>VLOOKUP($C45,Sheet1!$A$2:$D$10,4,0)</f>
        <v>2</v>
      </c>
      <c r="L45" s="14" t="str">
        <f>VLOOKUP($C45,Sheet1!$A$2:$E$10,5,0)</f>
        <v>Bin</v>
      </c>
      <c r="M45" s="14">
        <f t="shared" ref="M45:M46" si="6">J45/K45</f>
        <v>20</v>
      </c>
      <c r="N45" s="2"/>
      <c r="O45" s="2" t="s">
        <v>1202</v>
      </c>
      <c r="P45" s="2" t="s">
        <v>1493</v>
      </c>
    </row>
    <row r="46" spans="1:17" x14ac:dyDescent="0.25">
      <c r="A46" s="15" t="s">
        <v>1281</v>
      </c>
      <c r="B46" s="18" t="s">
        <v>1248</v>
      </c>
      <c r="C46" s="2" t="s">
        <v>20</v>
      </c>
      <c r="D46" s="2" t="str">
        <f>VLOOKUP($C46,Sheet1!$A$2:$B$10,2,0)</f>
        <v>141150-91211</v>
      </c>
      <c r="E46" s="8" t="s">
        <v>64</v>
      </c>
      <c r="F46" s="12">
        <v>46013</v>
      </c>
      <c r="G46" s="13">
        <v>0.52083333333333337</v>
      </c>
      <c r="H46" s="2" t="s">
        <v>58</v>
      </c>
      <c r="I46" s="2" t="s">
        <v>42</v>
      </c>
      <c r="J46" s="2">
        <v>40</v>
      </c>
      <c r="K46" s="14">
        <f>VLOOKUP($C46,Sheet1!$A$2:$D$10,4,0)</f>
        <v>2</v>
      </c>
      <c r="L46" s="14" t="str">
        <f>VLOOKUP($C46,Sheet1!$A$2:$E$10,5,0)</f>
        <v>Bin</v>
      </c>
      <c r="M46" s="14">
        <f t="shared" si="6"/>
        <v>20</v>
      </c>
      <c r="N46" s="2"/>
      <c r="O46" s="2" t="s">
        <v>1202</v>
      </c>
      <c r="P46" s="2" t="s">
        <v>1493</v>
      </c>
    </row>
    <row r="47" spans="1:17" x14ac:dyDescent="0.25">
      <c r="A47" s="15" t="s">
        <v>1281</v>
      </c>
      <c r="B47" s="18" t="s">
        <v>1254</v>
      </c>
      <c r="C47" s="2" t="s">
        <v>23</v>
      </c>
      <c r="D47" s="2" t="str">
        <f>VLOOKUP($C47,Sheet1!$A$2:$B$10,2,0)</f>
        <v>141186-74360</v>
      </c>
      <c r="E47" s="8" t="s">
        <v>70</v>
      </c>
      <c r="F47" s="12">
        <v>46013</v>
      </c>
      <c r="G47" s="13">
        <v>0.52083333333333337</v>
      </c>
      <c r="H47" s="2" t="s">
        <v>58</v>
      </c>
      <c r="I47" s="2" t="s">
        <v>42</v>
      </c>
      <c r="J47" s="2">
        <v>80</v>
      </c>
      <c r="K47" s="14">
        <f>VLOOKUP($C47,Sheet1!$A$2:$D$10,4,0)</f>
        <v>40</v>
      </c>
      <c r="L47" s="14" t="str">
        <f>VLOOKUP($C47,Sheet1!$A$2:$E$10,5,0)</f>
        <v>Trolley</v>
      </c>
      <c r="M47" s="14"/>
      <c r="N47" s="2">
        <f>J47/K47</f>
        <v>2</v>
      </c>
      <c r="O47" s="2" t="s">
        <v>1202</v>
      </c>
      <c r="P47" s="2" t="s">
        <v>1494</v>
      </c>
    </row>
    <row r="48" spans="1:17" x14ac:dyDescent="0.25">
      <c r="A48" s="15" t="s">
        <v>1282</v>
      </c>
      <c r="B48" s="18" t="s">
        <v>1260</v>
      </c>
      <c r="C48" s="2" t="s">
        <v>26</v>
      </c>
      <c r="D48" s="2" t="str">
        <f>VLOOKUP($C48,Sheet1!$A$2:$B$10,2,0)</f>
        <v>116040-92240</v>
      </c>
      <c r="E48" s="8" t="s">
        <v>75</v>
      </c>
      <c r="F48" s="12">
        <v>46013</v>
      </c>
      <c r="G48" s="13">
        <v>0.52083333333333337</v>
      </c>
      <c r="H48" s="2" t="s">
        <v>76</v>
      </c>
      <c r="I48" s="2" t="s">
        <v>42</v>
      </c>
      <c r="J48" s="2">
        <v>36</v>
      </c>
      <c r="K48" s="14">
        <f>VLOOKUP($C48,Sheet1!$A$2:$D$10,4,0)</f>
        <v>6</v>
      </c>
      <c r="L48" s="14" t="str">
        <f>VLOOKUP($C48,Sheet1!$A$2:$E$10,5,0)</f>
        <v>Bin</v>
      </c>
      <c r="M48" s="14">
        <f t="shared" ref="M48:M50" si="7">J48/K48</f>
        <v>6</v>
      </c>
      <c r="N48" s="2"/>
      <c r="O48" s="2" t="s">
        <v>1202</v>
      </c>
      <c r="P48" s="2" t="s">
        <v>1213</v>
      </c>
    </row>
    <row r="49" spans="1:17" x14ac:dyDescent="0.25">
      <c r="A49" s="15" t="s">
        <v>1282</v>
      </c>
      <c r="B49" s="18" t="s">
        <v>1266</v>
      </c>
      <c r="C49" s="2" t="s">
        <v>32</v>
      </c>
      <c r="D49" s="2" t="str">
        <f>VLOOKUP($C49,Sheet1!$A$2:$B$10,2,0)</f>
        <v>114010-50820</v>
      </c>
      <c r="E49" s="8" t="s">
        <v>82</v>
      </c>
      <c r="F49" s="12">
        <v>46013</v>
      </c>
      <c r="G49" s="13">
        <v>0.52083333333333337</v>
      </c>
      <c r="H49" s="2" t="s">
        <v>76</v>
      </c>
      <c r="I49" s="2" t="s">
        <v>42</v>
      </c>
      <c r="J49" s="2">
        <v>9</v>
      </c>
      <c r="K49" s="14">
        <f>VLOOKUP($C49,Sheet1!$A$2:$D$10,4,0)</f>
        <v>1</v>
      </c>
      <c r="L49" s="14" t="str">
        <f>VLOOKUP($C49,Sheet1!$A$2:$E$10,5,0)</f>
        <v>Bin</v>
      </c>
      <c r="M49" s="14">
        <f t="shared" si="7"/>
        <v>9</v>
      </c>
      <c r="N49" s="2"/>
      <c r="O49" s="2" t="s">
        <v>1202</v>
      </c>
      <c r="P49" s="2" t="s">
        <v>171</v>
      </c>
    </row>
    <row r="50" spans="1:17" x14ac:dyDescent="0.25">
      <c r="A50" s="15" t="s">
        <v>1282</v>
      </c>
      <c r="B50" s="18" t="s">
        <v>1272</v>
      </c>
      <c r="C50" s="2" t="s">
        <v>29</v>
      </c>
      <c r="D50" s="2" t="str">
        <f>VLOOKUP($C50,Sheet1!$A$2:$B$10,2,0)</f>
        <v>114010-50830</v>
      </c>
      <c r="E50" s="8" t="s">
        <v>82</v>
      </c>
      <c r="F50" s="12">
        <v>46013</v>
      </c>
      <c r="G50" s="13">
        <v>0.52083333333333337</v>
      </c>
      <c r="H50" s="2" t="s">
        <v>76</v>
      </c>
      <c r="I50" s="2" t="s">
        <v>42</v>
      </c>
      <c r="J50" s="2">
        <v>23</v>
      </c>
      <c r="K50" s="14">
        <f>VLOOKUP($C50,Sheet1!$A$2:$D$10,4,0)</f>
        <v>1</v>
      </c>
      <c r="L50" s="14" t="str">
        <f>VLOOKUP($C50,Sheet1!$A$2:$E$10,5,0)</f>
        <v>Bin</v>
      </c>
      <c r="M50" s="14">
        <f t="shared" si="7"/>
        <v>23</v>
      </c>
      <c r="N50" s="2"/>
      <c r="O50" s="2" t="s">
        <v>1202</v>
      </c>
      <c r="P50" s="2" t="s">
        <v>1123</v>
      </c>
    </row>
    <row r="51" spans="1:17" s="11" customForma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>
        <v>78</v>
      </c>
      <c r="N51" s="10">
        <v>6</v>
      </c>
      <c r="O51" s="10"/>
      <c r="P51" s="10"/>
    </row>
    <row r="52" spans="1:17" x14ac:dyDescent="0.25">
      <c r="A52" s="15" t="s">
        <v>1283</v>
      </c>
      <c r="B52" s="18" t="s">
        <v>1225</v>
      </c>
      <c r="C52" s="2" t="s">
        <v>5</v>
      </c>
      <c r="D52" s="2" t="str">
        <f>VLOOKUP($C52,Sheet1!$A$2:$B$10,2,0)</f>
        <v>141110-14600</v>
      </c>
      <c r="E52" s="8" t="s">
        <v>40</v>
      </c>
      <c r="F52" s="12">
        <v>46013</v>
      </c>
      <c r="G52" s="13">
        <v>0.60416666666666663</v>
      </c>
      <c r="H52" s="2" t="s">
        <v>41</v>
      </c>
      <c r="I52" s="2" t="s">
        <v>42</v>
      </c>
      <c r="J52" s="2">
        <v>36</v>
      </c>
      <c r="K52" s="14">
        <f>VLOOKUP($C52,Sheet1!$A$2:$D$10,4,0)</f>
        <v>18</v>
      </c>
      <c r="L52" s="14" t="str">
        <f>VLOOKUP($C52,Sheet1!$A$2:$E$10,5,0)</f>
        <v>Trolley (H)</v>
      </c>
      <c r="M52" s="14"/>
      <c r="N52" s="51">
        <v>2</v>
      </c>
      <c r="O52" s="2" t="s">
        <v>1202</v>
      </c>
      <c r="P52" s="2" t="s">
        <v>1495</v>
      </c>
      <c r="Q52" t="s">
        <v>1353</v>
      </c>
    </row>
    <row r="53" spans="1:17" x14ac:dyDescent="0.25">
      <c r="A53" s="15" t="s">
        <v>1283</v>
      </c>
      <c r="B53" s="18" t="s">
        <v>1231</v>
      </c>
      <c r="C53" s="2" t="s">
        <v>9</v>
      </c>
      <c r="D53" s="2" t="str">
        <f>VLOOKUP($C53,Sheet1!$A$2:$B$10,2,0)</f>
        <v>141120-14600</v>
      </c>
      <c r="E53" s="8" t="s">
        <v>47</v>
      </c>
      <c r="F53" s="12">
        <v>46013</v>
      </c>
      <c r="G53" s="13">
        <v>0.60416666666666663</v>
      </c>
      <c r="H53" s="2" t="s">
        <v>41</v>
      </c>
      <c r="I53" s="2" t="s">
        <v>42</v>
      </c>
      <c r="J53" s="2">
        <v>36</v>
      </c>
      <c r="K53" s="14">
        <f>VLOOKUP($C53,Sheet1!$A$2:$D$10,4,0)</f>
        <v>18</v>
      </c>
      <c r="L53" s="14" t="str">
        <f>VLOOKUP($C53,Sheet1!$A$2:$E$10,5,0)</f>
        <v>Trolley (H)</v>
      </c>
      <c r="M53" s="14"/>
      <c r="N53" s="52"/>
      <c r="O53" s="2" t="s">
        <v>1202</v>
      </c>
      <c r="P53" s="2" t="s">
        <v>1495</v>
      </c>
      <c r="Q53" t="s">
        <v>1353</v>
      </c>
    </row>
    <row r="54" spans="1:17" x14ac:dyDescent="0.25">
      <c r="A54" s="15" t="s">
        <v>1283</v>
      </c>
      <c r="B54" s="18" t="s">
        <v>1237</v>
      </c>
      <c r="C54" s="2" t="s">
        <v>12</v>
      </c>
      <c r="D54" s="2" t="str">
        <f>VLOOKUP($C54,Sheet1!$A$2:$B$10,2,0)</f>
        <v>141185-74670</v>
      </c>
      <c r="E54" s="8" t="s">
        <v>52</v>
      </c>
      <c r="F54" s="12">
        <v>46013</v>
      </c>
      <c r="G54" s="13">
        <v>0.60416666666666663</v>
      </c>
      <c r="H54" s="2" t="s">
        <v>41</v>
      </c>
      <c r="I54" s="2" t="s">
        <v>42</v>
      </c>
      <c r="J54" s="2">
        <v>40</v>
      </c>
      <c r="K54" s="14">
        <f>VLOOKUP($C54,Sheet1!$A$2:$D$10,4,0)</f>
        <v>40</v>
      </c>
      <c r="L54" s="14" t="str">
        <f>VLOOKUP($C54,Sheet1!$A$2:$E$10,5,0)</f>
        <v>Trolley</v>
      </c>
      <c r="M54" s="14"/>
      <c r="N54" s="2">
        <f>J54/K54</f>
        <v>1</v>
      </c>
      <c r="O54" s="2" t="s">
        <v>1202</v>
      </c>
      <c r="P54" s="2">
        <v>910103943</v>
      </c>
      <c r="Q54" t="s">
        <v>1353</v>
      </c>
    </row>
    <row r="55" spans="1:17" x14ac:dyDescent="0.25">
      <c r="A55" s="15" t="s">
        <v>1283</v>
      </c>
      <c r="B55" s="18" t="s">
        <v>1243</v>
      </c>
      <c r="C55" s="2" t="s">
        <v>16</v>
      </c>
      <c r="D55" s="2" t="str">
        <f>VLOOKUP($C55,Sheet1!$A$2:$B$10,2,0)</f>
        <v>141140-91211</v>
      </c>
      <c r="E55" s="8" t="s">
        <v>57</v>
      </c>
      <c r="F55" s="12">
        <v>46013</v>
      </c>
      <c r="G55" s="13">
        <v>0.60416666666666663</v>
      </c>
      <c r="H55" s="2" t="s">
        <v>58</v>
      </c>
      <c r="I55" s="2" t="s">
        <v>42</v>
      </c>
      <c r="J55" s="2">
        <v>30</v>
      </c>
      <c r="K55" s="14">
        <f>VLOOKUP($C55,Sheet1!$A$2:$D$10,4,0)</f>
        <v>2</v>
      </c>
      <c r="L55" s="14" t="str">
        <f>VLOOKUP($C55,Sheet1!$A$2:$E$10,5,0)</f>
        <v>Bin</v>
      </c>
      <c r="M55" s="14">
        <f t="shared" ref="M55:M56" si="8">J55/K55</f>
        <v>15</v>
      </c>
      <c r="N55" s="2"/>
      <c r="O55" s="2" t="s">
        <v>1202</v>
      </c>
      <c r="P55" s="2" t="s">
        <v>1123</v>
      </c>
      <c r="Q55" t="s">
        <v>1353</v>
      </c>
    </row>
    <row r="56" spans="1:17" x14ac:dyDescent="0.25">
      <c r="A56" s="15" t="s">
        <v>1283</v>
      </c>
      <c r="B56" s="18" t="s">
        <v>1249</v>
      </c>
      <c r="C56" s="2" t="s">
        <v>20</v>
      </c>
      <c r="D56" s="2" t="str">
        <f>VLOOKUP($C56,Sheet1!$A$2:$B$10,2,0)</f>
        <v>141150-91211</v>
      </c>
      <c r="E56" s="8" t="s">
        <v>64</v>
      </c>
      <c r="F56" s="12">
        <v>46013</v>
      </c>
      <c r="G56" s="13">
        <v>0.60416666666666663</v>
      </c>
      <c r="H56" s="2" t="s">
        <v>58</v>
      </c>
      <c r="I56" s="2" t="s">
        <v>42</v>
      </c>
      <c r="J56" s="2">
        <v>32</v>
      </c>
      <c r="K56" s="14">
        <f>VLOOKUP($C56,Sheet1!$A$2:$D$10,4,0)</f>
        <v>2</v>
      </c>
      <c r="L56" s="14" t="str">
        <f>VLOOKUP($C56,Sheet1!$A$2:$E$10,5,0)</f>
        <v>Bin</v>
      </c>
      <c r="M56" s="14">
        <f t="shared" si="8"/>
        <v>16</v>
      </c>
      <c r="N56" s="2"/>
      <c r="O56" s="2" t="s">
        <v>1202</v>
      </c>
      <c r="P56" s="2" t="s">
        <v>1496</v>
      </c>
      <c r="Q56" t="s">
        <v>1353</v>
      </c>
    </row>
    <row r="57" spans="1:17" x14ac:dyDescent="0.25">
      <c r="A57" s="15" t="s">
        <v>1283</v>
      </c>
      <c r="B57" s="18" t="s">
        <v>1255</v>
      </c>
      <c r="C57" s="2" t="s">
        <v>23</v>
      </c>
      <c r="D57" s="2" t="str">
        <f>VLOOKUP($C57,Sheet1!$A$2:$B$10,2,0)</f>
        <v>141186-74360</v>
      </c>
      <c r="E57" s="8" t="s">
        <v>70</v>
      </c>
      <c r="F57" s="12">
        <v>46013</v>
      </c>
      <c r="G57" s="13">
        <v>0.60416666666666663</v>
      </c>
      <c r="H57" s="2" t="s">
        <v>58</v>
      </c>
      <c r="I57" s="2" t="s">
        <v>42</v>
      </c>
      <c r="J57" s="2">
        <v>40</v>
      </c>
      <c r="K57" s="14">
        <f>VLOOKUP($C57,Sheet1!$A$2:$D$10,4,0)</f>
        <v>40</v>
      </c>
      <c r="L57" s="14" t="str">
        <f>VLOOKUP($C57,Sheet1!$A$2:$E$10,5,0)</f>
        <v>Trolley</v>
      </c>
      <c r="M57" s="14"/>
      <c r="N57" s="2">
        <f>J57/K57</f>
        <v>1</v>
      </c>
      <c r="O57" s="2" t="s">
        <v>1202</v>
      </c>
      <c r="P57" s="2">
        <v>910103978</v>
      </c>
      <c r="Q57" t="s">
        <v>1353</v>
      </c>
    </row>
    <row r="58" spans="1:17" x14ac:dyDescent="0.25">
      <c r="A58" s="15" t="s">
        <v>1284</v>
      </c>
      <c r="B58" s="18" t="s">
        <v>1261</v>
      </c>
      <c r="C58" s="2" t="s">
        <v>26</v>
      </c>
      <c r="D58" s="2" t="str">
        <f>VLOOKUP($C58,Sheet1!$A$2:$B$10,2,0)</f>
        <v>116040-92240</v>
      </c>
      <c r="E58" s="8" t="s">
        <v>75</v>
      </c>
      <c r="F58" s="12">
        <v>46013</v>
      </c>
      <c r="G58" s="13">
        <v>0.60416666666666663</v>
      </c>
      <c r="H58" s="2" t="s">
        <v>76</v>
      </c>
      <c r="I58" s="2" t="s">
        <v>42</v>
      </c>
      <c r="J58" s="2">
        <v>30</v>
      </c>
      <c r="K58" s="14">
        <f>VLOOKUP($C58,Sheet1!$A$2:$D$10,4,0)</f>
        <v>6</v>
      </c>
      <c r="L58" s="14" t="str">
        <f>VLOOKUP($C58,Sheet1!$A$2:$E$10,5,0)</f>
        <v>Bin</v>
      </c>
      <c r="M58" s="14">
        <f t="shared" ref="M58:M60" si="9">J58/K58</f>
        <v>5</v>
      </c>
      <c r="N58" s="2"/>
      <c r="O58" s="2" t="s">
        <v>1202</v>
      </c>
      <c r="P58" s="2" t="s">
        <v>1213</v>
      </c>
      <c r="Q58" t="s">
        <v>1353</v>
      </c>
    </row>
    <row r="59" spans="1:17" x14ac:dyDescent="0.25">
      <c r="A59" s="15" t="s">
        <v>1284</v>
      </c>
      <c r="B59" s="18" t="s">
        <v>1267</v>
      </c>
      <c r="C59" s="2" t="s">
        <v>32</v>
      </c>
      <c r="D59" s="2" t="str">
        <f>VLOOKUP($C59,Sheet1!$A$2:$B$10,2,0)</f>
        <v>114010-50820</v>
      </c>
      <c r="E59" s="8" t="s">
        <v>82</v>
      </c>
      <c r="F59" s="12">
        <v>46013</v>
      </c>
      <c r="G59" s="13">
        <v>0.60416666666666663</v>
      </c>
      <c r="H59" s="2" t="s">
        <v>76</v>
      </c>
      <c r="I59" s="2" t="s">
        <v>42</v>
      </c>
      <c r="J59" s="2">
        <v>7</v>
      </c>
      <c r="K59" s="14">
        <f>VLOOKUP($C59,Sheet1!$A$2:$D$10,4,0)</f>
        <v>1</v>
      </c>
      <c r="L59" s="14" t="str">
        <f>VLOOKUP($C59,Sheet1!$A$2:$E$10,5,0)</f>
        <v>Bin</v>
      </c>
      <c r="M59" s="14">
        <f t="shared" si="9"/>
        <v>7</v>
      </c>
      <c r="N59" s="2"/>
      <c r="O59" s="2" t="s">
        <v>1202</v>
      </c>
      <c r="P59" s="2" t="s">
        <v>1496</v>
      </c>
      <c r="Q59" t="s">
        <v>1353</v>
      </c>
    </row>
    <row r="60" spans="1:17" x14ac:dyDescent="0.25">
      <c r="A60" s="15" t="s">
        <v>1284</v>
      </c>
      <c r="B60" s="18" t="s">
        <v>1273</v>
      </c>
      <c r="C60" s="2" t="s">
        <v>29</v>
      </c>
      <c r="D60" s="2" t="str">
        <f>VLOOKUP($C60,Sheet1!$A$2:$B$10,2,0)</f>
        <v>114010-50830</v>
      </c>
      <c r="E60" s="8" t="s">
        <v>82</v>
      </c>
      <c r="F60" s="12">
        <v>46013</v>
      </c>
      <c r="G60" s="13">
        <v>0.60416666666666663</v>
      </c>
      <c r="H60" s="2" t="s">
        <v>76</v>
      </c>
      <c r="I60" s="2" t="s">
        <v>42</v>
      </c>
      <c r="J60" s="2">
        <v>23</v>
      </c>
      <c r="K60" s="14">
        <f>VLOOKUP($C60,Sheet1!$A$2:$D$10,4,0)</f>
        <v>1</v>
      </c>
      <c r="L60" s="14" t="str">
        <f>VLOOKUP($C60,Sheet1!$A$2:$E$10,5,0)</f>
        <v>Bin</v>
      </c>
      <c r="M60" s="14">
        <f t="shared" si="9"/>
        <v>23</v>
      </c>
      <c r="N60" s="2"/>
      <c r="O60" s="2" t="s">
        <v>1202</v>
      </c>
      <c r="P60" s="2" t="s">
        <v>171</v>
      </c>
      <c r="Q60" t="s">
        <v>1353</v>
      </c>
    </row>
    <row r="61" spans="1:17" x14ac:dyDescent="0.25">
      <c r="A61" s="15" t="s">
        <v>1285</v>
      </c>
      <c r="B61" s="18" t="s">
        <v>1226</v>
      </c>
      <c r="C61" s="2" t="s">
        <v>5</v>
      </c>
      <c r="D61" s="2" t="str">
        <f>VLOOKUP($C61,Sheet1!$A$2:$B$10,2,0)</f>
        <v>141110-14600</v>
      </c>
      <c r="E61" s="8" t="s">
        <v>40</v>
      </c>
      <c r="F61" s="12">
        <v>46013</v>
      </c>
      <c r="G61" s="13">
        <v>0.72916666666666663</v>
      </c>
      <c r="H61" s="2" t="s">
        <v>41</v>
      </c>
      <c r="I61" s="2" t="s">
        <v>42</v>
      </c>
      <c r="J61" s="2">
        <v>18</v>
      </c>
      <c r="K61" s="14">
        <f>VLOOKUP($C61,Sheet1!$A$2:$D$10,4,0)</f>
        <v>18</v>
      </c>
      <c r="L61" s="14" t="str">
        <f>VLOOKUP($C61,Sheet1!$A$2:$E$10,5,0)</f>
        <v>Trolley (H)</v>
      </c>
      <c r="M61" s="14"/>
      <c r="N61" s="51">
        <v>1</v>
      </c>
      <c r="O61" s="2" t="s">
        <v>1202</v>
      </c>
      <c r="P61" s="2" t="s">
        <v>1497</v>
      </c>
      <c r="Q61" t="s">
        <v>1353</v>
      </c>
    </row>
    <row r="62" spans="1:17" x14ac:dyDescent="0.25">
      <c r="A62" s="15" t="s">
        <v>1285</v>
      </c>
      <c r="B62" s="18" t="s">
        <v>1232</v>
      </c>
      <c r="C62" s="2" t="s">
        <v>9</v>
      </c>
      <c r="D62" s="2" t="str">
        <f>VLOOKUP($C62,Sheet1!$A$2:$B$10,2,0)</f>
        <v>141120-14600</v>
      </c>
      <c r="E62" s="8" t="s">
        <v>47</v>
      </c>
      <c r="F62" s="12">
        <v>46013</v>
      </c>
      <c r="G62" s="13">
        <v>0.72916666666666663</v>
      </c>
      <c r="H62" s="2" t="s">
        <v>41</v>
      </c>
      <c r="I62" s="2" t="s">
        <v>42</v>
      </c>
      <c r="J62" s="2">
        <v>18</v>
      </c>
      <c r="K62" s="14">
        <f>VLOOKUP($C62,Sheet1!$A$2:$D$10,4,0)</f>
        <v>18</v>
      </c>
      <c r="L62" s="14" t="str">
        <f>VLOOKUP($C62,Sheet1!$A$2:$E$10,5,0)</f>
        <v>Trolley (H)</v>
      </c>
      <c r="M62" s="14"/>
      <c r="N62" s="52"/>
      <c r="O62" s="2" t="s">
        <v>1202</v>
      </c>
      <c r="P62" s="2" t="s">
        <v>1497</v>
      </c>
      <c r="Q62" t="s">
        <v>1353</v>
      </c>
    </row>
    <row r="63" spans="1:17" x14ac:dyDescent="0.25">
      <c r="A63" s="15" t="s">
        <v>1285</v>
      </c>
      <c r="B63" s="18" t="s">
        <v>1238</v>
      </c>
      <c r="C63" s="2" t="s">
        <v>12</v>
      </c>
      <c r="D63" s="2" t="str">
        <f>VLOOKUP($C63,Sheet1!$A$2:$B$10,2,0)</f>
        <v>141185-74670</v>
      </c>
      <c r="E63" s="8" t="s">
        <v>52</v>
      </c>
      <c r="F63" s="12">
        <v>46013</v>
      </c>
      <c r="G63" s="13">
        <v>0.72916666666666663</v>
      </c>
      <c r="H63" s="2" t="s">
        <v>41</v>
      </c>
      <c r="I63" s="2" t="s">
        <v>42</v>
      </c>
      <c r="J63" s="2">
        <v>80</v>
      </c>
      <c r="K63" s="14">
        <f>VLOOKUP($C63,Sheet1!$A$2:$D$10,4,0)</f>
        <v>40</v>
      </c>
      <c r="L63" s="14" t="str">
        <f>VLOOKUP($C63,Sheet1!$A$2:$E$10,5,0)</f>
        <v>Trolley</v>
      </c>
      <c r="M63" s="14"/>
      <c r="N63" s="2">
        <f>J63/K63</f>
        <v>2</v>
      </c>
      <c r="O63" s="2" t="s">
        <v>1202</v>
      </c>
      <c r="P63" s="2" t="s">
        <v>1498</v>
      </c>
      <c r="Q63" t="s">
        <v>1353</v>
      </c>
    </row>
    <row r="64" spans="1:17" x14ac:dyDescent="0.25">
      <c r="A64" s="15" t="s">
        <v>1285</v>
      </c>
      <c r="B64" s="18" t="s">
        <v>1244</v>
      </c>
      <c r="C64" s="2" t="s">
        <v>16</v>
      </c>
      <c r="D64" s="2" t="str">
        <f>VLOOKUP($C64,Sheet1!$A$2:$B$10,2,0)</f>
        <v>141140-91211</v>
      </c>
      <c r="E64" s="8" t="s">
        <v>57</v>
      </c>
      <c r="F64" s="12">
        <v>46013</v>
      </c>
      <c r="G64" s="13">
        <v>0.72916666666666663</v>
      </c>
      <c r="H64" s="2" t="s">
        <v>58</v>
      </c>
      <c r="I64" s="2" t="s">
        <v>42</v>
      </c>
      <c r="J64" s="2">
        <v>22</v>
      </c>
      <c r="K64" s="14">
        <f>VLOOKUP($C64,Sheet1!$A$2:$D$10,4,0)</f>
        <v>2</v>
      </c>
      <c r="L64" s="14" t="str">
        <f>VLOOKUP($C64,Sheet1!$A$2:$E$10,5,0)</f>
        <v>Bin</v>
      </c>
      <c r="M64" s="14">
        <f t="shared" ref="M64:M65" si="10">J64/K64</f>
        <v>11</v>
      </c>
      <c r="N64" s="2"/>
      <c r="O64" s="2" t="s">
        <v>1202</v>
      </c>
      <c r="P64" s="2" t="s">
        <v>1123</v>
      </c>
      <c r="Q64" t="s">
        <v>1353</v>
      </c>
    </row>
    <row r="65" spans="1:17" x14ac:dyDescent="0.25">
      <c r="A65" s="15" t="s">
        <v>1285</v>
      </c>
      <c r="B65" s="18" t="s">
        <v>1250</v>
      </c>
      <c r="C65" s="2" t="s">
        <v>20</v>
      </c>
      <c r="D65" s="2" t="str">
        <f>VLOOKUP($C65,Sheet1!$A$2:$B$10,2,0)</f>
        <v>141150-91211</v>
      </c>
      <c r="E65" s="8" t="s">
        <v>64</v>
      </c>
      <c r="F65" s="12">
        <v>46013</v>
      </c>
      <c r="G65" s="13">
        <v>0.72916666666666663</v>
      </c>
      <c r="H65" s="2" t="s">
        <v>58</v>
      </c>
      <c r="I65" s="2" t="s">
        <v>42</v>
      </c>
      <c r="J65" s="2">
        <v>22</v>
      </c>
      <c r="K65" s="14">
        <f>VLOOKUP($C65,Sheet1!$A$2:$D$10,4,0)</f>
        <v>2</v>
      </c>
      <c r="L65" s="14" t="str">
        <f>VLOOKUP($C65,Sheet1!$A$2:$E$10,5,0)</f>
        <v>Bin</v>
      </c>
      <c r="M65" s="14">
        <f t="shared" si="10"/>
        <v>11</v>
      </c>
      <c r="N65" s="2"/>
      <c r="O65" s="2" t="s">
        <v>1202</v>
      </c>
      <c r="P65" s="2" t="s">
        <v>1123</v>
      </c>
      <c r="Q65" t="s">
        <v>1353</v>
      </c>
    </row>
    <row r="66" spans="1:17" x14ac:dyDescent="0.25">
      <c r="A66" s="15" t="s">
        <v>1285</v>
      </c>
      <c r="B66" s="18" t="s">
        <v>1256</v>
      </c>
      <c r="C66" s="2" t="s">
        <v>23</v>
      </c>
      <c r="D66" s="2" t="str">
        <f>VLOOKUP($C66,Sheet1!$A$2:$B$10,2,0)</f>
        <v>141186-74360</v>
      </c>
      <c r="E66" s="8" t="s">
        <v>70</v>
      </c>
      <c r="F66" s="12">
        <v>46013</v>
      </c>
      <c r="G66" s="13">
        <v>0.72916666666666663</v>
      </c>
      <c r="H66" s="2" t="s">
        <v>58</v>
      </c>
      <c r="I66" s="2" t="s">
        <v>42</v>
      </c>
      <c r="J66" s="2">
        <v>40</v>
      </c>
      <c r="K66" s="14">
        <f>VLOOKUP($C66,Sheet1!$A$2:$D$10,4,0)</f>
        <v>40</v>
      </c>
      <c r="L66" s="14" t="str">
        <f>VLOOKUP($C66,Sheet1!$A$2:$E$10,5,0)</f>
        <v>Trolley</v>
      </c>
      <c r="M66" s="14"/>
      <c r="N66" s="2">
        <f>J66/K66</f>
        <v>1</v>
      </c>
      <c r="O66" s="2" t="s">
        <v>1202</v>
      </c>
      <c r="P66" s="2">
        <v>910103978</v>
      </c>
      <c r="Q66" t="s">
        <v>1353</v>
      </c>
    </row>
    <row r="67" spans="1:17" x14ac:dyDescent="0.25">
      <c r="A67" s="15" t="s">
        <v>1286</v>
      </c>
      <c r="B67" s="18" t="s">
        <v>1262</v>
      </c>
      <c r="C67" s="2" t="s">
        <v>26</v>
      </c>
      <c r="D67" s="2" t="str">
        <f>VLOOKUP($C67,Sheet1!$A$2:$B$10,2,0)</f>
        <v>116040-92240</v>
      </c>
      <c r="E67" s="8" t="s">
        <v>75</v>
      </c>
      <c r="F67" s="12">
        <v>46013</v>
      </c>
      <c r="G67" s="13">
        <v>0.72916666666666663</v>
      </c>
      <c r="H67" s="2" t="s">
        <v>76</v>
      </c>
      <c r="I67" s="2" t="s">
        <v>42</v>
      </c>
      <c r="J67" s="2">
        <v>24</v>
      </c>
      <c r="K67" s="14">
        <f>VLOOKUP($C67,Sheet1!$A$2:$D$10,4,0)</f>
        <v>6</v>
      </c>
      <c r="L67" s="14" t="str">
        <f>VLOOKUP($C67,Sheet1!$A$2:$E$10,5,0)</f>
        <v>Bin</v>
      </c>
      <c r="M67" s="14">
        <f t="shared" ref="M67:M69" si="11">J67/K67</f>
        <v>4</v>
      </c>
      <c r="N67" s="2"/>
      <c r="O67" s="2" t="s">
        <v>1202</v>
      </c>
      <c r="P67" s="2" t="s">
        <v>1213</v>
      </c>
      <c r="Q67" t="s">
        <v>1353</v>
      </c>
    </row>
    <row r="68" spans="1:17" x14ac:dyDescent="0.25">
      <c r="A68" s="15" t="s">
        <v>1286</v>
      </c>
      <c r="B68" s="18" t="s">
        <v>1268</v>
      </c>
      <c r="C68" s="2" t="s">
        <v>32</v>
      </c>
      <c r="D68" s="2" t="str">
        <f>VLOOKUP($C68,Sheet1!$A$2:$B$10,2,0)</f>
        <v>114010-50820</v>
      </c>
      <c r="E68" s="8" t="s">
        <v>82</v>
      </c>
      <c r="F68" s="12">
        <v>46013</v>
      </c>
      <c r="G68" s="13">
        <v>0.72916666666666663</v>
      </c>
      <c r="H68" s="2" t="s">
        <v>76</v>
      </c>
      <c r="I68" s="2" t="s">
        <v>42</v>
      </c>
      <c r="J68" s="2">
        <v>3</v>
      </c>
      <c r="K68" s="14">
        <f>VLOOKUP($C68,Sheet1!$A$2:$D$10,4,0)</f>
        <v>1</v>
      </c>
      <c r="L68" s="14" t="str">
        <f>VLOOKUP($C68,Sheet1!$A$2:$E$10,5,0)</f>
        <v>Bin</v>
      </c>
      <c r="M68" s="14">
        <f t="shared" si="11"/>
        <v>3</v>
      </c>
      <c r="N68" s="2"/>
      <c r="O68" s="2" t="s">
        <v>1202</v>
      </c>
      <c r="P68" s="2" t="s">
        <v>1496</v>
      </c>
      <c r="Q68" t="s">
        <v>1353</v>
      </c>
    </row>
    <row r="69" spans="1:17" x14ac:dyDescent="0.25">
      <c r="A69" s="15" t="s">
        <v>1286</v>
      </c>
      <c r="B69" s="18" t="s">
        <v>1274</v>
      </c>
      <c r="C69" s="2" t="s">
        <v>29</v>
      </c>
      <c r="D69" s="2" t="str">
        <f>VLOOKUP($C69,Sheet1!$A$2:$B$10,2,0)</f>
        <v>114010-50830</v>
      </c>
      <c r="E69" s="8" t="s">
        <v>82</v>
      </c>
      <c r="F69" s="12">
        <v>46013</v>
      </c>
      <c r="G69" s="13">
        <v>0.72916666666666663</v>
      </c>
      <c r="H69" s="2" t="s">
        <v>76</v>
      </c>
      <c r="I69" s="2" t="s">
        <v>42</v>
      </c>
      <c r="J69" s="2">
        <v>20</v>
      </c>
      <c r="K69" s="14">
        <f>VLOOKUP($C69,Sheet1!$A$2:$D$10,4,0)</f>
        <v>1</v>
      </c>
      <c r="L69" s="14" t="str">
        <f>VLOOKUP($C69,Sheet1!$A$2:$E$10,5,0)</f>
        <v>Bin</v>
      </c>
      <c r="M69" s="14">
        <f t="shared" si="11"/>
        <v>20</v>
      </c>
      <c r="N69" s="2"/>
      <c r="O69" s="2" t="s">
        <v>1202</v>
      </c>
      <c r="P69" s="2" t="s">
        <v>1499</v>
      </c>
      <c r="Q69" t="s">
        <v>1353</v>
      </c>
    </row>
    <row r="70" spans="1:17" s="11" customForma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>
        <v>115</v>
      </c>
      <c r="N70" s="10">
        <v>8</v>
      </c>
      <c r="O70" s="10"/>
      <c r="P70" s="10"/>
    </row>
    <row r="71" spans="1:17" x14ac:dyDescent="0.25">
      <c r="A71" s="2"/>
      <c r="B71" s="2" t="s">
        <v>1275</v>
      </c>
      <c r="C71" s="2"/>
      <c r="D71" s="2"/>
      <c r="E71" s="8"/>
      <c r="F71" s="12"/>
      <c r="G71" s="13"/>
      <c r="H71" s="2"/>
      <c r="I71" s="2"/>
      <c r="J71" s="2"/>
      <c r="K71" s="14"/>
      <c r="L71" s="14"/>
      <c r="M71" s="14"/>
      <c r="N71" s="2"/>
      <c r="O71" s="2"/>
      <c r="P71" s="2"/>
    </row>
    <row r="72" spans="1:17" x14ac:dyDescent="0.25">
      <c r="A72" s="2"/>
      <c r="B72" s="2"/>
      <c r="C72" s="2"/>
      <c r="D72" s="2"/>
      <c r="E72" s="8"/>
      <c r="F72" s="12"/>
      <c r="G72" s="13"/>
      <c r="H72" s="2"/>
      <c r="I72" s="2"/>
      <c r="J72" s="2"/>
      <c r="K72" s="14"/>
      <c r="L72" s="14"/>
      <c r="M72" s="14"/>
      <c r="N72" s="2"/>
      <c r="O72" s="2"/>
      <c r="P72" s="2"/>
    </row>
  </sheetData>
  <mergeCells count="10">
    <mergeCell ref="N61:N62"/>
    <mergeCell ref="N42:N43"/>
    <mergeCell ref="N52:N53"/>
    <mergeCell ref="A1:F1"/>
    <mergeCell ref="J1:N1"/>
    <mergeCell ref="L2:N2"/>
    <mergeCell ref="N4:N5"/>
    <mergeCell ref="N32:N33"/>
    <mergeCell ref="N34:N35"/>
    <mergeCell ref="N22:N23"/>
  </mergeCells>
  <phoneticPr fontId="5" type="noConversion"/>
  <conditionalFormatting sqref="B2">
    <cfRule type="duplicateValues" dxfId="29" priority="2"/>
    <cfRule type="duplicateValues" dxfId="28" priority="3"/>
  </conditionalFormatting>
  <conditionalFormatting sqref="B71:B72 B32:B40 B4:B14 B16:B30 B52:B69 B42:B50">
    <cfRule type="duplicateValues" dxfId="27" priority="1"/>
  </conditionalFormatting>
  <conditionalFormatting sqref="C2:D2">
    <cfRule type="duplicateValues" dxfId="26" priority="4"/>
    <cfRule type="duplicateValues" dxfId="25" priority="5"/>
  </conditionalFormatting>
  <hyperlinks>
    <hyperlink ref="B71" r:id="rId1" display="http://192.168.1.248/downloads/temp/X539_eNagare_20251220.log" xr:uid="{00000000-0004-0000-1800-000000000000}"/>
  </hyperlinks>
  <pageMargins left="0.17" right="0.18" top="0.17" bottom="0.17" header="0.17" footer="0.17"/>
  <pageSetup paperSize="9" scale="48" orientation="landscape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P62"/>
  <sheetViews>
    <sheetView workbookViewId="0">
      <selection activeCell="P55" sqref="P55"/>
    </sheetView>
  </sheetViews>
  <sheetFormatPr defaultColWidth="22.42578125" defaultRowHeight="15" x14ac:dyDescent="0.25"/>
  <cols>
    <col min="1" max="1" width="16.28515625" bestFit="1" customWidth="1"/>
    <col min="2" max="2" width="19.42578125" customWidth="1"/>
    <col min="3" max="3" width="14.28515625" customWidth="1"/>
    <col min="4" max="4" width="14.5703125" customWidth="1"/>
    <col min="5" max="5" width="32.5703125" bestFit="1" customWidth="1"/>
    <col min="6" max="6" width="12.28515625" bestFit="1" customWidth="1"/>
    <col min="7" max="7" width="7.7109375" bestFit="1" customWidth="1"/>
    <col min="8" max="8" width="13.140625" customWidth="1"/>
    <col min="9" max="9" width="4.7109375" bestFit="1" customWidth="1"/>
    <col min="10" max="10" width="8" bestFit="1" customWidth="1"/>
    <col min="11" max="11" width="9" customWidth="1"/>
    <col min="12" max="12" width="10.28515625" customWidth="1"/>
    <col min="13" max="13" width="7.140625" bestFit="1" customWidth="1"/>
    <col min="14" max="14" width="7.85546875" bestFit="1" customWidth="1"/>
    <col min="15" max="15" width="10.85546875" customWidth="1"/>
    <col min="16" max="16" width="56" customWidth="1"/>
  </cols>
  <sheetData>
    <row r="1" spans="1:16" ht="23.25" x14ac:dyDescent="0.25">
      <c r="A1" s="53" t="s">
        <v>93</v>
      </c>
      <c r="B1" s="53"/>
      <c r="C1" s="53"/>
      <c r="D1" s="53"/>
      <c r="E1" s="53"/>
      <c r="F1" s="53"/>
      <c r="G1" s="2"/>
      <c r="H1" s="2"/>
      <c r="I1" s="2"/>
      <c r="J1" s="54" t="s">
        <v>94</v>
      </c>
      <c r="K1" s="55"/>
      <c r="L1" s="55"/>
      <c r="M1" s="55"/>
      <c r="N1" s="55"/>
      <c r="O1" s="3"/>
      <c r="P1" s="4"/>
    </row>
    <row r="2" spans="1:16" ht="15.75" x14ac:dyDescent="0.25">
      <c r="A2" s="5" t="s">
        <v>95</v>
      </c>
      <c r="B2" s="6">
        <v>46014</v>
      </c>
      <c r="C2" s="7"/>
      <c r="D2" s="7"/>
      <c r="E2" s="2"/>
      <c r="F2" s="8"/>
      <c r="G2" s="2"/>
      <c r="H2" s="2"/>
      <c r="I2" s="2"/>
      <c r="J2" s="2"/>
      <c r="K2" s="2"/>
      <c r="L2" s="56" t="s">
        <v>96</v>
      </c>
      <c r="M2" s="57"/>
      <c r="N2" s="58"/>
      <c r="O2" s="2"/>
      <c r="P2" s="2"/>
    </row>
    <row r="3" spans="1:16" s="11" customFormat="1" ht="30" x14ac:dyDescent="0.25">
      <c r="A3" s="10" t="s">
        <v>97</v>
      </c>
      <c r="B3" s="10" t="s">
        <v>35</v>
      </c>
      <c r="C3" s="10" t="s">
        <v>0</v>
      </c>
      <c r="D3" s="10" t="s">
        <v>98</v>
      </c>
      <c r="E3" s="10" t="s">
        <v>2</v>
      </c>
      <c r="F3" s="10" t="s">
        <v>36</v>
      </c>
      <c r="G3" s="10" t="s">
        <v>37</v>
      </c>
      <c r="H3" s="10" t="s">
        <v>38</v>
      </c>
      <c r="I3" s="10" t="s">
        <v>99</v>
      </c>
      <c r="J3" s="10" t="s">
        <v>100</v>
      </c>
      <c r="K3" s="10" t="s">
        <v>101</v>
      </c>
      <c r="L3" s="10" t="s">
        <v>102</v>
      </c>
      <c r="M3" s="10" t="s">
        <v>103</v>
      </c>
      <c r="N3" s="10" t="s">
        <v>104</v>
      </c>
      <c r="O3" s="10" t="s">
        <v>96</v>
      </c>
      <c r="P3" s="10" t="s">
        <v>105</v>
      </c>
    </row>
    <row r="4" spans="1:16" x14ac:dyDescent="0.25">
      <c r="A4" s="15" t="s">
        <v>1341</v>
      </c>
      <c r="B4" s="18" t="s">
        <v>1289</v>
      </c>
      <c r="C4" s="2" t="s">
        <v>5</v>
      </c>
      <c r="D4" s="2" t="str">
        <f>VLOOKUP($C4,Sheet1!$A$2:$B$10,2,0)</f>
        <v>141110-14600</v>
      </c>
      <c r="E4" s="8" t="s">
        <v>40</v>
      </c>
      <c r="F4" s="12">
        <v>46014</v>
      </c>
      <c r="G4" s="13">
        <v>0.27083333333333331</v>
      </c>
      <c r="H4" s="2" t="s">
        <v>41</v>
      </c>
      <c r="I4" s="2" t="s">
        <v>42</v>
      </c>
      <c r="J4" s="2">
        <v>36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2">
        <v>2</v>
      </c>
      <c r="O4" s="2" t="s">
        <v>112</v>
      </c>
      <c r="P4" s="2" t="s">
        <v>1495</v>
      </c>
    </row>
    <row r="5" spans="1:16" x14ac:dyDescent="0.25">
      <c r="A5" s="15" t="s">
        <v>1341</v>
      </c>
      <c r="B5" s="18" t="s">
        <v>1295</v>
      </c>
      <c r="C5" s="2" t="s">
        <v>9</v>
      </c>
      <c r="D5" s="2" t="str">
        <f>VLOOKUP($C5,Sheet1!$A$2:$B$10,2,0)</f>
        <v>141120-14600</v>
      </c>
      <c r="E5" s="8" t="s">
        <v>47</v>
      </c>
      <c r="F5" s="12">
        <v>46014</v>
      </c>
      <c r="G5" s="13">
        <v>0.27083333333333331</v>
      </c>
      <c r="H5" s="2" t="s">
        <v>41</v>
      </c>
      <c r="I5" s="2" t="s">
        <v>42</v>
      </c>
      <c r="J5" s="2">
        <v>36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2"/>
      <c r="O5" s="2" t="s">
        <v>112</v>
      </c>
      <c r="P5" s="2" t="s">
        <v>1495</v>
      </c>
    </row>
    <row r="6" spans="1:16" x14ac:dyDescent="0.25">
      <c r="A6" s="15" t="s">
        <v>1341</v>
      </c>
      <c r="B6" s="18" t="s">
        <v>1301</v>
      </c>
      <c r="C6" s="2" t="s">
        <v>12</v>
      </c>
      <c r="D6" s="2" t="str">
        <f>VLOOKUP($C6,Sheet1!$A$2:$B$10,2,0)</f>
        <v>141185-74670</v>
      </c>
      <c r="E6" s="8" t="s">
        <v>52</v>
      </c>
      <c r="F6" s="12">
        <v>46014</v>
      </c>
      <c r="G6" s="13">
        <v>0.27083333333333331</v>
      </c>
      <c r="H6" s="2" t="s">
        <v>41</v>
      </c>
      <c r="I6" s="2" t="s">
        <v>42</v>
      </c>
      <c r="J6" s="2">
        <v>80</v>
      </c>
      <c r="K6" s="14">
        <f>VLOOKUP($C6,Sheet1!$A$2:$D$10,4,0)</f>
        <v>40</v>
      </c>
      <c r="L6" s="14" t="str">
        <f>VLOOKUP($C6,Sheet1!$A$2:$E$10,5,0)</f>
        <v>Trolley</v>
      </c>
      <c r="M6" s="14"/>
      <c r="N6" s="2">
        <f>J6/K6</f>
        <v>2</v>
      </c>
      <c r="O6" s="2" t="s">
        <v>112</v>
      </c>
      <c r="P6" s="2">
        <v>910103943</v>
      </c>
    </row>
    <row r="7" spans="1:16" x14ac:dyDescent="0.25">
      <c r="A7" s="15" t="s">
        <v>1341</v>
      </c>
      <c r="B7" s="18" t="s">
        <v>1306</v>
      </c>
      <c r="C7" s="2" t="s">
        <v>16</v>
      </c>
      <c r="D7" s="2" t="str">
        <f>VLOOKUP($C7,Sheet1!$A$2:$B$10,2,0)</f>
        <v>141140-91211</v>
      </c>
      <c r="E7" s="8" t="s">
        <v>57</v>
      </c>
      <c r="F7" s="12">
        <v>46014</v>
      </c>
      <c r="G7" s="13">
        <v>0.27083333333333331</v>
      </c>
      <c r="H7" s="2" t="s">
        <v>58</v>
      </c>
      <c r="I7" s="2" t="s">
        <v>42</v>
      </c>
      <c r="J7" s="2">
        <v>44</v>
      </c>
      <c r="K7" s="14">
        <f>VLOOKUP($C7,Sheet1!$A$2:$D$10,4,0)</f>
        <v>2</v>
      </c>
      <c r="L7" s="14" t="str">
        <f>VLOOKUP($C7,Sheet1!$A$2:$E$10,5,0)</f>
        <v>Bin</v>
      </c>
      <c r="M7" s="14">
        <f t="shared" ref="M7:M8" si="0">J7/K7</f>
        <v>22</v>
      </c>
      <c r="N7" s="2"/>
      <c r="O7" s="2" t="s">
        <v>112</v>
      </c>
      <c r="P7" s="2" t="s">
        <v>1123</v>
      </c>
    </row>
    <row r="8" spans="1:16" x14ac:dyDescent="0.25">
      <c r="A8" s="15" t="s">
        <v>1341</v>
      </c>
      <c r="B8" s="18" t="s">
        <v>1312</v>
      </c>
      <c r="C8" s="2" t="s">
        <v>20</v>
      </c>
      <c r="D8" s="2" t="str">
        <f>VLOOKUP($C8,Sheet1!$A$2:$B$10,2,0)</f>
        <v>141150-91211</v>
      </c>
      <c r="E8" s="8" t="s">
        <v>64</v>
      </c>
      <c r="F8" s="12">
        <v>46014</v>
      </c>
      <c r="G8" s="13">
        <v>0.27083333333333331</v>
      </c>
      <c r="H8" s="2" t="s">
        <v>58</v>
      </c>
      <c r="I8" s="2" t="s">
        <v>42</v>
      </c>
      <c r="J8" s="2">
        <v>46</v>
      </c>
      <c r="K8" s="14">
        <f>VLOOKUP($C8,Sheet1!$A$2:$D$10,4,0)</f>
        <v>2</v>
      </c>
      <c r="L8" s="14" t="str">
        <f>VLOOKUP($C8,Sheet1!$A$2:$E$10,5,0)</f>
        <v>Bin</v>
      </c>
      <c r="M8" s="14">
        <f t="shared" si="0"/>
        <v>23</v>
      </c>
      <c r="N8" s="2"/>
      <c r="O8" s="2" t="s">
        <v>112</v>
      </c>
      <c r="P8" s="2" t="s">
        <v>1496</v>
      </c>
    </row>
    <row r="9" spans="1:16" x14ac:dyDescent="0.25">
      <c r="A9" s="15" t="s">
        <v>1341</v>
      </c>
      <c r="B9" s="18" t="s">
        <v>1318</v>
      </c>
      <c r="C9" s="2" t="s">
        <v>23</v>
      </c>
      <c r="D9" s="2" t="str">
        <f>VLOOKUP($C9,Sheet1!$A$2:$B$10,2,0)</f>
        <v>141186-74360</v>
      </c>
      <c r="E9" s="8" t="s">
        <v>70</v>
      </c>
      <c r="F9" s="12">
        <v>46014</v>
      </c>
      <c r="G9" s="13">
        <v>0.27083333333333331</v>
      </c>
      <c r="H9" s="2" t="s">
        <v>58</v>
      </c>
      <c r="I9" s="2" t="s">
        <v>42</v>
      </c>
      <c r="J9" s="2">
        <v>120</v>
      </c>
      <c r="K9" s="14">
        <f>VLOOKUP($C9,Sheet1!$A$2:$D$10,4,0)</f>
        <v>40</v>
      </c>
      <c r="L9" s="14" t="str">
        <f>VLOOKUP($C9,Sheet1!$A$2:$E$10,5,0)</f>
        <v>Trolley</v>
      </c>
      <c r="M9" s="14"/>
      <c r="N9" s="2">
        <f t="shared" ref="N9" si="1">J9/K9</f>
        <v>3</v>
      </c>
      <c r="O9" s="2" t="s">
        <v>112</v>
      </c>
      <c r="P9" s="2">
        <v>910103978</v>
      </c>
    </row>
    <row r="10" spans="1:16" x14ac:dyDescent="0.25">
      <c r="A10" s="15" t="s">
        <v>1342</v>
      </c>
      <c r="B10" s="18" t="s">
        <v>1322</v>
      </c>
      <c r="C10" s="2" t="s">
        <v>26</v>
      </c>
      <c r="D10" s="2" t="str">
        <f>VLOOKUP($C10,Sheet1!$A$2:$B$10,2,0)</f>
        <v>116040-92240</v>
      </c>
      <c r="E10" s="8" t="s">
        <v>75</v>
      </c>
      <c r="F10" s="12">
        <v>46014</v>
      </c>
      <c r="G10" s="13">
        <v>0.27083333333333331</v>
      </c>
      <c r="H10" s="2" t="s">
        <v>76</v>
      </c>
      <c r="I10" s="2" t="s">
        <v>42</v>
      </c>
      <c r="J10" s="2">
        <v>42</v>
      </c>
      <c r="K10" s="14">
        <f>VLOOKUP($C10,Sheet1!$A$2:$D$10,4,0)</f>
        <v>6</v>
      </c>
      <c r="L10" s="14" t="str">
        <f>VLOOKUP($C10,Sheet1!$A$2:$E$10,5,0)</f>
        <v>Bin</v>
      </c>
      <c r="M10" s="14">
        <f t="shared" ref="M10:M13" si="2">J10/K10</f>
        <v>7</v>
      </c>
      <c r="N10" s="2"/>
      <c r="O10" s="2" t="s">
        <v>112</v>
      </c>
      <c r="P10" s="2" t="s">
        <v>1500</v>
      </c>
    </row>
    <row r="11" spans="1:16" x14ac:dyDescent="0.25">
      <c r="A11" s="15" t="s">
        <v>1342</v>
      </c>
      <c r="B11" s="18" t="s">
        <v>1323</v>
      </c>
      <c r="C11" s="2" t="s">
        <v>26</v>
      </c>
      <c r="D11" s="2" t="str">
        <f>VLOOKUP($C11,Sheet1!$A$2:$B$10,2,0)</f>
        <v>116040-92240</v>
      </c>
      <c r="E11" s="8" t="s">
        <v>75</v>
      </c>
      <c r="F11" s="12">
        <v>46014</v>
      </c>
      <c r="G11" s="13">
        <v>0.27083333333333331</v>
      </c>
      <c r="H11" s="2" t="s">
        <v>76</v>
      </c>
      <c r="I11" s="2" t="s">
        <v>42</v>
      </c>
      <c r="J11" s="2">
        <v>42</v>
      </c>
      <c r="K11" s="14">
        <f>VLOOKUP($C11,Sheet1!$A$2:$D$10,4,0)</f>
        <v>6</v>
      </c>
      <c r="L11" s="14" t="str">
        <f>VLOOKUP($C11,Sheet1!$A$2:$E$10,5,0)</f>
        <v>Bin</v>
      </c>
      <c r="M11" s="14">
        <f t="shared" si="2"/>
        <v>7</v>
      </c>
      <c r="N11" s="2"/>
      <c r="O11" s="2" t="s">
        <v>112</v>
      </c>
      <c r="P11" s="2" t="s">
        <v>1213</v>
      </c>
    </row>
    <row r="12" spans="1:16" x14ac:dyDescent="0.25">
      <c r="A12" s="15" t="s">
        <v>1342</v>
      </c>
      <c r="B12" s="18" t="s">
        <v>1328</v>
      </c>
      <c r="C12" s="2" t="s">
        <v>32</v>
      </c>
      <c r="D12" s="2" t="str">
        <f>VLOOKUP($C12,Sheet1!$A$2:$B$10,2,0)</f>
        <v>114010-50820</v>
      </c>
      <c r="E12" s="8" t="s">
        <v>82</v>
      </c>
      <c r="F12" s="12">
        <v>46014</v>
      </c>
      <c r="G12" s="13">
        <v>0.27083333333333331</v>
      </c>
      <c r="H12" s="2" t="s">
        <v>76</v>
      </c>
      <c r="I12" s="2" t="s">
        <v>42</v>
      </c>
      <c r="J12" s="2">
        <v>17</v>
      </c>
      <c r="K12" s="14">
        <f>VLOOKUP($C12,Sheet1!$A$2:$D$10,4,0)</f>
        <v>1</v>
      </c>
      <c r="L12" s="14" t="str">
        <f>VLOOKUP($C12,Sheet1!$A$2:$E$10,5,0)</f>
        <v>Bin</v>
      </c>
      <c r="M12" s="14">
        <f t="shared" si="2"/>
        <v>17</v>
      </c>
      <c r="N12" s="2"/>
      <c r="O12" s="2" t="s">
        <v>112</v>
      </c>
      <c r="P12" s="2" t="s">
        <v>171</v>
      </c>
    </row>
    <row r="13" spans="1:16" x14ac:dyDescent="0.25">
      <c r="A13" s="15" t="s">
        <v>1342</v>
      </c>
      <c r="B13" s="18" t="s">
        <v>1335</v>
      </c>
      <c r="C13" s="2" t="s">
        <v>29</v>
      </c>
      <c r="D13" s="2" t="str">
        <f>VLOOKUP($C13,Sheet1!$A$2:$B$10,2,0)</f>
        <v>114010-50830</v>
      </c>
      <c r="E13" s="8" t="s">
        <v>82</v>
      </c>
      <c r="F13" s="12">
        <v>46014</v>
      </c>
      <c r="G13" s="13">
        <v>0.27083333333333331</v>
      </c>
      <c r="H13" s="2" t="s">
        <v>76</v>
      </c>
      <c r="I13" s="2" t="s">
        <v>42</v>
      </c>
      <c r="J13" s="2">
        <v>29</v>
      </c>
      <c r="K13" s="14">
        <f>VLOOKUP($C13,Sheet1!$A$2:$D$10,4,0)</f>
        <v>1</v>
      </c>
      <c r="L13" s="14" t="str">
        <f>VLOOKUP($C13,Sheet1!$A$2:$E$10,5,0)</f>
        <v>Bin</v>
      </c>
      <c r="M13" s="14">
        <f t="shared" si="2"/>
        <v>29</v>
      </c>
      <c r="N13" s="2"/>
      <c r="O13" s="2" t="s">
        <v>112</v>
      </c>
      <c r="P13" s="2" t="s">
        <v>1496</v>
      </c>
    </row>
    <row r="14" spans="1:16" s="11" customFormat="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>
        <v>105</v>
      </c>
      <c r="N14" s="10">
        <v>7</v>
      </c>
      <c r="O14" s="10"/>
      <c r="P14" s="10"/>
    </row>
    <row r="15" spans="1:16" x14ac:dyDescent="0.25">
      <c r="A15" s="15" t="s">
        <v>1343</v>
      </c>
      <c r="B15" s="18" t="s">
        <v>1288</v>
      </c>
      <c r="C15" s="2" t="s">
        <v>5</v>
      </c>
      <c r="D15" s="2" t="str">
        <f>VLOOKUP($C15,Sheet1!$A$2:$B$10,2,0)</f>
        <v>141110-14600</v>
      </c>
      <c r="E15" s="8" t="s">
        <v>40</v>
      </c>
      <c r="F15" s="12">
        <v>46014</v>
      </c>
      <c r="G15" s="13">
        <v>0.27083333333333331</v>
      </c>
      <c r="H15" s="2" t="s">
        <v>41</v>
      </c>
      <c r="I15" s="2" t="s">
        <v>42</v>
      </c>
      <c r="J15" s="2">
        <v>36</v>
      </c>
      <c r="K15" s="14">
        <f>VLOOKUP($C15,Sheet1!$A$2:$D$10,4,0)</f>
        <v>18</v>
      </c>
      <c r="L15" s="14" t="str">
        <f>VLOOKUP($C15,Sheet1!$A$2:$E$10,5,0)</f>
        <v>Trolley (H)</v>
      </c>
      <c r="M15" s="14"/>
      <c r="N15" s="2">
        <v>2</v>
      </c>
      <c r="O15" s="2" t="s">
        <v>1001</v>
      </c>
      <c r="P15" s="2" t="s">
        <v>1495</v>
      </c>
    </row>
    <row r="16" spans="1:16" x14ac:dyDescent="0.25">
      <c r="A16" s="15" t="s">
        <v>1343</v>
      </c>
      <c r="B16" s="18" t="s">
        <v>1294</v>
      </c>
      <c r="C16" s="2" t="s">
        <v>9</v>
      </c>
      <c r="D16" s="2" t="str">
        <f>VLOOKUP($C16,Sheet1!$A$2:$B$10,2,0)</f>
        <v>141120-14600</v>
      </c>
      <c r="E16" s="8" t="s">
        <v>47</v>
      </c>
      <c r="F16" s="12">
        <v>46014</v>
      </c>
      <c r="G16" s="13">
        <v>0.27083333333333331</v>
      </c>
      <c r="H16" s="2" t="s">
        <v>41</v>
      </c>
      <c r="I16" s="2" t="s">
        <v>42</v>
      </c>
      <c r="J16" s="2">
        <v>36</v>
      </c>
      <c r="K16" s="14">
        <f>VLOOKUP($C16,Sheet1!$A$2:$D$10,4,0)</f>
        <v>18</v>
      </c>
      <c r="L16" s="14" t="str">
        <f>VLOOKUP($C16,Sheet1!$A$2:$E$10,5,0)</f>
        <v>Trolley (H)</v>
      </c>
      <c r="M16" s="14"/>
      <c r="N16" s="2"/>
      <c r="O16" s="2" t="s">
        <v>1001</v>
      </c>
      <c r="P16" s="2" t="s">
        <v>1495</v>
      </c>
    </row>
    <row r="17" spans="1:16" x14ac:dyDescent="0.25">
      <c r="A17" s="15" t="s">
        <v>1343</v>
      </c>
      <c r="B17" s="18" t="s">
        <v>1300</v>
      </c>
      <c r="C17" s="2" t="s">
        <v>12</v>
      </c>
      <c r="D17" s="2" t="str">
        <f>VLOOKUP($C17,Sheet1!$A$2:$B$10,2,0)</f>
        <v>141185-74670</v>
      </c>
      <c r="E17" s="8" t="s">
        <v>52</v>
      </c>
      <c r="F17" s="12">
        <v>46014</v>
      </c>
      <c r="G17" s="13">
        <v>0.27083333333333331</v>
      </c>
      <c r="H17" s="2" t="s">
        <v>41</v>
      </c>
      <c r="I17" s="2" t="s">
        <v>42</v>
      </c>
      <c r="J17" s="2">
        <v>80</v>
      </c>
      <c r="K17" s="14">
        <f>VLOOKUP($C17,Sheet1!$A$2:$D$10,4,0)</f>
        <v>40</v>
      </c>
      <c r="L17" s="14" t="str">
        <f>VLOOKUP($C17,Sheet1!$A$2:$E$10,5,0)</f>
        <v>Trolley</v>
      </c>
      <c r="M17" s="14"/>
      <c r="N17" s="2">
        <f>J17/K17</f>
        <v>2</v>
      </c>
      <c r="O17" s="2" t="s">
        <v>1001</v>
      </c>
      <c r="P17" s="2" t="s">
        <v>1501</v>
      </c>
    </row>
    <row r="18" spans="1:16" x14ac:dyDescent="0.25">
      <c r="A18" s="15" t="s">
        <v>1343</v>
      </c>
      <c r="B18" s="18" t="s">
        <v>1305</v>
      </c>
      <c r="C18" s="2" t="s">
        <v>16</v>
      </c>
      <c r="D18" s="2" t="str">
        <f>VLOOKUP($C18,Sheet1!$A$2:$B$10,2,0)</f>
        <v>141140-91211</v>
      </c>
      <c r="E18" s="8" t="s">
        <v>57</v>
      </c>
      <c r="F18" s="12">
        <v>46014</v>
      </c>
      <c r="G18" s="13">
        <v>0.27083333333333331</v>
      </c>
      <c r="H18" s="2" t="s">
        <v>58</v>
      </c>
      <c r="I18" s="2" t="s">
        <v>42</v>
      </c>
      <c r="J18" s="2">
        <v>40</v>
      </c>
      <c r="K18" s="14">
        <f>VLOOKUP($C18,Sheet1!$A$2:$D$10,4,0)</f>
        <v>2</v>
      </c>
      <c r="L18" s="14" t="str">
        <f>VLOOKUP($C18,Sheet1!$A$2:$E$10,5,0)</f>
        <v>Bin</v>
      </c>
      <c r="M18" s="14">
        <f>J18/K18</f>
        <v>20</v>
      </c>
      <c r="N18" s="2"/>
      <c r="O18" s="2" t="s">
        <v>1001</v>
      </c>
      <c r="P18" s="2" t="s">
        <v>1123</v>
      </c>
    </row>
    <row r="19" spans="1:16" x14ac:dyDescent="0.25">
      <c r="A19" s="15" t="s">
        <v>1343</v>
      </c>
      <c r="B19" s="18" t="s">
        <v>1311</v>
      </c>
      <c r="C19" s="2" t="s">
        <v>20</v>
      </c>
      <c r="D19" s="2" t="str">
        <f>VLOOKUP($C19,Sheet1!$A$2:$B$10,2,0)</f>
        <v>141150-91211</v>
      </c>
      <c r="E19" s="8" t="s">
        <v>64</v>
      </c>
      <c r="F19" s="12">
        <v>46014</v>
      </c>
      <c r="G19" s="13">
        <v>0.27083333333333331</v>
      </c>
      <c r="H19" s="2" t="s">
        <v>58</v>
      </c>
      <c r="I19" s="2" t="s">
        <v>42</v>
      </c>
      <c r="J19" s="2">
        <v>40</v>
      </c>
      <c r="K19" s="14">
        <f>VLOOKUP($C19,Sheet1!$A$2:$D$10,4,0)</f>
        <v>2</v>
      </c>
      <c r="L19" s="14" t="str">
        <f>VLOOKUP($C19,Sheet1!$A$2:$E$10,5,0)</f>
        <v>Bin</v>
      </c>
      <c r="M19" s="14">
        <f>J19/K19</f>
        <v>20</v>
      </c>
      <c r="N19" s="2"/>
      <c r="O19" s="2" t="s">
        <v>1001</v>
      </c>
      <c r="P19" s="2" t="s">
        <v>1496</v>
      </c>
    </row>
    <row r="20" spans="1:16" x14ac:dyDescent="0.25">
      <c r="A20" s="15" t="s">
        <v>1343</v>
      </c>
      <c r="B20" s="18" t="s">
        <v>1317</v>
      </c>
      <c r="C20" s="2" t="s">
        <v>23</v>
      </c>
      <c r="D20" s="2" t="str">
        <f>VLOOKUP($C20,Sheet1!$A$2:$B$10,2,0)</f>
        <v>141186-74360</v>
      </c>
      <c r="E20" s="8" t="s">
        <v>70</v>
      </c>
      <c r="F20" s="12">
        <v>46014</v>
      </c>
      <c r="G20" s="13">
        <v>0.27083333333333331</v>
      </c>
      <c r="H20" s="2" t="s">
        <v>58</v>
      </c>
      <c r="I20" s="2" t="s">
        <v>42</v>
      </c>
      <c r="J20" s="2">
        <v>80</v>
      </c>
      <c r="K20" s="14">
        <f>VLOOKUP($C20,Sheet1!$A$2:$D$10,4,0)</f>
        <v>40</v>
      </c>
      <c r="L20" s="14" t="str">
        <f>VLOOKUP($C20,Sheet1!$A$2:$E$10,5,0)</f>
        <v>Trolley</v>
      </c>
      <c r="M20" s="14"/>
      <c r="N20" s="2">
        <f>J20/K20</f>
        <v>2</v>
      </c>
      <c r="O20" s="2" t="s">
        <v>1001</v>
      </c>
      <c r="P20" s="2">
        <v>910103978</v>
      </c>
    </row>
    <row r="21" spans="1:16" x14ac:dyDescent="0.25">
      <c r="A21" s="15" t="s">
        <v>1344</v>
      </c>
      <c r="B21" s="18" t="s">
        <v>1329</v>
      </c>
      <c r="C21" s="2" t="s">
        <v>32</v>
      </c>
      <c r="D21" s="2" t="str">
        <f>VLOOKUP($C21,Sheet1!$A$2:$B$10,2,0)</f>
        <v>114010-50820</v>
      </c>
      <c r="E21" s="39" t="s">
        <v>82</v>
      </c>
      <c r="F21" s="12">
        <v>46014</v>
      </c>
      <c r="G21" s="13">
        <v>0.27083333333333331</v>
      </c>
      <c r="H21" s="2" t="s">
        <v>76</v>
      </c>
      <c r="I21" s="2" t="s">
        <v>42</v>
      </c>
      <c r="J21" s="2">
        <v>16</v>
      </c>
      <c r="K21" s="14">
        <f>VLOOKUP($C21,Sheet1!$A$2:$D$10,4,0)</f>
        <v>1</v>
      </c>
      <c r="L21" s="14" t="str">
        <f>VLOOKUP($C21,Sheet1!$A$2:$E$10,5,0)</f>
        <v>Bin</v>
      </c>
      <c r="M21" s="14">
        <f>J21/K21</f>
        <v>16</v>
      </c>
      <c r="N21" s="2"/>
      <c r="O21" s="2" t="s">
        <v>1001</v>
      </c>
      <c r="P21" s="2" t="s">
        <v>171</v>
      </c>
    </row>
    <row r="22" spans="1:16" x14ac:dyDescent="0.25">
      <c r="A22" s="15" t="s">
        <v>1344</v>
      </c>
      <c r="B22" s="18" t="s">
        <v>1334</v>
      </c>
      <c r="C22" s="2" t="s">
        <v>29</v>
      </c>
      <c r="D22" s="2" t="str">
        <f>VLOOKUP($C22,Sheet1!$A$2:$B$10,2,0)</f>
        <v>114010-50830</v>
      </c>
      <c r="E22" s="8" t="s">
        <v>82</v>
      </c>
      <c r="F22" s="12">
        <v>46014</v>
      </c>
      <c r="G22" s="13">
        <v>0.27083333333333331</v>
      </c>
      <c r="H22" s="2" t="s">
        <v>76</v>
      </c>
      <c r="I22" s="2" t="s">
        <v>42</v>
      </c>
      <c r="J22" s="2">
        <v>33</v>
      </c>
      <c r="K22" s="14">
        <f>VLOOKUP($C22,Sheet1!$A$2:$D$10,4,0)</f>
        <v>1</v>
      </c>
      <c r="L22" s="14" t="str">
        <f>VLOOKUP($C22,Sheet1!$A$2:$E$10,5,0)</f>
        <v>Bin</v>
      </c>
      <c r="M22" s="14">
        <f>J22/K22</f>
        <v>33</v>
      </c>
      <c r="N22" s="2"/>
      <c r="O22" s="2" t="s">
        <v>1001</v>
      </c>
      <c r="P22" s="2" t="s">
        <v>1496</v>
      </c>
    </row>
    <row r="23" spans="1:16" x14ac:dyDescent="0.25">
      <c r="A23" s="15" t="s">
        <v>1345</v>
      </c>
      <c r="B23" s="18" t="s">
        <v>1290</v>
      </c>
      <c r="C23" s="2" t="s">
        <v>5</v>
      </c>
      <c r="D23" s="2" t="str">
        <f>VLOOKUP($C23,Sheet1!$A$2:$B$10,2,0)</f>
        <v>141110-14600</v>
      </c>
      <c r="E23" s="8" t="s">
        <v>40</v>
      </c>
      <c r="F23" s="12">
        <v>46014</v>
      </c>
      <c r="G23" s="13">
        <v>0.39583333333333331</v>
      </c>
      <c r="H23" s="2" t="s">
        <v>41</v>
      </c>
      <c r="I23" s="2" t="s">
        <v>42</v>
      </c>
      <c r="J23" s="2">
        <v>18</v>
      </c>
      <c r="K23" s="14">
        <f>VLOOKUP($C23,Sheet1!$A$2:$D$10,4,0)</f>
        <v>18</v>
      </c>
      <c r="L23" s="14" t="str">
        <f>VLOOKUP($C23,Sheet1!$A$2:$E$10,5,0)</f>
        <v>Trolley (H)</v>
      </c>
      <c r="M23" s="14"/>
      <c r="N23" s="2">
        <v>1</v>
      </c>
      <c r="O23" s="2" t="s">
        <v>1001</v>
      </c>
      <c r="P23" s="2" t="s">
        <v>1491</v>
      </c>
    </row>
    <row r="24" spans="1:16" x14ac:dyDescent="0.25">
      <c r="A24" s="15" t="s">
        <v>1345</v>
      </c>
      <c r="B24" s="18" t="s">
        <v>1296</v>
      </c>
      <c r="C24" s="2" t="s">
        <v>9</v>
      </c>
      <c r="D24" s="2" t="str">
        <f>VLOOKUP($C24,Sheet1!$A$2:$B$10,2,0)</f>
        <v>141120-14600</v>
      </c>
      <c r="E24" s="8" t="s">
        <v>47</v>
      </c>
      <c r="F24" s="12">
        <v>46014</v>
      </c>
      <c r="G24" s="13">
        <v>0.39583333333333331</v>
      </c>
      <c r="H24" s="2" t="s">
        <v>41</v>
      </c>
      <c r="I24" s="2" t="s">
        <v>42</v>
      </c>
      <c r="J24" s="2">
        <v>18</v>
      </c>
      <c r="K24" s="14">
        <f>VLOOKUP($C24,Sheet1!$A$2:$D$10,4,0)</f>
        <v>18</v>
      </c>
      <c r="L24" s="14" t="str">
        <f>VLOOKUP($C24,Sheet1!$A$2:$E$10,5,0)</f>
        <v>Trolley (H)</v>
      </c>
      <c r="M24" s="14"/>
      <c r="N24" s="2"/>
      <c r="O24" s="2" t="s">
        <v>1001</v>
      </c>
      <c r="P24" s="2" t="s">
        <v>1491</v>
      </c>
    </row>
    <row r="25" spans="1:16" x14ac:dyDescent="0.25">
      <c r="A25" s="15" t="s">
        <v>1345</v>
      </c>
      <c r="B25" s="18" t="s">
        <v>1307</v>
      </c>
      <c r="C25" s="2" t="s">
        <v>16</v>
      </c>
      <c r="D25" s="2" t="str">
        <f>VLOOKUP($C25,Sheet1!$A$2:$B$10,2,0)</f>
        <v>141140-91211</v>
      </c>
      <c r="E25" s="8" t="s">
        <v>57</v>
      </c>
      <c r="F25" s="12">
        <v>46014</v>
      </c>
      <c r="G25" s="13">
        <v>0.39583333333333331</v>
      </c>
      <c r="H25" s="2" t="s">
        <v>58</v>
      </c>
      <c r="I25" s="2" t="s">
        <v>42</v>
      </c>
      <c r="J25" s="2">
        <v>14</v>
      </c>
      <c r="K25" s="14">
        <f>VLOOKUP($C25,Sheet1!$A$2:$D$10,4,0)</f>
        <v>2</v>
      </c>
      <c r="L25" s="14" t="str">
        <f>VLOOKUP($C25,Sheet1!$A$2:$E$10,5,0)</f>
        <v>Bin</v>
      </c>
      <c r="M25" s="14">
        <f t="shared" ref="M25:M29" si="3">J25/K25</f>
        <v>7</v>
      </c>
      <c r="N25" s="2"/>
      <c r="O25" s="2" t="s">
        <v>1001</v>
      </c>
      <c r="P25" s="2" t="s">
        <v>1496</v>
      </c>
    </row>
    <row r="26" spans="1:16" x14ac:dyDescent="0.25">
      <c r="A26" s="15" t="s">
        <v>1345</v>
      </c>
      <c r="B26" s="18" t="s">
        <v>1313</v>
      </c>
      <c r="C26" s="2" t="s">
        <v>20</v>
      </c>
      <c r="D26" s="2" t="str">
        <f>VLOOKUP($C26,Sheet1!$A$2:$B$10,2,0)</f>
        <v>141150-91211</v>
      </c>
      <c r="E26" s="8" t="s">
        <v>64</v>
      </c>
      <c r="F26" s="12">
        <v>46014</v>
      </c>
      <c r="G26" s="13">
        <v>0.39583333333333331</v>
      </c>
      <c r="H26" s="2" t="s">
        <v>58</v>
      </c>
      <c r="I26" s="2" t="s">
        <v>42</v>
      </c>
      <c r="J26" s="2">
        <v>12</v>
      </c>
      <c r="K26" s="14">
        <f>VLOOKUP($C26,Sheet1!$A$2:$D$10,4,0)</f>
        <v>2</v>
      </c>
      <c r="L26" s="14" t="str">
        <f>VLOOKUP($C26,Sheet1!$A$2:$E$10,5,0)</f>
        <v>Bin</v>
      </c>
      <c r="M26" s="14">
        <f t="shared" si="3"/>
        <v>6</v>
      </c>
      <c r="N26" s="2"/>
      <c r="O26" s="2" t="s">
        <v>1001</v>
      </c>
      <c r="P26" s="2" t="s">
        <v>1496</v>
      </c>
    </row>
    <row r="27" spans="1:16" x14ac:dyDescent="0.25">
      <c r="A27" s="15" t="s">
        <v>1346</v>
      </c>
      <c r="B27" s="18" t="s">
        <v>1324</v>
      </c>
      <c r="C27" s="2" t="s">
        <v>26</v>
      </c>
      <c r="D27" s="2" t="str">
        <f>VLOOKUP($C27,Sheet1!$A$2:$B$10,2,0)</f>
        <v>116040-92240</v>
      </c>
      <c r="E27" s="8" t="s">
        <v>75</v>
      </c>
      <c r="F27" s="12">
        <v>46014</v>
      </c>
      <c r="G27" s="13">
        <v>0.39583333333333331</v>
      </c>
      <c r="H27" s="2" t="s">
        <v>76</v>
      </c>
      <c r="I27" s="2" t="s">
        <v>42</v>
      </c>
      <c r="J27" s="2">
        <v>12</v>
      </c>
      <c r="K27" s="14">
        <f>VLOOKUP($C27,Sheet1!$A$2:$D$10,4,0)</f>
        <v>6</v>
      </c>
      <c r="L27" s="14" t="str">
        <f>VLOOKUP($C27,Sheet1!$A$2:$E$10,5,0)</f>
        <v>Bin</v>
      </c>
      <c r="M27" s="14">
        <f t="shared" si="3"/>
        <v>2</v>
      </c>
      <c r="N27" s="2"/>
      <c r="O27" s="2" t="s">
        <v>1001</v>
      </c>
      <c r="P27" s="2" t="s">
        <v>1502</v>
      </c>
    </row>
    <row r="28" spans="1:16" x14ac:dyDescent="0.25">
      <c r="A28" s="15" t="s">
        <v>1346</v>
      </c>
      <c r="B28" s="18" t="s">
        <v>1330</v>
      </c>
      <c r="C28" s="2" t="s">
        <v>32</v>
      </c>
      <c r="D28" s="2" t="str">
        <f>VLOOKUP($C28,Sheet1!$A$2:$B$10,2,0)</f>
        <v>114010-50820</v>
      </c>
      <c r="E28" s="8" t="s">
        <v>82</v>
      </c>
      <c r="F28" s="12">
        <v>46014</v>
      </c>
      <c r="G28" s="13">
        <v>0.39583333333333331</v>
      </c>
      <c r="H28" s="2" t="s">
        <v>76</v>
      </c>
      <c r="I28" s="2" t="s">
        <v>42</v>
      </c>
      <c r="J28" s="2">
        <v>5</v>
      </c>
      <c r="K28" s="14">
        <f>VLOOKUP($C28,Sheet1!$A$2:$D$10,4,0)</f>
        <v>1</v>
      </c>
      <c r="L28" s="14" t="str">
        <f>VLOOKUP($C28,Sheet1!$A$2:$E$10,5,0)</f>
        <v>Bin</v>
      </c>
      <c r="M28" s="14">
        <f t="shared" si="3"/>
        <v>5</v>
      </c>
      <c r="N28" s="2"/>
      <c r="O28" s="2" t="s">
        <v>1001</v>
      </c>
      <c r="P28" s="2" t="s">
        <v>171</v>
      </c>
    </row>
    <row r="29" spans="1:16" x14ac:dyDescent="0.25">
      <c r="A29" s="15" t="s">
        <v>1346</v>
      </c>
      <c r="B29" s="18" t="s">
        <v>1336</v>
      </c>
      <c r="C29" s="2" t="s">
        <v>29</v>
      </c>
      <c r="D29" s="2" t="str">
        <f>VLOOKUP($C29,Sheet1!$A$2:$B$10,2,0)</f>
        <v>114010-50830</v>
      </c>
      <c r="E29" s="8" t="s">
        <v>82</v>
      </c>
      <c r="F29" s="12">
        <v>46014</v>
      </c>
      <c r="G29" s="13">
        <v>0.39583333333333331</v>
      </c>
      <c r="H29" s="2" t="s">
        <v>76</v>
      </c>
      <c r="I29" s="2" t="s">
        <v>42</v>
      </c>
      <c r="J29" s="2">
        <v>8</v>
      </c>
      <c r="K29" s="14">
        <f>VLOOKUP($C29,Sheet1!$A$2:$D$10,4,0)</f>
        <v>1</v>
      </c>
      <c r="L29" s="14" t="str">
        <f>VLOOKUP($C29,Sheet1!$A$2:$E$10,5,0)</f>
        <v>Bin</v>
      </c>
      <c r="M29" s="14">
        <f t="shared" si="3"/>
        <v>8</v>
      </c>
      <c r="N29" s="2"/>
      <c r="O29" s="2" t="s">
        <v>1001</v>
      </c>
      <c r="P29" s="2" t="s">
        <v>1496</v>
      </c>
    </row>
    <row r="30" spans="1:16" s="11" customForma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>
        <v>117</v>
      </c>
      <c r="N30" s="10">
        <v>7</v>
      </c>
      <c r="O30" s="10"/>
      <c r="P30" s="10"/>
    </row>
    <row r="31" spans="1:16" x14ac:dyDescent="0.25">
      <c r="A31" s="15" t="s">
        <v>1347</v>
      </c>
      <c r="B31" s="18" t="s">
        <v>1291</v>
      </c>
      <c r="C31" s="2" t="s">
        <v>5</v>
      </c>
      <c r="D31" s="2" t="str">
        <f>VLOOKUP($C31,Sheet1!$A$2:$B$10,2,0)</f>
        <v>141110-14600</v>
      </c>
      <c r="E31" s="8" t="s">
        <v>40</v>
      </c>
      <c r="F31" s="12">
        <v>46014</v>
      </c>
      <c r="G31" s="13">
        <v>0.52083333333333337</v>
      </c>
      <c r="H31" s="2" t="s">
        <v>41</v>
      </c>
      <c r="I31" s="2" t="s">
        <v>42</v>
      </c>
      <c r="J31" s="2">
        <v>36</v>
      </c>
      <c r="K31" s="14">
        <f>VLOOKUP($C31,Sheet1!$A$2:$D$10,4,0)</f>
        <v>18</v>
      </c>
      <c r="L31" s="14" t="str">
        <f>VLOOKUP($C31,Sheet1!$A$2:$E$10,5,0)</f>
        <v>Trolley (H)</v>
      </c>
      <c r="M31" s="14"/>
      <c r="N31" s="51">
        <v>2</v>
      </c>
      <c r="O31" s="2" t="s">
        <v>113</v>
      </c>
      <c r="P31" s="2" t="s">
        <v>1503</v>
      </c>
    </row>
    <row r="32" spans="1:16" x14ac:dyDescent="0.25">
      <c r="A32" s="15" t="s">
        <v>1347</v>
      </c>
      <c r="B32" s="18" t="s">
        <v>1297</v>
      </c>
      <c r="C32" s="2" t="s">
        <v>9</v>
      </c>
      <c r="D32" s="2" t="str">
        <f>VLOOKUP($C32,Sheet1!$A$2:$B$10,2,0)</f>
        <v>141120-14600</v>
      </c>
      <c r="E32" s="8" t="s">
        <v>47</v>
      </c>
      <c r="F32" s="12">
        <v>46014</v>
      </c>
      <c r="G32" s="13">
        <v>0.52083333333333337</v>
      </c>
      <c r="H32" s="2" t="s">
        <v>41</v>
      </c>
      <c r="I32" s="2" t="s">
        <v>42</v>
      </c>
      <c r="J32" s="2">
        <v>36</v>
      </c>
      <c r="K32" s="14">
        <f>VLOOKUP($C32,Sheet1!$A$2:$D$10,4,0)</f>
        <v>18</v>
      </c>
      <c r="L32" s="14" t="str">
        <f>VLOOKUP($C32,Sheet1!$A$2:$E$10,5,0)</f>
        <v>Trolley (H)</v>
      </c>
      <c r="M32" s="14"/>
      <c r="N32" s="52"/>
      <c r="O32" s="2" t="s">
        <v>113</v>
      </c>
      <c r="P32" s="2" t="s">
        <v>1504</v>
      </c>
    </row>
    <row r="33" spans="1:16" x14ac:dyDescent="0.25">
      <c r="A33" s="15" t="s">
        <v>1347</v>
      </c>
      <c r="B33" s="18" t="s">
        <v>1302</v>
      </c>
      <c r="C33" s="2" t="s">
        <v>12</v>
      </c>
      <c r="D33" s="2" t="str">
        <f>VLOOKUP($C33,Sheet1!$A$2:$B$10,2,0)</f>
        <v>141185-74670</v>
      </c>
      <c r="E33" s="8" t="s">
        <v>52</v>
      </c>
      <c r="F33" s="12">
        <v>46014</v>
      </c>
      <c r="G33" s="13">
        <v>0.52083333333333337</v>
      </c>
      <c r="H33" s="2" t="s">
        <v>41</v>
      </c>
      <c r="I33" s="2" t="s">
        <v>42</v>
      </c>
      <c r="J33" s="2">
        <v>80</v>
      </c>
      <c r="K33" s="14">
        <f>VLOOKUP($C33,Sheet1!$A$2:$D$10,4,0)</f>
        <v>40</v>
      </c>
      <c r="L33" s="14" t="str">
        <f>VLOOKUP($C33,Sheet1!$A$2:$E$10,5,0)</f>
        <v>Trolley</v>
      </c>
      <c r="M33" s="14"/>
      <c r="N33" s="2">
        <f>J33/K33</f>
        <v>2</v>
      </c>
      <c r="O33" s="2" t="s">
        <v>113</v>
      </c>
      <c r="P33" s="2" t="s">
        <v>1501</v>
      </c>
    </row>
    <row r="34" spans="1:16" x14ac:dyDescent="0.25">
      <c r="A34" s="15" t="s">
        <v>1347</v>
      </c>
      <c r="B34" s="18" t="s">
        <v>1308</v>
      </c>
      <c r="C34" s="2" t="s">
        <v>16</v>
      </c>
      <c r="D34" s="2" t="str">
        <f>VLOOKUP($C34,Sheet1!$A$2:$B$10,2,0)</f>
        <v>141140-91211</v>
      </c>
      <c r="E34" s="8" t="s">
        <v>57</v>
      </c>
      <c r="F34" s="12">
        <v>46014</v>
      </c>
      <c r="G34" s="13">
        <v>0.52083333333333337</v>
      </c>
      <c r="H34" s="2" t="s">
        <v>58</v>
      </c>
      <c r="I34" s="2" t="s">
        <v>42</v>
      </c>
      <c r="J34" s="2">
        <v>40</v>
      </c>
      <c r="K34" s="14">
        <f>VLOOKUP($C34,Sheet1!$A$2:$D$10,4,0)</f>
        <v>2</v>
      </c>
      <c r="L34" s="14" t="str">
        <f>VLOOKUP($C34,Sheet1!$A$2:$E$10,5,0)</f>
        <v>Bin</v>
      </c>
      <c r="M34" s="14">
        <f t="shared" ref="M34:M35" si="4">J34/K34</f>
        <v>20</v>
      </c>
      <c r="N34" s="2"/>
      <c r="O34" s="2" t="s">
        <v>113</v>
      </c>
      <c r="P34" s="2" t="s">
        <v>1123</v>
      </c>
    </row>
    <row r="35" spans="1:16" x14ac:dyDescent="0.25">
      <c r="A35" s="15" t="s">
        <v>1347</v>
      </c>
      <c r="B35" s="18" t="s">
        <v>1314</v>
      </c>
      <c r="C35" s="2" t="s">
        <v>20</v>
      </c>
      <c r="D35" s="2" t="str">
        <f>VLOOKUP($C35,Sheet1!$A$2:$B$10,2,0)</f>
        <v>141150-91211</v>
      </c>
      <c r="E35" s="8" t="s">
        <v>64</v>
      </c>
      <c r="F35" s="12">
        <v>46014</v>
      </c>
      <c r="G35" s="13">
        <v>0.52083333333333337</v>
      </c>
      <c r="H35" s="2" t="s">
        <v>58</v>
      </c>
      <c r="I35" s="2" t="s">
        <v>42</v>
      </c>
      <c r="J35" s="2">
        <v>40</v>
      </c>
      <c r="K35" s="14">
        <f>VLOOKUP($C35,Sheet1!$A$2:$D$10,4,0)</f>
        <v>2</v>
      </c>
      <c r="L35" s="14" t="str">
        <f>VLOOKUP($C35,Sheet1!$A$2:$E$10,5,0)</f>
        <v>Bin</v>
      </c>
      <c r="M35" s="14">
        <f t="shared" si="4"/>
        <v>20</v>
      </c>
      <c r="N35" s="2"/>
      <c r="O35" s="2" t="s">
        <v>113</v>
      </c>
      <c r="P35" s="2" t="s">
        <v>1496</v>
      </c>
    </row>
    <row r="36" spans="1:16" x14ac:dyDescent="0.25">
      <c r="A36" s="15" t="s">
        <v>1347</v>
      </c>
      <c r="B36" s="18" t="s">
        <v>1319</v>
      </c>
      <c r="C36" s="2" t="s">
        <v>23</v>
      </c>
      <c r="D36" s="2" t="str">
        <f>VLOOKUP($C36,Sheet1!$A$2:$B$10,2,0)</f>
        <v>141186-74360</v>
      </c>
      <c r="E36" s="8" t="s">
        <v>70</v>
      </c>
      <c r="F36" s="12">
        <v>46014</v>
      </c>
      <c r="G36" s="13">
        <v>0.52083333333333337</v>
      </c>
      <c r="H36" s="2" t="s">
        <v>58</v>
      </c>
      <c r="I36" s="2" t="s">
        <v>42</v>
      </c>
      <c r="J36" s="2">
        <v>80</v>
      </c>
      <c r="K36" s="14">
        <f>VLOOKUP($C36,Sheet1!$A$2:$D$10,4,0)</f>
        <v>40</v>
      </c>
      <c r="L36" s="14" t="str">
        <f>VLOOKUP($C36,Sheet1!$A$2:$E$10,5,0)</f>
        <v>Trolley</v>
      </c>
      <c r="M36" s="14"/>
      <c r="N36" s="2">
        <f>J36/K36</f>
        <v>2</v>
      </c>
      <c r="O36" s="2" t="s">
        <v>113</v>
      </c>
      <c r="P36" s="2" t="s">
        <v>1505</v>
      </c>
    </row>
    <row r="37" spans="1:16" x14ac:dyDescent="0.25">
      <c r="A37" s="15" t="s">
        <v>1348</v>
      </c>
      <c r="B37" s="18" t="s">
        <v>1325</v>
      </c>
      <c r="C37" s="2" t="s">
        <v>26</v>
      </c>
      <c r="D37" s="2" t="str">
        <f>VLOOKUP($C37,Sheet1!$A$2:$B$10,2,0)</f>
        <v>116040-92240</v>
      </c>
      <c r="E37" s="8" t="s">
        <v>75</v>
      </c>
      <c r="F37" s="12">
        <v>46014</v>
      </c>
      <c r="G37" s="13">
        <v>0.52083333333333337</v>
      </c>
      <c r="H37" s="2" t="s">
        <v>76</v>
      </c>
      <c r="I37" s="2" t="s">
        <v>42</v>
      </c>
      <c r="J37" s="2">
        <v>42</v>
      </c>
      <c r="K37" s="14">
        <f>VLOOKUP($C37,Sheet1!$A$2:$D$10,4,0)</f>
        <v>6</v>
      </c>
      <c r="L37" s="14" t="str">
        <f>VLOOKUP($C37,Sheet1!$A$2:$E$10,5,0)</f>
        <v>Bin</v>
      </c>
      <c r="M37" s="14">
        <f t="shared" ref="M37:M39" si="5">J37/K37</f>
        <v>7</v>
      </c>
      <c r="N37" s="2"/>
      <c r="O37" s="2" t="s">
        <v>113</v>
      </c>
      <c r="P37" s="2" t="s">
        <v>1502</v>
      </c>
    </row>
    <row r="38" spans="1:16" x14ac:dyDescent="0.25">
      <c r="A38" s="15" t="s">
        <v>1348</v>
      </c>
      <c r="B38" s="18" t="s">
        <v>1331</v>
      </c>
      <c r="C38" s="2" t="s">
        <v>32</v>
      </c>
      <c r="D38" s="2" t="str">
        <f>VLOOKUP($C38,Sheet1!$A$2:$B$10,2,0)</f>
        <v>114010-50820</v>
      </c>
      <c r="E38" s="8" t="s">
        <v>82</v>
      </c>
      <c r="F38" s="12">
        <v>46014</v>
      </c>
      <c r="G38" s="13">
        <v>0.52083333333333337</v>
      </c>
      <c r="H38" s="2" t="s">
        <v>76</v>
      </c>
      <c r="I38" s="2" t="s">
        <v>42</v>
      </c>
      <c r="J38" s="2">
        <v>13</v>
      </c>
      <c r="K38" s="14">
        <f>VLOOKUP($C38,Sheet1!$A$2:$D$10,4,0)</f>
        <v>1</v>
      </c>
      <c r="L38" s="14" t="str">
        <f>VLOOKUP($C38,Sheet1!$A$2:$E$10,5,0)</f>
        <v>Bin</v>
      </c>
      <c r="M38" s="14">
        <f t="shared" si="5"/>
        <v>13</v>
      </c>
      <c r="N38" s="2"/>
      <c r="O38" s="2" t="s">
        <v>113</v>
      </c>
      <c r="P38" s="2" t="s">
        <v>1506</v>
      </c>
    </row>
    <row r="39" spans="1:16" x14ac:dyDescent="0.25">
      <c r="A39" s="15" t="s">
        <v>1348</v>
      </c>
      <c r="B39" s="18" t="s">
        <v>1337</v>
      </c>
      <c r="C39" s="2" t="s">
        <v>29</v>
      </c>
      <c r="D39" s="2" t="str">
        <f>VLOOKUP($C39,Sheet1!$A$2:$B$10,2,0)</f>
        <v>114010-50830</v>
      </c>
      <c r="E39" s="8" t="s">
        <v>82</v>
      </c>
      <c r="F39" s="12">
        <v>46014</v>
      </c>
      <c r="G39" s="13">
        <v>0.52083333333333337</v>
      </c>
      <c r="H39" s="2" t="s">
        <v>76</v>
      </c>
      <c r="I39" s="2" t="s">
        <v>42</v>
      </c>
      <c r="J39" s="2">
        <v>27</v>
      </c>
      <c r="K39" s="14">
        <f>VLOOKUP($C39,Sheet1!$A$2:$D$10,4,0)</f>
        <v>1</v>
      </c>
      <c r="L39" s="14" t="str">
        <f>VLOOKUP($C39,Sheet1!$A$2:$E$10,5,0)</f>
        <v>Bin</v>
      </c>
      <c r="M39" s="14">
        <f t="shared" si="5"/>
        <v>27</v>
      </c>
      <c r="N39" s="2"/>
      <c r="O39" s="2" t="s">
        <v>113</v>
      </c>
      <c r="P39" s="2" t="s">
        <v>1496</v>
      </c>
    </row>
    <row r="40" spans="1:16" s="11" customForma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>
        <v>87</v>
      </c>
      <c r="N40" s="10">
        <v>6</v>
      </c>
      <c r="O40" s="10"/>
      <c r="P40" s="10"/>
    </row>
    <row r="41" spans="1:16" x14ac:dyDescent="0.25">
      <c r="A41" s="15" t="s">
        <v>1349</v>
      </c>
      <c r="B41" s="18" t="s">
        <v>1292</v>
      </c>
      <c r="C41" s="2" t="s">
        <v>5</v>
      </c>
      <c r="D41" s="2" t="str">
        <f>VLOOKUP($C41,Sheet1!$A$2:$B$10,2,0)</f>
        <v>141110-14600</v>
      </c>
      <c r="E41" s="8" t="s">
        <v>40</v>
      </c>
      <c r="F41" s="12">
        <v>46014</v>
      </c>
      <c r="G41" s="13">
        <v>0.64583333333333337</v>
      </c>
      <c r="H41" s="2" t="s">
        <v>41</v>
      </c>
      <c r="I41" s="2" t="s">
        <v>42</v>
      </c>
      <c r="J41" s="2">
        <v>36</v>
      </c>
      <c r="K41" s="14">
        <f>VLOOKUP($C41,Sheet1!$A$2:$D$10,4,0)</f>
        <v>18</v>
      </c>
      <c r="L41" s="14" t="str">
        <f>VLOOKUP($C41,Sheet1!$A$2:$E$10,5,0)</f>
        <v>Trolley (H)</v>
      </c>
      <c r="M41" s="14"/>
      <c r="N41" s="51">
        <v>2</v>
      </c>
      <c r="O41" s="2" t="s">
        <v>112</v>
      </c>
      <c r="P41" s="2" t="s">
        <v>1507</v>
      </c>
    </row>
    <row r="42" spans="1:16" x14ac:dyDescent="0.25">
      <c r="A42" s="15" t="s">
        <v>1349</v>
      </c>
      <c r="B42" s="18" t="s">
        <v>1298</v>
      </c>
      <c r="C42" s="2" t="s">
        <v>9</v>
      </c>
      <c r="D42" s="2" t="str">
        <f>VLOOKUP($C42,Sheet1!$A$2:$B$10,2,0)</f>
        <v>141120-14600</v>
      </c>
      <c r="E42" s="8" t="s">
        <v>47</v>
      </c>
      <c r="F42" s="12">
        <v>46014</v>
      </c>
      <c r="G42" s="13">
        <v>0.64583333333333337</v>
      </c>
      <c r="H42" s="2" t="s">
        <v>41</v>
      </c>
      <c r="I42" s="2" t="s">
        <v>42</v>
      </c>
      <c r="J42" s="2">
        <v>36</v>
      </c>
      <c r="K42" s="14">
        <f>VLOOKUP($C42,Sheet1!$A$2:$D$10,4,0)</f>
        <v>18</v>
      </c>
      <c r="L42" s="14" t="str">
        <f>VLOOKUP($C42,Sheet1!$A$2:$E$10,5,0)</f>
        <v>Trolley (H)</v>
      </c>
      <c r="M42" s="14"/>
      <c r="N42" s="52"/>
      <c r="O42" s="2" t="s">
        <v>112</v>
      </c>
      <c r="P42" s="2" t="s">
        <v>1507</v>
      </c>
    </row>
    <row r="43" spans="1:16" x14ac:dyDescent="0.25">
      <c r="A43" s="15" t="s">
        <v>1349</v>
      </c>
      <c r="B43" s="18" t="s">
        <v>1303</v>
      </c>
      <c r="C43" s="2" t="s">
        <v>12</v>
      </c>
      <c r="D43" s="2" t="str">
        <f>VLOOKUP($C43,Sheet1!$A$2:$B$10,2,0)</f>
        <v>141185-74670</v>
      </c>
      <c r="E43" s="8" t="s">
        <v>52</v>
      </c>
      <c r="F43" s="12">
        <v>46014</v>
      </c>
      <c r="G43" s="13">
        <v>0.64583333333333337</v>
      </c>
      <c r="H43" s="2" t="s">
        <v>41</v>
      </c>
      <c r="I43" s="2" t="s">
        <v>42</v>
      </c>
      <c r="J43" s="2">
        <v>80</v>
      </c>
      <c r="K43" s="14">
        <f>VLOOKUP($C43,Sheet1!$A$2:$D$10,4,0)</f>
        <v>40</v>
      </c>
      <c r="L43" s="14" t="str">
        <f>VLOOKUP($C43,Sheet1!$A$2:$E$10,5,0)</f>
        <v>Trolley</v>
      </c>
      <c r="M43" s="14"/>
      <c r="N43" s="2">
        <f>J43/K43</f>
        <v>2</v>
      </c>
      <c r="O43" s="2" t="s">
        <v>112</v>
      </c>
      <c r="P43" s="2" t="s">
        <v>1501</v>
      </c>
    </row>
    <row r="44" spans="1:16" x14ac:dyDescent="0.25">
      <c r="A44" s="15" t="s">
        <v>1349</v>
      </c>
      <c r="B44" s="18" t="s">
        <v>1309</v>
      </c>
      <c r="C44" s="2" t="s">
        <v>16</v>
      </c>
      <c r="D44" s="2" t="str">
        <f>VLOOKUP($C44,Sheet1!$A$2:$B$10,2,0)</f>
        <v>141140-91211</v>
      </c>
      <c r="E44" s="8" t="s">
        <v>57</v>
      </c>
      <c r="F44" s="12">
        <v>46014</v>
      </c>
      <c r="G44" s="13">
        <v>0.64583333333333337</v>
      </c>
      <c r="H44" s="2" t="s">
        <v>58</v>
      </c>
      <c r="I44" s="2" t="s">
        <v>42</v>
      </c>
      <c r="J44" s="2">
        <v>40</v>
      </c>
      <c r="K44" s="14">
        <f>VLOOKUP($C44,Sheet1!$A$2:$D$10,4,0)</f>
        <v>2</v>
      </c>
      <c r="L44" s="14" t="str">
        <f>VLOOKUP($C44,Sheet1!$A$2:$E$10,5,0)</f>
        <v>Bin</v>
      </c>
      <c r="M44" s="14">
        <f t="shared" ref="M44:M45" si="6">J44/K44</f>
        <v>20</v>
      </c>
      <c r="N44" s="2"/>
      <c r="O44" s="2" t="s">
        <v>112</v>
      </c>
      <c r="P44" s="2" t="s">
        <v>1123</v>
      </c>
    </row>
    <row r="45" spans="1:16" x14ac:dyDescent="0.25">
      <c r="A45" s="15" t="s">
        <v>1349</v>
      </c>
      <c r="B45" s="18" t="s">
        <v>1315</v>
      </c>
      <c r="C45" s="2" t="s">
        <v>20</v>
      </c>
      <c r="D45" s="2" t="str">
        <f>VLOOKUP($C45,Sheet1!$A$2:$B$10,2,0)</f>
        <v>141150-91211</v>
      </c>
      <c r="E45" s="8" t="s">
        <v>64</v>
      </c>
      <c r="F45" s="12">
        <v>46014</v>
      </c>
      <c r="G45" s="13">
        <v>0.64583333333333337</v>
      </c>
      <c r="H45" s="2" t="s">
        <v>58</v>
      </c>
      <c r="I45" s="2" t="s">
        <v>42</v>
      </c>
      <c r="J45" s="2">
        <v>40</v>
      </c>
      <c r="K45" s="14">
        <f>VLOOKUP($C45,Sheet1!$A$2:$D$10,4,0)</f>
        <v>2</v>
      </c>
      <c r="L45" s="14" t="str">
        <f>VLOOKUP($C45,Sheet1!$A$2:$E$10,5,0)</f>
        <v>Bin</v>
      </c>
      <c r="M45" s="14">
        <f t="shared" si="6"/>
        <v>20</v>
      </c>
      <c r="N45" s="2"/>
      <c r="O45" s="2" t="s">
        <v>112</v>
      </c>
      <c r="P45" s="2" t="s">
        <v>1496</v>
      </c>
    </row>
    <row r="46" spans="1:16" x14ac:dyDescent="0.25">
      <c r="A46" s="15" t="s">
        <v>1349</v>
      </c>
      <c r="B46" s="18" t="s">
        <v>1320</v>
      </c>
      <c r="C46" s="2" t="s">
        <v>23</v>
      </c>
      <c r="D46" s="2" t="str">
        <f>VLOOKUP($C46,Sheet1!$A$2:$B$10,2,0)</f>
        <v>141186-74360</v>
      </c>
      <c r="E46" s="8" t="s">
        <v>70</v>
      </c>
      <c r="F46" s="12">
        <v>46014</v>
      </c>
      <c r="G46" s="13">
        <v>0.64583333333333337</v>
      </c>
      <c r="H46" s="2" t="s">
        <v>58</v>
      </c>
      <c r="I46" s="2" t="s">
        <v>42</v>
      </c>
      <c r="J46" s="2">
        <v>80</v>
      </c>
      <c r="K46" s="14">
        <f>VLOOKUP($C46,Sheet1!$A$2:$D$10,4,0)</f>
        <v>40</v>
      </c>
      <c r="L46" s="14" t="str">
        <f>VLOOKUP($C46,Sheet1!$A$2:$E$10,5,0)</f>
        <v>Trolley</v>
      </c>
      <c r="M46" s="14"/>
      <c r="N46" s="2">
        <f>J46/K46</f>
        <v>2</v>
      </c>
      <c r="O46" s="2" t="s">
        <v>112</v>
      </c>
      <c r="P46" s="2" t="s">
        <v>1505</v>
      </c>
    </row>
    <row r="47" spans="1:16" x14ac:dyDescent="0.25">
      <c r="A47" s="15" t="s">
        <v>1350</v>
      </c>
      <c r="B47" s="18" t="s">
        <v>1326</v>
      </c>
      <c r="C47" s="2" t="s">
        <v>26</v>
      </c>
      <c r="D47" s="2" t="str">
        <f>VLOOKUP($C47,Sheet1!$A$2:$B$10,2,0)</f>
        <v>116040-92240</v>
      </c>
      <c r="E47" s="8" t="s">
        <v>75</v>
      </c>
      <c r="F47" s="12">
        <v>46014</v>
      </c>
      <c r="G47" s="13">
        <v>0.64583333333333337</v>
      </c>
      <c r="H47" s="2" t="s">
        <v>76</v>
      </c>
      <c r="I47" s="2" t="s">
        <v>42</v>
      </c>
      <c r="J47" s="2">
        <v>36</v>
      </c>
      <c r="K47" s="14">
        <f>VLOOKUP($C47,Sheet1!$A$2:$D$10,4,0)</f>
        <v>6</v>
      </c>
      <c r="L47" s="14" t="str">
        <f>VLOOKUP($C47,Sheet1!$A$2:$E$10,5,0)</f>
        <v>Bin</v>
      </c>
      <c r="M47" s="14">
        <f t="shared" ref="M47:M49" si="7">J47/K47</f>
        <v>6</v>
      </c>
      <c r="N47" s="2"/>
      <c r="O47" s="2" t="s">
        <v>112</v>
      </c>
      <c r="P47" s="2" t="s">
        <v>1502</v>
      </c>
    </row>
    <row r="48" spans="1:16" x14ac:dyDescent="0.25">
      <c r="A48" s="15" t="s">
        <v>1350</v>
      </c>
      <c r="B48" s="18" t="s">
        <v>1332</v>
      </c>
      <c r="C48" s="2" t="s">
        <v>32</v>
      </c>
      <c r="D48" s="2" t="str">
        <f>VLOOKUP($C48,Sheet1!$A$2:$B$10,2,0)</f>
        <v>114010-50820</v>
      </c>
      <c r="E48" s="8" t="s">
        <v>82</v>
      </c>
      <c r="F48" s="12">
        <v>46014</v>
      </c>
      <c r="G48" s="13">
        <v>0.64583333333333337</v>
      </c>
      <c r="H48" s="2" t="s">
        <v>76</v>
      </c>
      <c r="I48" s="2" t="s">
        <v>42</v>
      </c>
      <c r="J48" s="2">
        <v>12</v>
      </c>
      <c r="K48" s="14">
        <f>VLOOKUP($C48,Sheet1!$A$2:$D$10,4,0)</f>
        <v>1</v>
      </c>
      <c r="L48" s="14" t="str">
        <f>VLOOKUP($C48,Sheet1!$A$2:$E$10,5,0)</f>
        <v>Bin</v>
      </c>
      <c r="M48" s="14">
        <f t="shared" si="7"/>
        <v>12</v>
      </c>
      <c r="N48" s="2"/>
      <c r="O48" s="2" t="s">
        <v>112</v>
      </c>
      <c r="P48" s="2" t="s">
        <v>171</v>
      </c>
    </row>
    <row r="49" spans="1:16" x14ac:dyDescent="0.25">
      <c r="A49" s="15" t="s">
        <v>1350</v>
      </c>
      <c r="B49" s="18" t="s">
        <v>1338</v>
      </c>
      <c r="C49" s="2" t="s">
        <v>29</v>
      </c>
      <c r="D49" s="2" t="str">
        <f>VLOOKUP($C49,Sheet1!$A$2:$B$10,2,0)</f>
        <v>114010-50830</v>
      </c>
      <c r="E49" s="8" t="s">
        <v>82</v>
      </c>
      <c r="F49" s="12">
        <v>46014</v>
      </c>
      <c r="G49" s="13">
        <v>0.64583333333333337</v>
      </c>
      <c r="H49" s="2" t="s">
        <v>76</v>
      </c>
      <c r="I49" s="2" t="s">
        <v>42</v>
      </c>
      <c r="J49" s="2">
        <v>23</v>
      </c>
      <c r="K49" s="14">
        <f>VLOOKUP($C49,Sheet1!$A$2:$D$10,4,0)</f>
        <v>1</v>
      </c>
      <c r="L49" s="14" t="str">
        <f>VLOOKUP($C49,Sheet1!$A$2:$E$10,5,0)</f>
        <v>Bin</v>
      </c>
      <c r="M49" s="14">
        <f t="shared" si="7"/>
        <v>23</v>
      </c>
      <c r="N49" s="2"/>
      <c r="O49" s="2" t="s">
        <v>112</v>
      </c>
      <c r="P49" s="2" t="s">
        <v>1496</v>
      </c>
    </row>
    <row r="50" spans="1:16" s="11" customForma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>
        <v>81</v>
      </c>
      <c r="N50" s="10">
        <v>6</v>
      </c>
      <c r="O50" s="10"/>
      <c r="P50" s="10"/>
    </row>
    <row r="51" spans="1:16" x14ac:dyDescent="0.25">
      <c r="A51" s="15" t="s">
        <v>1351</v>
      </c>
      <c r="B51" s="18" t="s">
        <v>1293</v>
      </c>
      <c r="C51" s="2" t="s">
        <v>5</v>
      </c>
      <c r="D51" s="2" t="str">
        <f>VLOOKUP($C51,Sheet1!$A$2:$B$10,2,0)</f>
        <v>141110-14600</v>
      </c>
      <c r="E51" s="8" t="s">
        <v>40</v>
      </c>
      <c r="F51" s="12">
        <v>46014</v>
      </c>
      <c r="G51" s="13">
        <v>0.8125</v>
      </c>
      <c r="H51" s="2" t="s">
        <v>41</v>
      </c>
      <c r="I51" s="2" t="s">
        <v>42</v>
      </c>
      <c r="J51" s="2">
        <v>36</v>
      </c>
      <c r="K51" s="14">
        <f>VLOOKUP($C51,Sheet1!$A$2:$D$10,4,0)</f>
        <v>18</v>
      </c>
      <c r="L51" s="14" t="str">
        <f>VLOOKUP($C51,Sheet1!$A$2:$E$10,5,0)</f>
        <v>Trolley (H)</v>
      </c>
      <c r="M51" s="14"/>
      <c r="N51" s="51">
        <v>2</v>
      </c>
      <c r="O51" s="2" t="s">
        <v>1202</v>
      </c>
      <c r="P51" s="2" t="s">
        <v>1510</v>
      </c>
    </row>
    <row r="52" spans="1:16" x14ac:dyDescent="0.25">
      <c r="A52" s="15" t="s">
        <v>1351</v>
      </c>
      <c r="B52" s="18" t="s">
        <v>1299</v>
      </c>
      <c r="C52" s="2" t="s">
        <v>9</v>
      </c>
      <c r="D52" s="2" t="str">
        <f>VLOOKUP($C52,Sheet1!$A$2:$B$10,2,0)</f>
        <v>141120-14600</v>
      </c>
      <c r="E52" s="8" t="s">
        <v>47</v>
      </c>
      <c r="F52" s="12">
        <v>46014</v>
      </c>
      <c r="G52" s="13">
        <v>0.8125</v>
      </c>
      <c r="H52" s="2" t="s">
        <v>41</v>
      </c>
      <c r="I52" s="2" t="s">
        <v>42</v>
      </c>
      <c r="J52" s="2">
        <v>36</v>
      </c>
      <c r="K52" s="14">
        <f>VLOOKUP($C52,Sheet1!$A$2:$D$10,4,0)</f>
        <v>18</v>
      </c>
      <c r="L52" s="14" t="str">
        <f>VLOOKUP($C52,Sheet1!$A$2:$E$10,5,0)</f>
        <v>Trolley (H)</v>
      </c>
      <c r="M52" s="14"/>
      <c r="N52" s="52"/>
      <c r="O52" s="2" t="s">
        <v>1202</v>
      </c>
      <c r="P52" s="2" t="s">
        <v>1507</v>
      </c>
    </row>
    <row r="53" spans="1:16" x14ac:dyDescent="0.25">
      <c r="A53" s="15" t="s">
        <v>1351</v>
      </c>
      <c r="B53" s="18" t="s">
        <v>1304</v>
      </c>
      <c r="C53" s="2" t="s">
        <v>12</v>
      </c>
      <c r="D53" s="2" t="str">
        <f>VLOOKUP($C53,Sheet1!$A$2:$B$10,2,0)</f>
        <v>141185-74670</v>
      </c>
      <c r="E53" s="8" t="s">
        <v>52</v>
      </c>
      <c r="F53" s="12">
        <v>46014</v>
      </c>
      <c r="G53" s="13">
        <v>0.8125</v>
      </c>
      <c r="H53" s="2" t="s">
        <v>41</v>
      </c>
      <c r="I53" s="2" t="s">
        <v>42</v>
      </c>
      <c r="J53" s="2">
        <v>80</v>
      </c>
      <c r="K53" s="14">
        <f>VLOOKUP($C53,Sheet1!$A$2:$D$10,4,0)</f>
        <v>40</v>
      </c>
      <c r="L53" s="14" t="str">
        <f>VLOOKUP($C53,Sheet1!$A$2:$E$10,5,0)</f>
        <v>Trolley</v>
      </c>
      <c r="M53" s="14"/>
      <c r="N53" s="2">
        <f>J53/K53</f>
        <v>2</v>
      </c>
      <c r="O53" s="2" t="s">
        <v>1202</v>
      </c>
      <c r="P53" s="2" t="s">
        <v>1501</v>
      </c>
    </row>
    <row r="54" spans="1:16" x14ac:dyDescent="0.25">
      <c r="A54" s="15" t="s">
        <v>1351</v>
      </c>
      <c r="B54" s="18" t="s">
        <v>1310</v>
      </c>
      <c r="C54" s="2" t="s">
        <v>16</v>
      </c>
      <c r="D54" s="2" t="str">
        <f>VLOOKUP($C54,Sheet1!$A$2:$B$10,2,0)</f>
        <v>141140-91211</v>
      </c>
      <c r="E54" s="8" t="s">
        <v>57</v>
      </c>
      <c r="F54" s="12">
        <v>46014</v>
      </c>
      <c r="G54" s="13">
        <v>0.8125</v>
      </c>
      <c r="H54" s="2" t="s">
        <v>58</v>
      </c>
      <c r="I54" s="2" t="s">
        <v>42</v>
      </c>
      <c r="J54" s="2">
        <v>30</v>
      </c>
      <c r="K54" s="14">
        <f>VLOOKUP($C54,Sheet1!$A$2:$D$10,4,0)</f>
        <v>2</v>
      </c>
      <c r="L54" s="14" t="str">
        <f>VLOOKUP($C54,Sheet1!$A$2:$E$10,5,0)</f>
        <v>Bin</v>
      </c>
      <c r="M54" s="14">
        <f t="shared" ref="M54:M55" si="8">J54/K54</f>
        <v>15</v>
      </c>
      <c r="N54" s="2"/>
      <c r="O54" s="2" t="s">
        <v>1202</v>
      </c>
      <c r="P54" s="2" t="s">
        <v>1123</v>
      </c>
    </row>
    <row r="55" spans="1:16" x14ac:dyDescent="0.25">
      <c r="A55" s="15" t="s">
        <v>1351</v>
      </c>
      <c r="B55" s="18" t="s">
        <v>1316</v>
      </c>
      <c r="C55" s="2" t="s">
        <v>20</v>
      </c>
      <c r="D55" s="2" t="str">
        <f>VLOOKUP($C55,Sheet1!$A$2:$B$10,2,0)</f>
        <v>141150-91211</v>
      </c>
      <c r="E55" s="8" t="s">
        <v>64</v>
      </c>
      <c r="F55" s="12">
        <v>46014</v>
      </c>
      <c r="G55" s="13">
        <v>0.8125</v>
      </c>
      <c r="H55" s="2" t="s">
        <v>58</v>
      </c>
      <c r="I55" s="2" t="s">
        <v>42</v>
      </c>
      <c r="J55" s="2">
        <v>28</v>
      </c>
      <c r="K55" s="14">
        <f>VLOOKUP($C55,Sheet1!$A$2:$D$10,4,0)</f>
        <v>2</v>
      </c>
      <c r="L55" s="14" t="str">
        <f>VLOOKUP($C55,Sheet1!$A$2:$E$10,5,0)</f>
        <v>Bin</v>
      </c>
      <c r="M55" s="14">
        <f t="shared" si="8"/>
        <v>14</v>
      </c>
      <c r="N55" s="2"/>
      <c r="O55" s="2" t="s">
        <v>1202</v>
      </c>
      <c r="P55" s="2" t="s">
        <v>1496</v>
      </c>
    </row>
    <row r="56" spans="1:16" x14ac:dyDescent="0.25">
      <c r="A56" s="15" t="s">
        <v>1351</v>
      </c>
      <c r="B56" s="18" t="s">
        <v>1321</v>
      </c>
      <c r="C56" s="2" t="s">
        <v>23</v>
      </c>
      <c r="D56" s="2" t="str">
        <f>VLOOKUP($C56,Sheet1!$A$2:$B$10,2,0)</f>
        <v>141186-74360</v>
      </c>
      <c r="E56" s="8" t="s">
        <v>70</v>
      </c>
      <c r="F56" s="12">
        <v>46014</v>
      </c>
      <c r="G56" s="13">
        <v>0.8125</v>
      </c>
      <c r="H56" s="2" t="s">
        <v>58</v>
      </c>
      <c r="I56" s="2" t="s">
        <v>42</v>
      </c>
      <c r="J56" s="2">
        <v>40</v>
      </c>
      <c r="K56" s="14">
        <f>VLOOKUP($C56,Sheet1!$A$2:$D$10,4,0)</f>
        <v>40</v>
      </c>
      <c r="L56" s="14" t="str">
        <f>VLOOKUP($C56,Sheet1!$A$2:$E$10,5,0)</f>
        <v>Trolley</v>
      </c>
      <c r="M56" s="14"/>
      <c r="N56" s="2">
        <f>J56/K56</f>
        <v>1</v>
      </c>
      <c r="O56" s="2" t="s">
        <v>1202</v>
      </c>
      <c r="P56" s="2" t="s">
        <v>1508</v>
      </c>
    </row>
    <row r="57" spans="1:16" x14ac:dyDescent="0.25">
      <c r="A57" s="15" t="s">
        <v>1352</v>
      </c>
      <c r="B57" s="18" t="s">
        <v>1327</v>
      </c>
      <c r="C57" s="2" t="s">
        <v>26</v>
      </c>
      <c r="D57" s="2" t="str">
        <f>VLOOKUP($C57,Sheet1!$A$2:$B$10,2,0)</f>
        <v>116040-92240</v>
      </c>
      <c r="E57" s="8" t="s">
        <v>75</v>
      </c>
      <c r="F57" s="12">
        <v>46014</v>
      </c>
      <c r="G57" s="13">
        <v>0.8125</v>
      </c>
      <c r="H57" s="2" t="s">
        <v>76</v>
      </c>
      <c r="I57" s="2" t="s">
        <v>42</v>
      </c>
      <c r="J57" s="2">
        <v>30</v>
      </c>
      <c r="K57" s="14">
        <f>VLOOKUP($C57,Sheet1!$A$2:$D$10,4,0)</f>
        <v>6</v>
      </c>
      <c r="L57" s="14" t="str">
        <f>VLOOKUP($C57,Sheet1!$A$2:$E$10,5,0)</f>
        <v>Bin</v>
      </c>
      <c r="M57" s="14">
        <f t="shared" ref="M57:M59" si="9">J57/K57</f>
        <v>5</v>
      </c>
      <c r="N57" s="2"/>
      <c r="O57" s="2" t="s">
        <v>1202</v>
      </c>
      <c r="P57" s="2" t="s">
        <v>1502</v>
      </c>
    </row>
    <row r="58" spans="1:16" x14ac:dyDescent="0.25">
      <c r="A58" s="15" t="s">
        <v>1352</v>
      </c>
      <c r="B58" s="18" t="s">
        <v>1333</v>
      </c>
      <c r="C58" s="2" t="s">
        <v>32</v>
      </c>
      <c r="D58" s="2" t="str">
        <f>VLOOKUP($C58,Sheet1!$A$2:$B$10,2,0)</f>
        <v>114010-50820</v>
      </c>
      <c r="E58" s="8" t="s">
        <v>82</v>
      </c>
      <c r="F58" s="12">
        <v>46014</v>
      </c>
      <c r="G58" s="13">
        <v>0.8125</v>
      </c>
      <c r="H58" s="2" t="s">
        <v>76</v>
      </c>
      <c r="I58" s="2" t="s">
        <v>42</v>
      </c>
      <c r="J58" s="2">
        <v>7</v>
      </c>
      <c r="K58" s="14">
        <f>VLOOKUP($C58,Sheet1!$A$2:$D$10,4,0)</f>
        <v>1</v>
      </c>
      <c r="L58" s="14" t="str">
        <f>VLOOKUP($C58,Sheet1!$A$2:$E$10,5,0)</f>
        <v>Bin</v>
      </c>
      <c r="M58" s="14">
        <f t="shared" si="9"/>
        <v>7</v>
      </c>
      <c r="N58" s="2"/>
      <c r="O58" s="2" t="s">
        <v>1202</v>
      </c>
      <c r="P58" s="2" t="s">
        <v>171</v>
      </c>
    </row>
    <row r="59" spans="1:16" x14ac:dyDescent="0.25">
      <c r="A59" s="15" t="s">
        <v>1352</v>
      </c>
      <c r="B59" s="18" t="s">
        <v>1339</v>
      </c>
      <c r="C59" s="2" t="s">
        <v>29</v>
      </c>
      <c r="D59" s="2" t="str">
        <f>VLOOKUP($C59,Sheet1!$A$2:$B$10,2,0)</f>
        <v>114010-50830</v>
      </c>
      <c r="E59" s="8" t="s">
        <v>82</v>
      </c>
      <c r="F59" s="12">
        <v>46014</v>
      </c>
      <c r="G59" s="13">
        <v>0.8125</v>
      </c>
      <c r="H59" s="2" t="s">
        <v>76</v>
      </c>
      <c r="I59" s="2" t="s">
        <v>42</v>
      </c>
      <c r="J59" s="2">
        <v>17</v>
      </c>
      <c r="K59" s="14">
        <f>VLOOKUP($C59,Sheet1!$A$2:$D$10,4,0)</f>
        <v>1</v>
      </c>
      <c r="L59" s="14" t="str">
        <f>VLOOKUP($C59,Sheet1!$A$2:$E$10,5,0)</f>
        <v>Bin</v>
      </c>
      <c r="M59" s="14">
        <f t="shared" si="9"/>
        <v>17</v>
      </c>
      <c r="N59" s="2"/>
      <c r="O59" s="2" t="s">
        <v>1202</v>
      </c>
      <c r="P59" s="2" t="s">
        <v>1496</v>
      </c>
    </row>
    <row r="60" spans="1:16" s="11" customForma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>
        <v>58</v>
      </c>
      <c r="N60" s="10">
        <v>5</v>
      </c>
      <c r="O60" s="10"/>
      <c r="P60" s="10"/>
    </row>
    <row r="61" spans="1:16" x14ac:dyDescent="0.25">
      <c r="A61" s="2"/>
      <c r="B61" s="2" t="s">
        <v>1340</v>
      </c>
      <c r="C61" s="2"/>
      <c r="D61" s="2"/>
      <c r="E61" s="8"/>
      <c r="F61" s="12"/>
      <c r="G61" s="13"/>
      <c r="H61" s="2"/>
      <c r="I61" s="2"/>
      <c r="J61" s="2"/>
      <c r="K61" s="14"/>
      <c r="L61" s="14"/>
      <c r="M61" s="14"/>
      <c r="N61" s="2"/>
      <c r="O61" s="2"/>
      <c r="P61" s="2"/>
    </row>
    <row r="62" spans="1:16" x14ac:dyDescent="0.25">
      <c r="A62" s="2"/>
      <c r="B62" s="2"/>
      <c r="C62" s="2"/>
      <c r="D62" s="2"/>
      <c r="E62" s="8"/>
      <c r="F62" s="12"/>
      <c r="G62" s="13"/>
      <c r="H62" s="2"/>
      <c r="I62" s="2"/>
      <c r="J62" s="2"/>
      <c r="K62" s="14"/>
      <c r="L62" s="14"/>
      <c r="M62" s="14"/>
      <c r="N62" s="2"/>
      <c r="O62" s="2"/>
      <c r="P62" s="2"/>
    </row>
  </sheetData>
  <mergeCells count="6">
    <mergeCell ref="N41:N42"/>
    <mergeCell ref="N51:N52"/>
    <mergeCell ref="A1:F1"/>
    <mergeCell ref="J1:N1"/>
    <mergeCell ref="L2:N2"/>
    <mergeCell ref="N31:N32"/>
  </mergeCells>
  <conditionalFormatting sqref="B2">
    <cfRule type="duplicateValues" dxfId="24" priority="2"/>
    <cfRule type="duplicateValues" dxfId="23" priority="3"/>
  </conditionalFormatting>
  <conditionalFormatting sqref="B31:B39 B41:B49 B51:B59 B61:B62 B4:B13 B15:B29">
    <cfRule type="duplicateValues" dxfId="22" priority="22"/>
  </conditionalFormatting>
  <conditionalFormatting sqref="C2:D2">
    <cfRule type="duplicateValues" dxfId="21" priority="4"/>
    <cfRule type="duplicateValues" dxfId="20" priority="5"/>
  </conditionalFormatting>
  <hyperlinks>
    <hyperlink ref="B61" r:id="rId1" display="http://192.168.1.248/downloads/temp/X539_eNagare_20251222.log" xr:uid="{00000000-0004-0000-1900-000000000000}"/>
  </hyperlinks>
  <pageMargins left="0.17" right="0.17" top="0.17" bottom="0.17" header="0.3" footer="0.3"/>
  <pageSetup paperSize="9" scale="59" orientation="landscape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Q51"/>
  <sheetViews>
    <sheetView topLeftCell="A32" workbookViewId="0">
      <selection activeCell="P42" sqref="P42"/>
    </sheetView>
  </sheetViews>
  <sheetFormatPr defaultColWidth="84.85546875" defaultRowHeight="15" x14ac:dyDescent="0.25"/>
  <cols>
    <col min="1" max="1" width="15.42578125" bestFit="1" customWidth="1"/>
    <col min="2" max="2" width="16.5703125" bestFit="1" customWidth="1"/>
    <col min="3" max="3" width="14.140625" bestFit="1" customWidth="1"/>
    <col min="4" max="4" width="14.140625" customWidth="1"/>
    <col min="5" max="5" width="32.5703125" bestFit="1" customWidth="1"/>
    <col min="6" max="6" width="9.7109375" bestFit="1" customWidth="1"/>
    <col min="7" max="7" width="7.7109375" bestFit="1" customWidth="1"/>
    <col min="8" max="8" width="12.140625" bestFit="1" customWidth="1"/>
    <col min="9" max="9" width="4.7109375" bestFit="1" customWidth="1"/>
    <col min="10" max="10" width="6" customWidth="1"/>
    <col min="11" max="11" width="9" customWidth="1"/>
    <col min="12" max="12" width="10.28515625" customWidth="1"/>
    <col min="13" max="13" width="7.140625" bestFit="1" customWidth="1"/>
    <col min="14" max="14" width="7.85546875" bestFit="1" customWidth="1"/>
    <col min="15" max="15" width="10.85546875" customWidth="1"/>
    <col min="16" max="16" width="46.140625" customWidth="1"/>
  </cols>
  <sheetData>
    <row r="1" spans="1:16" ht="23.25" x14ac:dyDescent="0.25">
      <c r="A1" s="53" t="s">
        <v>93</v>
      </c>
      <c r="B1" s="53"/>
      <c r="C1" s="53"/>
      <c r="D1" s="53"/>
      <c r="E1" s="53"/>
      <c r="F1" s="53"/>
      <c r="G1" s="2"/>
      <c r="H1" s="2"/>
      <c r="I1" s="2"/>
      <c r="J1" s="54" t="s">
        <v>94</v>
      </c>
      <c r="K1" s="55"/>
      <c r="L1" s="55"/>
      <c r="M1" s="55"/>
      <c r="N1" s="55"/>
      <c r="O1" s="3"/>
      <c r="P1" s="4"/>
    </row>
    <row r="2" spans="1:16" ht="15.75" x14ac:dyDescent="0.25">
      <c r="A2" s="5" t="s">
        <v>95</v>
      </c>
      <c r="B2" s="6">
        <v>46015</v>
      </c>
      <c r="C2" s="7"/>
      <c r="D2" s="7"/>
      <c r="E2" s="2"/>
      <c r="F2" s="8"/>
      <c r="G2" s="2"/>
      <c r="H2" s="2"/>
      <c r="I2" s="2"/>
      <c r="J2" s="2"/>
      <c r="K2" s="2"/>
      <c r="L2" s="56" t="s">
        <v>96</v>
      </c>
      <c r="M2" s="57"/>
      <c r="N2" s="58"/>
      <c r="O2" s="2"/>
      <c r="P2" s="2"/>
    </row>
    <row r="3" spans="1:16" s="11" customFormat="1" ht="30" x14ac:dyDescent="0.25">
      <c r="A3" s="10" t="s">
        <v>97</v>
      </c>
      <c r="B3" s="10" t="s">
        <v>35</v>
      </c>
      <c r="C3" s="10" t="s">
        <v>0</v>
      </c>
      <c r="D3" s="10" t="s">
        <v>98</v>
      </c>
      <c r="E3" s="10" t="s">
        <v>2</v>
      </c>
      <c r="F3" s="10" t="s">
        <v>36</v>
      </c>
      <c r="G3" s="10" t="s">
        <v>37</v>
      </c>
      <c r="H3" s="10" t="s">
        <v>38</v>
      </c>
      <c r="I3" s="10" t="s">
        <v>99</v>
      </c>
      <c r="J3" s="10" t="s">
        <v>100</v>
      </c>
      <c r="K3" s="10" t="s">
        <v>101</v>
      </c>
      <c r="L3" s="10" t="s">
        <v>102</v>
      </c>
      <c r="M3" s="10" t="s">
        <v>103</v>
      </c>
      <c r="N3" s="10" t="s">
        <v>104</v>
      </c>
      <c r="O3" s="10" t="s">
        <v>96</v>
      </c>
      <c r="P3" s="10" t="s">
        <v>105</v>
      </c>
    </row>
    <row r="4" spans="1:16" x14ac:dyDescent="0.25">
      <c r="A4" s="15" t="s">
        <v>1400</v>
      </c>
      <c r="B4" s="18" t="s">
        <v>1355</v>
      </c>
      <c r="C4" s="2" t="s">
        <v>5</v>
      </c>
      <c r="D4" s="2" t="str">
        <f>VLOOKUP($C4,Sheet1!$A$2:$B$10,2,0)</f>
        <v>141110-14600</v>
      </c>
      <c r="E4" s="8" t="s">
        <v>40</v>
      </c>
      <c r="F4" s="12">
        <v>46015</v>
      </c>
      <c r="G4" s="13">
        <v>0.27083333333333331</v>
      </c>
      <c r="H4" s="2" t="s">
        <v>41</v>
      </c>
      <c r="I4" s="2" t="s">
        <v>42</v>
      </c>
      <c r="J4" s="2">
        <v>54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1">
        <v>3</v>
      </c>
      <c r="O4" s="2" t="s">
        <v>1001</v>
      </c>
      <c r="P4" s="2" t="s">
        <v>1519</v>
      </c>
    </row>
    <row r="5" spans="1:16" x14ac:dyDescent="0.25">
      <c r="A5" s="15" t="s">
        <v>1400</v>
      </c>
      <c r="B5" s="18" t="s">
        <v>1360</v>
      </c>
      <c r="C5" s="2" t="s">
        <v>9</v>
      </c>
      <c r="D5" s="2" t="str">
        <f>VLOOKUP($C5,Sheet1!$A$2:$B$10,2,0)</f>
        <v>141120-14600</v>
      </c>
      <c r="E5" s="8" t="s">
        <v>47</v>
      </c>
      <c r="F5" s="12">
        <v>46015</v>
      </c>
      <c r="G5" s="13">
        <v>0.27083333333333331</v>
      </c>
      <c r="H5" s="2" t="s">
        <v>41</v>
      </c>
      <c r="I5" s="2" t="s">
        <v>42</v>
      </c>
      <c r="J5" s="2">
        <v>54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2"/>
      <c r="O5" s="2" t="s">
        <v>1001</v>
      </c>
      <c r="P5" s="2" t="s">
        <v>1509</v>
      </c>
    </row>
    <row r="6" spans="1:16" x14ac:dyDescent="0.25">
      <c r="A6" s="15" t="s">
        <v>1400</v>
      </c>
      <c r="B6" s="18" t="s">
        <v>1364</v>
      </c>
      <c r="C6" s="2" t="s">
        <v>12</v>
      </c>
      <c r="D6" s="2" t="str">
        <f>VLOOKUP($C6,Sheet1!$A$2:$B$10,2,0)</f>
        <v>141185-74670</v>
      </c>
      <c r="E6" s="8" t="s">
        <v>52</v>
      </c>
      <c r="F6" s="12">
        <v>46015</v>
      </c>
      <c r="G6" s="13">
        <v>0.27083333333333331</v>
      </c>
      <c r="H6" s="2" t="s">
        <v>41</v>
      </c>
      <c r="I6" s="2" t="s">
        <v>42</v>
      </c>
      <c r="J6" s="2">
        <v>80</v>
      </c>
      <c r="K6" s="14">
        <f>VLOOKUP($C6,Sheet1!$A$2:$D$10,4,0)</f>
        <v>40</v>
      </c>
      <c r="L6" s="14" t="str">
        <f>VLOOKUP($C6,Sheet1!$A$2:$E$10,5,0)</f>
        <v>Trolley</v>
      </c>
      <c r="M6" s="14"/>
      <c r="N6" s="2">
        <f>J6/K6</f>
        <v>2</v>
      </c>
      <c r="O6" s="2" t="s">
        <v>1001</v>
      </c>
      <c r="P6" s="2" t="s">
        <v>1501</v>
      </c>
    </row>
    <row r="7" spans="1:16" x14ac:dyDescent="0.25">
      <c r="A7" s="15" t="s">
        <v>1400</v>
      </c>
      <c r="B7" s="18" t="s">
        <v>1369</v>
      </c>
      <c r="C7" s="2" t="s">
        <v>16</v>
      </c>
      <c r="D7" s="2" t="str">
        <f>VLOOKUP($C7,Sheet1!$A$2:$B$10,2,0)</f>
        <v>141140-91211</v>
      </c>
      <c r="E7" s="8" t="s">
        <v>57</v>
      </c>
      <c r="F7" s="12">
        <v>46015</v>
      </c>
      <c r="G7" s="13">
        <v>0.27083333333333331</v>
      </c>
      <c r="H7" s="2" t="s">
        <v>58</v>
      </c>
      <c r="I7" s="2" t="s">
        <v>42</v>
      </c>
      <c r="J7" s="2">
        <v>40</v>
      </c>
      <c r="K7" s="14">
        <f>VLOOKUP($C7,Sheet1!$A$2:$D$10,4,0)</f>
        <v>2</v>
      </c>
      <c r="L7" s="14" t="str">
        <f>VLOOKUP($C7,Sheet1!$A$2:$E$10,5,0)</f>
        <v>Bin</v>
      </c>
      <c r="M7" s="14">
        <f>J7/K7</f>
        <v>20</v>
      </c>
      <c r="N7" s="2"/>
      <c r="O7" s="2" t="s">
        <v>1001</v>
      </c>
      <c r="P7" s="2" t="s">
        <v>1123</v>
      </c>
    </row>
    <row r="8" spans="1:16" x14ac:dyDescent="0.25">
      <c r="A8" s="15" t="s">
        <v>1400</v>
      </c>
      <c r="B8" s="18" t="s">
        <v>1374</v>
      </c>
      <c r="C8" s="2" t="s">
        <v>20</v>
      </c>
      <c r="D8" s="2" t="str">
        <f>VLOOKUP($C8,Sheet1!$A$2:$B$10,2,0)</f>
        <v>141150-91211</v>
      </c>
      <c r="E8" s="8" t="s">
        <v>64</v>
      </c>
      <c r="F8" s="12">
        <v>46015</v>
      </c>
      <c r="G8" s="13">
        <v>0.27083333333333331</v>
      </c>
      <c r="H8" s="2" t="s">
        <v>58</v>
      </c>
      <c r="I8" s="2" t="s">
        <v>42</v>
      </c>
      <c r="J8" s="2">
        <v>40</v>
      </c>
      <c r="K8" s="14">
        <f>VLOOKUP($C8,Sheet1!$A$2:$D$10,4,0)</f>
        <v>2</v>
      </c>
      <c r="L8" s="14" t="str">
        <f>VLOOKUP($C8,Sheet1!$A$2:$E$10,5,0)</f>
        <v>Bin</v>
      </c>
      <c r="M8" s="14">
        <f t="shared" ref="M8" si="0">J8/K8</f>
        <v>20</v>
      </c>
      <c r="N8" s="2"/>
      <c r="O8" s="2" t="s">
        <v>1001</v>
      </c>
      <c r="P8" s="2" t="s">
        <v>1496</v>
      </c>
    </row>
    <row r="9" spans="1:16" x14ac:dyDescent="0.25">
      <c r="A9" s="15" t="s">
        <v>1400</v>
      </c>
      <c r="B9" s="18" t="s">
        <v>1379</v>
      </c>
      <c r="C9" s="2" t="s">
        <v>23</v>
      </c>
      <c r="D9" s="2" t="str">
        <f>VLOOKUP($C9,Sheet1!$A$2:$B$10,2,0)</f>
        <v>141186-74360</v>
      </c>
      <c r="E9" s="8" t="s">
        <v>70</v>
      </c>
      <c r="F9" s="12">
        <v>46015</v>
      </c>
      <c r="G9" s="13">
        <v>0.27083333333333331</v>
      </c>
      <c r="H9" s="2" t="s">
        <v>58</v>
      </c>
      <c r="I9" s="2" t="s">
        <v>42</v>
      </c>
      <c r="J9" s="2">
        <v>80</v>
      </c>
      <c r="K9" s="14">
        <f>VLOOKUP($C9,Sheet1!$A$2:$D$10,4,0)</f>
        <v>40</v>
      </c>
      <c r="L9" s="14" t="str">
        <f>VLOOKUP($C9,Sheet1!$A$2:$E$10,5,0)</f>
        <v>Trolley</v>
      </c>
      <c r="M9" s="14"/>
      <c r="N9" s="2">
        <f t="shared" ref="N9" si="1">J9/K9</f>
        <v>2</v>
      </c>
      <c r="O9" s="2" t="s">
        <v>1001</v>
      </c>
      <c r="P9" s="2" t="s">
        <v>1505</v>
      </c>
    </row>
    <row r="10" spans="1:16" x14ac:dyDescent="0.25">
      <c r="A10" s="15" t="s">
        <v>1401</v>
      </c>
      <c r="B10" s="18" t="s">
        <v>1384</v>
      </c>
      <c r="C10" s="2" t="s">
        <v>26</v>
      </c>
      <c r="D10" s="2" t="str">
        <f>VLOOKUP($C10,Sheet1!$A$2:$B$10,2,0)</f>
        <v>116040-92240</v>
      </c>
      <c r="E10" s="8" t="s">
        <v>75</v>
      </c>
      <c r="F10" s="12">
        <v>46015</v>
      </c>
      <c r="G10" s="13">
        <v>0.27083333333333331</v>
      </c>
      <c r="H10" s="2" t="s">
        <v>76</v>
      </c>
      <c r="I10" s="2" t="s">
        <v>42</v>
      </c>
      <c r="J10" s="2">
        <v>42</v>
      </c>
      <c r="K10" s="14">
        <f>VLOOKUP($C10,Sheet1!$A$2:$D$10,4,0)</f>
        <v>6</v>
      </c>
      <c r="L10" s="14" t="str">
        <f>VLOOKUP($C10,Sheet1!$A$2:$E$10,5,0)</f>
        <v>Bin</v>
      </c>
      <c r="M10" s="14">
        <f t="shared" ref="M10:M14" si="2">J10/K10</f>
        <v>7</v>
      </c>
      <c r="N10" s="2"/>
      <c r="O10" s="2" t="s">
        <v>1001</v>
      </c>
      <c r="P10" s="2" t="s">
        <v>1502</v>
      </c>
    </row>
    <row r="11" spans="1:16" x14ac:dyDescent="0.25">
      <c r="A11" s="15" t="s">
        <v>1401</v>
      </c>
      <c r="B11" s="18" t="s">
        <v>1385</v>
      </c>
      <c r="C11" s="2" t="s">
        <v>26</v>
      </c>
      <c r="D11" s="2" t="str">
        <f>VLOOKUP($C11,Sheet1!$A$2:$B$10,2,0)</f>
        <v>116040-92240</v>
      </c>
      <c r="E11" s="8" t="s">
        <v>75</v>
      </c>
      <c r="F11" s="12">
        <v>46015</v>
      </c>
      <c r="G11" s="13">
        <v>0.27083333333333331</v>
      </c>
      <c r="H11" s="2" t="s">
        <v>76</v>
      </c>
      <c r="I11" s="2" t="s">
        <v>42</v>
      </c>
      <c r="J11" s="2">
        <v>42</v>
      </c>
      <c r="K11" s="14">
        <f>VLOOKUP($C11,Sheet1!$A$2:$D$10,4,0)</f>
        <v>6</v>
      </c>
      <c r="L11" s="14" t="str">
        <f>VLOOKUP($C11,Sheet1!$A$2:$E$10,5,0)</f>
        <v>Bin</v>
      </c>
      <c r="M11" s="14">
        <f t="shared" si="2"/>
        <v>7</v>
      </c>
      <c r="N11" s="2"/>
      <c r="O11" s="2" t="s">
        <v>1001</v>
      </c>
      <c r="P11" s="2" t="s">
        <v>1502</v>
      </c>
    </row>
    <row r="12" spans="1:16" x14ac:dyDescent="0.25">
      <c r="A12" s="15" t="s">
        <v>1401</v>
      </c>
      <c r="B12" s="18" t="s">
        <v>1389</v>
      </c>
      <c r="C12" s="2" t="s">
        <v>32</v>
      </c>
      <c r="D12" s="2" t="str">
        <f>VLOOKUP($C12,Sheet1!$A$2:$B$10,2,0)</f>
        <v>114010-50820</v>
      </c>
      <c r="E12" s="8" t="s">
        <v>82</v>
      </c>
      <c r="F12" s="12">
        <v>46015</v>
      </c>
      <c r="G12" s="13">
        <v>0.27083333333333331</v>
      </c>
      <c r="H12" s="2" t="s">
        <v>76</v>
      </c>
      <c r="I12" s="2" t="s">
        <v>42</v>
      </c>
      <c r="J12" s="2">
        <v>12</v>
      </c>
      <c r="K12" s="14">
        <f>VLOOKUP($C12,Sheet1!$A$2:$D$10,4,0)</f>
        <v>1</v>
      </c>
      <c r="L12" s="14" t="str">
        <f>VLOOKUP($C12,Sheet1!$A$2:$E$10,5,0)</f>
        <v>Bin</v>
      </c>
      <c r="M12" s="14">
        <f t="shared" si="2"/>
        <v>12</v>
      </c>
      <c r="N12" s="2"/>
      <c r="O12" s="2" t="s">
        <v>1001</v>
      </c>
      <c r="P12" s="2" t="s">
        <v>171</v>
      </c>
    </row>
    <row r="13" spans="1:16" x14ac:dyDescent="0.25">
      <c r="A13" s="15" t="s">
        <v>1401</v>
      </c>
      <c r="B13" s="18" t="s">
        <v>1390</v>
      </c>
      <c r="C13" s="2" t="s">
        <v>32</v>
      </c>
      <c r="D13" s="2" t="str">
        <f>VLOOKUP($C13,Sheet1!$A$2:$B$10,2,0)</f>
        <v>114010-50820</v>
      </c>
      <c r="E13" s="8" t="s">
        <v>82</v>
      </c>
      <c r="F13" s="12">
        <v>46015</v>
      </c>
      <c r="G13" s="13">
        <v>0.27083333333333331</v>
      </c>
      <c r="H13" s="2" t="s">
        <v>76</v>
      </c>
      <c r="I13" s="2" t="s">
        <v>42</v>
      </c>
      <c r="J13" s="2">
        <v>12</v>
      </c>
      <c r="K13" s="14">
        <f>VLOOKUP($C13,Sheet1!$A$2:$D$10,4,0)</f>
        <v>1</v>
      </c>
      <c r="L13" s="14" t="str">
        <f>VLOOKUP($C13,Sheet1!$A$2:$E$10,5,0)</f>
        <v>Bin</v>
      </c>
      <c r="M13" s="14">
        <f t="shared" si="2"/>
        <v>12</v>
      </c>
      <c r="N13" s="2"/>
      <c r="O13" s="2" t="s">
        <v>1001</v>
      </c>
      <c r="P13" s="2" t="s">
        <v>171</v>
      </c>
    </row>
    <row r="14" spans="1:16" x14ac:dyDescent="0.25">
      <c r="A14" s="15" t="s">
        <v>1401</v>
      </c>
      <c r="B14" s="18" t="s">
        <v>1394</v>
      </c>
      <c r="C14" s="2" t="s">
        <v>29</v>
      </c>
      <c r="D14" s="2" t="str">
        <f>VLOOKUP($C14,Sheet1!$A$2:$B$10,2,0)</f>
        <v>114010-50830</v>
      </c>
      <c r="E14" s="8" t="s">
        <v>82</v>
      </c>
      <c r="F14" s="12">
        <v>46015</v>
      </c>
      <c r="G14" s="13">
        <v>0.27083333333333331</v>
      </c>
      <c r="H14" s="2" t="s">
        <v>76</v>
      </c>
      <c r="I14" s="2" t="s">
        <v>42</v>
      </c>
      <c r="J14" s="2">
        <v>28</v>
      </c>
      <c r="K14" s="14">
        <f>VLOOKUP($C14,Sheet1!$A$2:$D$10,4,0)</f>
        <v>1</v>
      </c>
      <c r="L14" s="14" t="str">
        <f>VLOOKUP($C14,Sheet1!$A$2:$E$10,5,0)</f>
        <v>Bin</v>
      </c>
      <c r="M14" s="14">
        <f t="shared" si="2"/>
        <v>28</v>
      </c>
      <c r="N14" s="2"/>
      <c r="O14" s="2" t="s">
        <v>1001</v>
      </c>
      <c r="P14" s="2" t="s">
        <v>1511</v>
      </c>
    </row>
    <row r="15" spans="1:16" x14ac:dyDescent="0.25">
      <c r="A15" s="15" t="s">
        <v>1401</v>
      </c>
      <c r="B15" s="18" t="s">
        <v>1395</v>
      </c>
      <c r="C15" s="2" t="s">
        <v>29</v>
      </c>
      <c r="D15" s="2" t="str">
        <f>VLOOKUP($C15,Sheet1!$A$2:$B$10,2,0)</f>
        <v>114010-50830</v>
      </c>
      <c r="E15" s="8" t="s">
        <v>82</v>
      </c>
      <c r="F15" s="12">
        <v>46015</v>
      </c>
      <c r="G15" s="13">
        <v>0.27083333333333331</v>
      </c>
      <c r="H15" s="2" t="s">
        <v>76</v>
      </c>
      <c r="I15" s="2" t="s">
        <v>42</v>
      </c>
      <c r="J15" s="2">
        <v>28</v>
      </c>
      <c r="K15" s="14">
        <f>VLOOKUP($C15,Sheet1!$A$2:$D$10,4,0)</f>
        <v>1</v>
      </c>
      <c r="L15" s="14" t="str">
        <f>VLOOKUP($C15,Sheet1!$A$2:$E$10,5,0)</f>
        <v>Bin</v>
      </c>
      <c r="M15" s="14">
        <f>J15/K15</f>
        <v>28</v>
      </c>
      <c r="N15" s="2"/>
      <c r="O15" s="2" t="s">
        <v>1001</v>
      </c>
      <c r="P15" s="2" t="s">
        <v>1512</v>
      </c>
    </row>
    <row r="16" spans="1:16" s="11" customFormat="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>
        <v>134</v>
      </c>
      <c r="N16" s="10">
        <v>7</v>
      </c>
      <c r="O16" s="10"/>
      <c r="P16" s="10"/>
    </row>
    <row r="17" spans="1:17" x14ac:dyDescent="0.25">
      <c r="A17" s="15" t="s">
        <v>1402</v>
      </c>
      <c r="B17" s="18" t="s">
        <v>1354</v>
      </c>
      <c r="C17" s="2" t="s">
        <v>5</v>
      </c>
      <c r="D17" s="2" t="str">
        <f>VLOOKUP($C17,Sheet1!$A$2:$B$10,2,0)</f>
        <v>141110-14600</v>
      </c>
      <c r="E17" s="8" t="s">
        <v>40</v>
      </c>
      <c r="F17" s="12">
        <v>46015</v>
      </c>
      <c r="G17" s="13">
        <v>0.27083333333333331</v>
      </c>
      <c r="H17" s="2" t="s">
        <v>41</v>
      </c>
      <c r="I17" s="2" t="s">
        <v>42</v>
      </c>
      <c r="J17" s="2">
        <v>36</v>
      </c>
      <c r="K17" s="14">
        <f>VLOOKUP($C17,Sheet1!$A$2:$D$10,4,0)</f>
        <v>18</v>
      </c>
      <c r="L17" s="14" t="str">
        <f>VLOOKUP($C17,Sheet1!$A$2:$E$10,5,0)</f>
        <v>Trolley (H)</v>
      </c>
      <c r="M17" s="14"/>
      <c r="N17" s="51">
        <v>2</v>
      </c>
      <c r="O17" s="2" t="s">
        <v>112</v>
      </c>
      <c r="P17" s="2" t="s">
        <v>1519</v>
      </c>
    </row>
    <row r="18" spans="1:17" x14ac:dyDescent="0.25">
      <c r="A18" s="15" t="s">
        <v>1402</v>
      </c>
      <c r="B18" s="18" t="s">
        <v>1359</v>
      </c>
      <c r="C18" s="2" t="s">
        <v>9</v>
      </c>
      <c r="D18" s="2" t="str">
        <f>VLOOKUP($C18,Sheet1!$A$2:$B$10,2,0)</f>
        <v>141120-14600</v>
      </c>
      <c r="E18" s="8" t="s">
        <v>47</v>
      </c>
      <c r="F18" s="12">
        <v>46015</v>
      </c>
      <c r="G18" s="13">
        <v>0.27083333333333331</v>
      </c>
      <c r="H18" s="2" t="s">
        <v>41</v>
      </c>
      <c r="I18" s="2" t="s">
        <v>42</v>
      </c>
      <c r="J18" s="2">
        <v>36</v>
      </c>
      <c r="K18" s="14">
        <f>VLOOKUP($C18,Sheet1!$A$2:$D$10,4,0)</f>
        <v>18</v>
      </c>
      <c r="L18" s="14" t="str">
        <f>VLOOKUP($C18,Sheet1!$A$2:$E$10,5,0)</f>
        <v>Trolley (H)</v>
      </c>
      <c r="M18" s="14"/>
      <c r="N18" s="52"/>
      <c r="O18" s="2" t="s">
        <v>112</v>
      </c>
      <c r="P18" s="2" t="s">
        <v>1519</v>
      </c>
    </row>
    <row r="19" spans="1:17" x14ac:dyDescent="0.25">
      <c r="A19" s="15" t="s">
        <v>1402</v>
      </c>
      <c r="B19" s="18" t="s">
        <v>1365</v>
      </c>
      <c r="C19" s="2" t="s">
        <v>12</v>
      </c>
      <c r="D19" s="2" t="str">
        <f>VLOOKUP($C19,Sheet1!$A$2:$B$10,2,0)</f>
        <v>141185-74670</v>
      </c>
      <c r="E19" s="8" t="s">
        <v>52</v>
      </c>
      <c r="F19" s="12">
        <v>46015</v>
      </c>
      <c r="G19" s="13">
        <v>0.27083333333333331</v>
      </c>
      <c r="H19" s="2" t="s">
        <v>41</v>
      </c>
      <c r="I19" s="2" t="s">
        <v>42</v>
      </c>
      <c r="J19" s="2">
        <v>80</v>
      </c>
      <c r="K19" s="14">
        <f>VLOOKUP($C19,Sheet1!$A$2:$D$10,4,0)</f>
        <v>40</v>
      </c>
      <c r="L19" s="14" t="str">
        <f>VLOOKUP($C19,Sheet1!$A$2:$E$10,5,0)</f>
        <v>Trolley</v>
      </c>
      <c r="M19" s="14"/>
      <c r="N19" s="2">
        <f>J19/K19</f>
        <v>2</v>
      </c>
      <c r="O19" s="2" t="s">
        <v>112</v>
      </c>
      <c r="P19" s="2" t="s">
        <v>1501</v>
      </c>
    </row>
    <row r="20" spans="1:17" x14ac:dyDescent="0.25">
      <c r="A20" s="15" t="s">
        <v>1402</v>
      </c>
      <c r="B20" s="18" t="s">
        <v>1370</v>
      </c>
      <c r="C20" s="2" t="s">
        <v>16</v>
      </c>
      <c r="D20" s="2" t="str">
        <f>VLOOKUP($C20,Sheet1!$A$2:$B$10,2,0)</f>
        <v>141140-91211</v>
      </c>
      <c r="E20" s="8" t="s">
        <v>57</v>
      </c>
      <c r="F20" s="12">
        <v>46015</v>
      </c>
      <c r="G20" s="13">
        <v>0.27083333333333331</v>
      </c>
      <c r="H20" s="2" t="s">
        <v>58</v>
      </c>
      <c r="I20" s="2" t="s">
        <v>42</v>
      </c>
      <c r="J20" s="2">
        <v>40</v>
      </c>
      <c r="K20" s="14">
        <f>VLOOKUP($C20,Sheet1!$A$2:$D$10,4,0)</f>
        <v>2</v>
      </c>
      <c r="L20" s="14" t="str">
        <f>VLOOKUP($C20,Sheet1!$A$2:$E$10,5,0)</f>
        <v>Bin</v>
      </c>
      <c r="M20" s="14">
        <f>J20/K20</f>
        <v>20</v>
      </c>
      <c r="N20" s="2"/>
      <c r="O20" s="2" t="s">
        <v>112</v>
      </c>
      <c r="P20" s="2" t="s">
        <v>1123</v>
      </c>
    </row>
    <row r="21" spans="1:17" x14ac:dyDescent="0.25">
      <c r="A21" s="15" t="s">
        <v>1402</v>
      </c>
      <c r="B21" s="18" t="s">
        <v>1375</v>
      </c>
      <c r="C21" s="2" t="s">
        <v>20</v>
      </c>
      <c r="D21" s="2" t="str">
        <f>VLOOKUP($C21,Sheet1!$A$2:$B$10,2,0)</f>
        <v>141150-91211</v>
      </c>
      <c r="E21" s="8" t="s">
        <v>64</v>
      </c>
      <c r="F21" s="12">
        <v>46015</v>
      </c>
      <c r="G21" s="13">
        <v>0.27083333333333331</v>
      </c>
      <c r="H21" s="2" t="s">
        <v>58</v>
      </c>
      <c r="I21" s="2" t="s">
        <v>42</v>
      </c>
      <c r="J21" s="2">
        <v>40</v>
      </c>
      <c r="K21" s="14">
        <f>VLOOKUP($C21,Sheet1!$A$2:$D$10,4,0)</f>
        <v>2</v>
      </c>
      <c r="L21" s="14" t="str">
        <f>VLOOKUP($C21,Sheet1!$A$2:$E$10,5,0)</f>
        <v>Bin</v>
      </c>
      <c r="M21" s="14">
        <f>J21/K21</f>
        <v>20</v>
      </c>
      <c r="N21" s="2"/>
      <c r="O21" s="2" t="s">
        <v>112</v>
      </c>
      <c r="P21" s="2" t="s">
        <v>1496</v>
      </c>
    </row>
    <row r="22" spans="1:17" ht="15.75" thickBot="1" x14ac:dyDescent="0.3">
      <c r="A22" s="15" t="s">
        <v>1402</v>
      </c>
      <c r="B22" s="18" t="s">
        <v>1380</v>
      </c>
      <c r="C22" s="2" t="s">
        <v>23</v>
      </c>
      <c r="D22" s="2" t="str">
        <f>VLOOKUP($C22,Sheet1!$A$2:$B$10,2,0)</f>
        <v>141186-74360</v>
      </c>
      <c r="E22" s="8" t="s">
        <v>70</v>
      </c>
      <c r="F22" s="12">
        <v>46015</v>
      </c>
      <c r="G22" s="40">
        <v>0.27083333333333331</v>
      </c>
      <c r="H22" s="2" t="s">
        <v>58</v>
      </c>
      <c r="I22" s="2" t="s">
        <v>42</v>
      </c>
      <c r="J22" s="2">
        <v>80</v>
      </c>
      <c r="K22" s="14">
        <f>VLOOKUP($C22,Sheet1!$A$2:$D$10,4,0)</f>
        <v>40</v>
      </c>
      <c r="L22" s="14" t="str">
        <f>VLOOKUP($C22,Sheet1!$A$2:$E$10,5,0)</f>
        <v>Trolley</v>
      </c>
      <c r="M22" s="14"/>
      <c r="N22" s="2">
        <f>J22/K22</f>
        <v>2</v>
      </c>
      <c r="O22" s="2" t="s">
        <v>112</v>
      </c>
      <c r="P22" s="2" t="s">
        <v>1505</v>
      </c>
    </row>
    <row r="23" spans="1:17" ht="15.75" thickTop="1" x14ac:dyDescent="0.25">
      <c r="A23" s="15" t="s">
        <v>1415</v>
      </c>
      <c r="B23" s="18" t="s">
        <v>1408</v>
      </c>
      <c r="C23" s="2" t="s">
        <v>5</v>
      </c>
      <c r="D23" s="2" t="str">
        <f>VLOOKUP($C23,Sheet1!$A$2:$B$10,2,0)</f>
        <v>141110-14600</v>
      </c>
      <c r="E23" s="8" t="s">
        <v>40</v>
      </c>
      <c r="F23" s="12">
        <v>46015</v>
      </c>
      <c r="G23" s="23">
        <v>0.35416666666666669</v>
      </c>
      <c r="H23" s="2" t="s">
        <v>41</v>
      </c>
      <c r="I23" s="2" t="s">
        <v>42</v>
      </c>
      <c r="J23" s="2">
        <v>18</v>
      </c>
      <c r="K23" s="14">
        <f>VLOOKUP($C23,Sheet1!$A$2:$D$10,4,0)</f>
        <v>18</v>
      </c>
      <c r="L23" s="14" t="str">
        <f>VLOOKUP($C23,Sheet1!$A$2:$E$10,5,0)</f>
        <v>Trolley (H)</v>
      </c>
      <c r="M23" s="14"/>
      <c r="N23" s="51">
        <v>1</v>
      </c>
      <c r="O23" s="2" t="s">
        <v>112</v>
      </c>
      <c r="P23" s="2" t="s">
        <v>1519</v>
      </c>
    </row>
    <row r="24" spans="1:17" x14ac:dyDescent="0.25">
      <c r="A24" s="15" t="s">
        <v>1415</v>
      </c>
      <c r="B24" s="18" t="s">
        <v>1409</v>
      </c>
      <c r="C24" s="2" t="s">
        <v>9</v>
      </c>
      <c r="D24" s="2" t="str">
        <f>VLOOKUP($C24,Sheet1!$A$2:$B$10,2,0)</f>
        <v>141120-14600</v>
      </c>
      <c r="E24" s="8" t="s">
        <v>47</v>
      </c>
      <c r="F24" s="12">
        <v>46015</v>
      </c>
      <c r="G24" s="13">
        <v>0.35416666666666669</v>
      </c>
      <c r="H24" s="2" t="s">
        <v>41</v>
      </c>
      <c r="I24" s="2" t="s">
        <v>42</v>
      </c>
      <c r="J24" s="2">
        <v>18</v>
      </c>
      <c r="K24" s="14">
        <f>VLOOKUP($C24,Sheet1!$A$2:$D$10,4,0)</f>
        <v>18</v>
      </c>
      <c r="L24" s="14" t="str">
        <f>VLOOKUP($C24,Sheet1!$A$2:$E$10,5,0)</f>
        <v>Trolley (H)</v>
      </c>
      <c r="M24" s="14"/>
      <c r="N24" s="52"/>
      <c r="O24" s="2" t="s">
        <v>112</v>
      </c>
      <c r="P24" s="2" t="s">
        <v>1519</v>
      </c>
    </row>
    <row r="25" spans="1:17" x14ac:dyDescent="0.25">
      <c r="A25" s="15" t="s">
        <v>1415</v>
      </c>
      <c r="B25" s="18" t="s">
        <v>1410</v>
      </c>
      <c r="C25" s="2" t="s">
        <v>16</v>
      </c>
      <c r="D25" s="2" t="str">
        <f>VLOOKUP($C25,Sheet1!$A$2:$B$10,2,0)</f>
        <v>141140-91211</v>
      </c>
      <c r="E25" s="8" t="s">
        <v>57</v>
      </c>
      <c r="F25" s="12">
        <v>46015</v>
      </c>
      <c r="G25" s="13">
        <v>0.35416666666666669</v>
      </c>
      <c r="H25" s="2" t="s">
        <v>58</v>
      </c>
      <c r="I25" s="2" t="s">
        <v>42</v>
      </c>
      <c r="J25" s="2">
        <v>8</v>
      </c>
      <c r="K25" s="14">
        <f>VLOOKUP($C25,Sheet1!$A$2:$D$10,4,0)</f>
        <v>2</v>
      </c>
      <c r="L25" s="14" t="str">
        <f>VLOOKUP($C25,Sheet1!$A$2:$E$10,5,0)</f>
        <v>Bin</v>
      </c>
      <c r="M25" s="14">
        <f>J25/K25</f>
        <v>4</v>
      </c>
      <c r="N25" s="2"/>
      <c r="O25" s="2" t="s">
        <v>112</v>
      </c>
      <c r="P25" s="2" t="s">
        <v>1123</v>
      </c>
      <c r="Q25" s="41"/>
    </row>
    <row r="26" spans="1:17" x14ac:dyDescent="0.25">
      <c r="A26" s="15" t="s">
        <v>1415</v>
      </c>
      <c r="B26" s="18" t="s">
        <v>1411</v>
      </c>
      <c r="C26" s="2" t="s">
        <v>20</v>
      </c>
      <c r="D26" s="2" t="str">
        <f>VLOOKUP($C26,Sheet1!$A$2:$B$10,2,0)</f>
        <v>141150-91211</v>
      </c>
      <c r="E26" s="8" t="s">
        <v>64</v>
      </c>
      <c r="F26" s="12">
        <v>46015</v>
      </c>
      <c r="G26" s="13">
        <v>0.35416666666666669</v>
      </c>
      <c r="H26" s="2" t="s">
        <v>58</v>
      </c>
      <c r="I26" s="2" t="s">
        <v>42</v>
      </c>
      <c r="J26" s="2">
        <v>8</v>
      </c>
      <c r="K26" s="14">
        <f>VLOOKUP($C26,Sheet1!$A$2:$D$10,4,0)</f>
        <v>2</v>
      </c>
      <c r="L26" s="14" t="str">
        <f>VLOOKUP($C26,Sheet1!$A$2:$E$10,5,0)</f>
        <v>Bin</v>
      </c>
      <c r="M26" s="14">
        <f t="shared" ref="M26:M29" si="3">J26/K26</f>
        <v>4</v>
      </c>
      <c r="N26" s="2"/>
      <c r="O26" s="2" t="s">
        <v>112</v>
      </c>
      <c r="P26" s="2" t="s">
        <v>1123</v>
      </c>
    </row>
    <row r="27" spans="1:17" x14ac:dyDescent="0.25">
      <c r="A27" s="15" t="s">
        <v>1416</v>
      </c>
      <c r="B27" s="18" t="s">
        <v>1412</v>
      </c>
      <c r="C27" s="2" t="s">
        <v>26</v>
      </c>
      <c r="D27" s="2" t="str">
        <f>VLOOKUP($C27,Sheet1!$A$2:$B$10,2,0)</f>
        <v>116040-92240</v>
      </c>
      <c r="E27" s="8" t="s">
        <v>75</v>
      </c>
      <c r="F27" s="12">
        <v>46015</v>
      </c>
      <c r="G27" s="13">
        <v>0.35416666666666669</v>
      </c>
      <c r="H27" s="2" t="s">
        <v>76</v>
      </c>
      <c r="I27" s="2" t="s">
        <v>42</v>
      </c>
      <c r="J27" s="2">
        <v>6</v>
      </c>
      <c r="K27" s="14">
        <f>VLOOKUP($C27,Sheet1!$A$2:$D$10,4,0)</f>
        <v>6</v>
      </c>
      <c r="L27" s="14" t="str">
        <f>VLOOKUP($C27,Sheet1!$A$2:$E$10,5,0)</f>
        <v>Bin</v>
      </c>
      <c r="M27" s="14">
        <f t="shared" si="3"/>
        <v>1</v>
      </c>
      <c r="N27" s="2"/>
      <c r="O27" s="2" t="s">
        <v>112</v>
      </c>
      <c r="P27" s="2" t="s">
        <v>1502</v>
      </c>
    </row>
    <row r="28" spans="1:17" x14ac:dyDescent="0.25">
      <c r="A28" s="15" t="s">
        <v>1416</v>
      </c>
      <c r="B28" s="18" t="s">
        <v>1413</v>
      </c>
      <c r="C28" s="2" t="s">
        <v>32</v>
      </c>
      <c r="D28" s="2" t="str">
        <f>VLOOKUP($C28,Sheet1!$A$2:$B$10,2,0)</f>
        <v>114010-50820</v>
      </c>
      <c r="E28" s="8" t="s">
        <v>82</v>
      </c>
      <c r="F28" s="12">
        <v>46015</v>
      </c>
      <c r="G28" s="13">
        <v>0.35416666666666669</v>
      </c>
      <c r="H28" s="2" t="s">
        <v>76</v>
      </c>
      <c r="I28" s="2" t="s">
        <v>42</v>
      </c>
      <c r="J28" s="2">
        <v>2</v>
      </c>
      <c r="K28" s="14">
        <f>VLOOKUP($C28,Sheet1!$A$2:$D$10,4,0)</f>
        <v>1</v>
      </c>
      <c r="L28" s="14" t="str">
        <f>VLOOKUP($C28,Sheet1!$A$2:$E$10,5,0)</f>
        <v>Bin</v>
      </c>
      <c r="M28" s="14">
        <f t="shared" si="3"/>
        <v>2</v>
      </c>
      <c r="N28" s="2"/>
      <c r="O28" s="2" t="s">
        <v>112</v>
      </c>
      <c r="P28" s="2" t="s">
        <v>171</v>
      </c>
    </row>
    <row r="29" spans="1:17" x14ac:dyDescent="0.25">
      <c r="A29" s="15" t="s">
        <v>1416</v>
      </c>
      <c r="B29" s="18" t="s">
        <v>1414</v>
      </c>
      <c r="C29" s="2" t="s">
        <v>29</v>
      </c>
      <c r="D29" s="2" t="str">
        <f>VLOOKUP($C29,Sheet1!$A$2:$B$10,2,0)</f>
        <v>114010-50830</v>
      </c>
      <c r="E29" s="8" t="s">
        <v>82</v>
      </c>
      <c r="F29" s="12">
        <v>46015</v>
      </c>
      <c r="G29" s="13">
        <v>0.35416666666666669</v>
      </c>
      <c r="H29" s="2" t="s">
        <v>76</v>
      </c>
      <c r="I29" s="2" t="s">
        <v>42</v>
      </c>
      <c r="J29" s="2">
        <v>6</v>
      </c>
      <c r="K29" s="14">
        <f>VLOOKUP($C29,Sheet1!$A$2:$D$10,4,0)</f>
        <v>1</v>
      </c>
      <c r="L29" s="14" t="str">
        <f>VLOOKUP($C29,Sheet1!$A$2:$E$10,5,0)</f>
        <v>Bin</v>
      </c>
      <c r="M29" s="14">
        <f t="shared" si="3"/>
        <v>6</v>
      </c>
      <c r="N29" s="2"/>
      <c r="O29" s="2" t="s">
        <v>112</v>
      </c>
      <c r="P29" s="2" t="s">
        <v>453</v>
      </c>
    </row>
    <row r="30" spans="1:17" s="11" customForma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>
        <v>57</v>
      </c>
      <c r="N30" s="10">
        <v>7</v>
      </c>
      <c r="O30" s="10"/>
      <c r="P30" s="10"/>
    </row>
    <row r="31" spans="1:17" x14ac:dyDescent="0.25">
      <c r="A31" s="15" t="s">
        <v>1403</v>
      </c>
      <c r="B31" s="18" t="s">
        <v>1356</v>
      </c>
      <c r="C31" s="2" t="s">
        <v>5</v>
      </c>
      <c r="D31" s="2" t="str">
        <f>VLOOKUP($C31,Sheet1!$A$2:$B$10,2,0)</f>
        <v>141110-14600</v>
      </c>
      <c r="E31" s="8" t="s">
        <v>40</v>
      </c>
      <c r="F31" s="12">
        <v>46015</v>
      </c>
      <c r="G31" s="13">
        <v>0.52083333333333337</v>
      </c>
      <c r="H31" s="2" t="s">
        <v>41</v>
      </c>
      <c r="I31" s="2" t="s">
        <v>42</v>
      </c>
      <c r="J31" s="2">
        <v>18</v>
      </c>
      <c r="K31" s="14">
        <f>VLOOKUP($C31,Sheet1!$A$2:$D$10,4,0)</f>
        <v>18</v>
      </c>
      <c r="L31" s="14" t="str">
        <f>VLOOKUP($C31,Sheet1!$A$2:$E$10,5,0)</f>
        <v>Trolley (H)</v>
      </c>
      <c r="M31" s="14"/>
      <c r="N31" s="51">
        <v>1</v>
      </c>
      <c r="O31" s="2" t="s">
        <v>113</v>
      </c>
      <c r="P31" s="2" t="s">
        <v>1519</v>
      </c>
    </row>
    <row r="32" spans="1:17" x14ac:dyDescent="0.25">
      <c r="A32" s="15" t="s">
        <v>1403</v>
      </c>
      <c r="B32" s="18" t="s">
        <v>1361</v>
      </c>
      <c r="C32" s="2" t="s">
        <v>9</v>
      </c>
      <c r="D32" s="2" t="str">
        <f>VLOOKUP($C32,Sheet1!$A$2:$B$10,2,0)</f>
        <v>141120-14600</v>
      </c>
      <c r="E32" s="8" t="s">
        <v>47</v>
      </c>
      <c r="F32" s="12">
        <v>46015</v>
      </c>
      <c r="G32" s="13">
        <v>0.52083333333333337</v>
      </c>
      <c r="H32" s="2" t="s">
        <v>41</v>
      </c>
      <c r="I32" s="2" t="s">
        <v>42</v>
      </c>
      <c r="J32" s="2">
        <v>18</v>
      </c>
      <c r="K32" s="14">
        <f>VLOOKUP($C32,Sheet1!$A$2:$D$10,4,0)</f>
        <v>18</v>
      </c>
      <c r="L32" s="14" t="str">
        <f>VLOOKUP($C32,Sheet1!$A$2:$E$10,5,0)</f>
        <v>Trolley (H)</v>
      </c>
      <c r="M32" s="14"/>
      <c r="N32" s="52"/>
      <c r="O32" s="2" t="s">
        <v>113</v>
      </c>
      <c r="P32" s="2" t="s">
        <v>1519</v>
      </c>
    </row>
    <row r="33" spans="1:16" x14ac:dyDescent="0.25">
      <c r="A33" s="15" t="s">
        <v>1403</v>
      </c>
      <c r="B33" s="18" t="s">
        <v>1366</v>
      </c>
      <c r="C33" s="2" t="s">
        <v>12</v>
      </c>
      <c r="D33" s="2" t="str">
        <f>VLOOKUP($C33,Sheet1!$A$2:$B$10,2,0)</f>
        <v>141185-74670</v>
      </c>
      <c r="E33" s="8" t="s">
        <v>52</v>
      </c>
      <c r="F33" s="12">
        <v>46015</v>
      </c>
      <c r="G33" s="13">
        <v>0.52083333333333337</v>
      </c>
      <c r="H33" s="2" t="s">
        <v>41</v>
      </c>
      <c r="I33" s="2" t="s">
        <v>42</v>
      </c>
      <c r="J33" s="2">
        <v>80</v>
      </c>
      <c r="K33" s="14">
        <f>VLOOKUP($C33,Sheet1!$A$2:$D$10,4,0)</f>
        <v>40</v>
      </c>
      <c r="L33" s="14" t="str">
        <f>VLOOKUP($C33,Sheet1!$A$2:$E$10,5,0)</f>
        <v>Trolley</v>
      </c>
      <c r="M33" s="14"/>
      <c r="N33" s="2">
        <f>J33/K33</f>
        <v>2</v>
      </c>
      <c r="O33" s="2" t="s">
        <v>113</v>
      </c>
      <c r="P33" s="2" t="s">
        <v>1501</v>
      </c>
    </row>
    <row r="34" spans="1:16" x14ac:dyDescent="0.25">
      <c r="A34" s="15" t="s">
        <v>1403</v>
      </c>
      <c r="B34" s="18" t="s">
        <v>1371</v>
      </c>
      <c r="C34" s="2" t="s">
        <v>16</v>
      </c>
      <c r="D34" s="2" t="str">
        <f>VLOOKUP($C34,Sheet1!$A$2:$B$10,2,0)</f>
        <v>141140-91211</v>
      </c>
      <c r="E34" s="8" t="s">
        <v>57</v>
      </c>
      <c r="F34" s="12">
        <v>46015</v>
      </c>
      <c r="G34" s="13">
        <v>0.52083333333333337</v>
      </c>
      <c r="H34" s="2" t="s">
        <v>58</v>
      </c>
      <c r="I34" s="2" t="s">
        <v>42</v>
      </c>
      <c r="J34" s="2">
        <v>30</v>
      </c>
      <c r="K34" s="14">
        <f>VLOOKUP($C34,Sheet1!$A$2:$D$10,4,0)</f>
        <v>2</v>
      </c>
      <c r="L34" s="14" t="str">
        <f>VLOOKUP($C34,Sheet1!$A$2:$E$10,5,0)</f>
        <v>Bin</v>
      </c>
      <c r="M34" s="14">
        <f t="shared" ref="M34:M35" si="4">J34/K34</f>
        <v>15</v>
      </c>
      <c r="N34" s="2"/>
      <c r="O34" s="2" t="s">
        <v>113</v>
      </c>
      <c r="P34" s="2" t="s">
        <v>1123</v>
      </c>
    </row>
    <row r="35" spans="1:16" x14ac:dyDescent="0.25">
      <c r="A35" s="15" t="s">
        <v>1403</v>
      </c>
      <c r="B35" s="18" t="s">
        <v>1376</v>
      </c>
      <c r="C35" s="2" t="s">
        <v>20</v>
      </c>
      <c r="D35" s="2" t="str">
        <f>VLOOKUP($C35,Sheet1!$A$2:$B$10,2,0)</f>
        <v>141150-91211</v>
      </c>
      <c r="E35" s="8" t="s">
        <v>64</v>
      </c>
      <c r="F35" s="12">
        <v>46015</v>
      </c>
      <c r="G35" s="13">
        <v>0.52083333333333337</v>
      </c>
      <c r="H35" s="2" t="s">
        <v>58</v>
      </c>
      <c r="I35" s="2" t="s">
        <v>42</v>
      </c>
      <c r="J35" s="2">
        <v>30</v>
      </c>
      <c r="K35" s="14">
        <f>VLOOKUP($C35,Sheet1!$A$2:$D$10,4,0)</f>
        <v>2</v>
      </c>
      <c r="L35" s="14" t="str">
        <f>VLOOKUP($C35,Sheet1!$A$2:$E$10,5,0)</f>
        <v>Bin</v>
      </c>
      <c r="M35" s="14">
        <f t="shared" si="4"/>
        <v>15</v>
      </c>
      <c r="N35" s="2"/>
      <c r="O35" s="2" t="s">
        <v>113</v>
      </c>
      <c r="P35" s="2" t="s">
        <v>1496</v>
      </c>
    </row>
    <row r="36" spans="1:16" x14ac:dyDescent="0.25">
      <c r="A36" s="15" t="s">
        <v>1403</v>
      </c>
      <c r="B36" s="18" t="s">
        <v>1381</v>
      </c>
      <c r="C36" s="2" t="s">
        <v>23</v>
      </c>
      <c r="D36" s="2" t="str">
        <f>VLOOKUP($C36,Sheet1!$A$2:$B$10,2,0)</f>
        <v>141186-74360</v>
      </c>
      <c r="E36" s="8" t="s">
        <v>70</v>
      </c>
      <c r="F36" s="12">
        <v>46015</v>
      </c>
      <c r="G36" s="13">
        <v>0.52083333333333337</v>
      </c>
      <c r="H36" s="2" t="s">
        <v>58</v>
      </c>
      <c r="I36" s="2" t="s">
        <v>42</v>
      </c>
      <c r="J36" s="2">
        <v>80</v>
      </c>
      <c r="K36" s="14">
        <f>VLOOKUP($C36,Sheet1!$A$2:$D$10,4,0)</f>
        <v>40</v>
      </c>
      <c r="L36" s="14" t="str">
        <f>VLOOKUP($C36,Sheet1!$A$2:$E$10,5,0)</f>
        <v>Trolley</v>
      </c>
      <c r="M36" s="14"/>
      <c r="N36" s="2">
        <f>J36/K36</f>
        <v>2</v>
      </c>
      <c r="O36" s="2" t="s">
        <v>113</v>
      </c>
      <c r="P36" s="2" t="s">
        <v>1505</v>
      </c>
    </row>
    <row r="37" spans="1:16" x14ac:dyDescent="0.25">
      <c r="A37" s="15" t="s">
        <v>1404</v>
      </c>
      <c r="B37" s="18" t="s">
        <v>1386</v>
      </c>
      <c r="C37" s="2" t="s">
        <v>26</v>
      </c>
      <c r="D37" s="2" t="str">
        <f>VLOOKUP($C37,Sheet1!$A$2:$B$10,2,0)</f>
        <v>116040-92240</v>
      </c>
      <c r="E37" s="8" t="s">
        <v>75</v>
      </c>
      <c r="F37" s="12">
        <v>46015</v>
      </c>
      <c r="G37" s="13">
        <v>0.52083333333333337</v>
      </c>
      <c r="H37" s="2" t="s">
        <v>76</v>
      </c>
      <c r="I37" s="2" t="s">
        <v>42</v>
      </c>
      <c r="J37" s="2">
        <v>30</v>
      </c>
      <c r="K37" s="14">
        <f>VLOOKUP($C37,Sheet1!$A$2:$D$10,4,0)</f>
        <v>6</v>
      </c>
      <c r="L37" s="14" t="str">
        <f>VLOOKUP($C37,Sheet1!$A$2:$E$10,5,0)</f>
        <v>Bin</v>
      </c>
      <c r="M37" s="14">
        <f t="shared" ref="M37:M39" si="5">J37/K37</f>
        <v>5</v>
      </c>
      <c r="N37" s="2"/>
      <c r="O37" s="2" t="s">
        <v>113</v>
      </c>
      <c r="P37" s="2" t="s">
        <v>1502</v>
      </c>
    </row>
    <row r="38" spans="1:16" x14ac:dyDescent="0.25">
      <c r="A38" s="15" t="s">
        <v>1404</v>
      </c>
      <c r="B38" s="18" t="s">
        <v>1391</v>
      </c>
      <c r="C38" s="2" t="s">
        <v>32</v>
      </c>
      <c r="D38" s="2" t="str">
        <f>VLOOKUP($C38,Sheet1!$A$2:$B$10,2,0)</f>
        <v>114010-50820</v>
      </c>
      <c r="E38" s="8" t="s">
        <v>82</v>
      </c>
      <c r="F38" s="12">
        <v>46015</v>
      </c>
      <c r="G38" s="13">
        <v>0.52083333333333337</v>
      </c>
      <c r="H38" s="2" t="s">
        <v>76</v>
      </c>
      <c r="I38" s="2" t="s">
        <v>42</v>
      </c>
      <c r="J38" s="2">
        <v>10</v>
      </c>
      <c r="K38" s="14">
        <f>VLOOKUP($C38,Sheet1!$A$2:$D$10,4,0)</f>
        <v>1</v>
      </c>
      <c r="L38" s="14" t="str">
        <f>VLOOKUP($C38,Sheet1!$A$2:$E$10,5,0)</f>
        <v>Bin</v>
      </c>
      <c r="M38" s="14">
        <f t="shared" si="5"/>
        <v>10</v>
      </c>
      <c r="N38" s="2"/>
      <c r="O38" s="2" t="s">
        <v>113</v>
      </c>
      <c r="P38" s="2" t="s">
        <v>171</v>
      </c>
    </row>
    <row r="39" spans="1:16" x14ac:dyDescent="0.25">
      <c r="A39" s="15" t="s">
        <v>1404</v>
      </c>
      <c r="B39" s="18" t="s">
        <v>1396</v>
      </c>
      <c r="C39" s="2" t="s">
        <v>29</v>
      </c>
      <c r="D39" s="2" t="str">
        <f>VLOOKUP($C39,Sheet1!$A$2:$B$10,2,0)</f>
        <v>114010-50830</v>
      </c>
      <c r="E39" s="8" t="s">
        <v>82</v>
      </c>
      <c r="F39" s="12">
        <v>46015</v>
      </c>
      <c r="G39" s="13">
        <v>0.52083333333333337</v>
      </c>
      <c r="H39" s="2" t="s">
        <v>76</v>
      </c>
      <c r="I39" s="2" t="s">
        <v>42</v>
      </c>
      <c r="J39" s="2">
        <v>20</v>
      </c>
      <c r="K39" s="14">
        <f>VLOOKUP($C39,Sheet1!$A$2:$D$10,4,0)</f>
        <v>1</v>
      </c>
      <c r="L39" s="14" t="str">
        <f>VLOOKUP($C39,Sheet1!$A$2:$E$10,5,0)</f>
        <v>Bin</v>
      </c>
      <c r="M39" s="14">
        <f t="shared" si="5"/>
        <v>20</v>
      </c>
      <c r="N39" s="2"/>
      <c r="O39" s="2" t="s">
        <v>113</v>
      </c>
      <c r="P39" s="2" t="s">
        <v>1496</v>
      </c>
    </row>
    <row r="40" spans="1:16" s="11" customForma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>
        <v>65</v>
      </c>
      <c r="N40" s="10">
        <v>5</v>
      </c>
      <c r="O40" s="10"/>
      <c r="P40" s="10"/>
    </row>
    <row r="41" spans="1:16" x14ac:dyDescent="0.25">
      <c r="A41" s="15" t="s">
        <v>1405</v>
      </c>
      <c r="B41" s="18" t="s">
        <v>1357</v>
      </c>
      <c r="C41" s="2" t="s">
        <v>5</v>
      </c>
      <c r="D41" s="2" t="str">
        <f>VLOOKUP($C41,Sheet1!$A$2:$B$10,2,0)</f>
        <v>141110-14600</v>
      </c>
      <c r="E41" s="8" t="s">
        <v>40</v>
      </c>
      <c r="F41" s="12">
        <v>46015</v>
      </c>
      <c r="G41" s="13">
        <v>0.60416666666666663</v>
      </c>
      <c r="H41" s="2" t="s">
        <v>41</v>
      </c>
      <c r="I41" s="2" t="s">
        <v>42</v>
      </c>
      <c r="J41" s="2">
        <v>36</v>
      </c>
      <c r="K41" s="14">
        <f>VLOOKUP($C41,Sheet1!$A$2:$D$10,4,0)</f>
        <v>18</v>
      </c>
      <c r="L41" s="14" t="str">
        <f>VLOOKUP($C41,Sheet1!$A$2:$E$10,5,0)</f>
        <v>Trolley (H)</v>
      </c>
      <c r="M41" s="14"/>
      <c r="N41" s="51">
        <v>2</v>
      </c>
      <c r="O41" s="2" t="s">
        <v>1202</v>
      </c>
      <c r="P41" s="2" t="s">
        <v>1519</v>
      </c>
    </row>
    <row r="42" spans="1:16" x14ac:dyDescent="0.25">
      <c r="A42" s="15" t="s">
        <v>1405</v>
      </c>
      <c r="B42" s="18" t="s">
        <v>1362</v>
      </c>
      <c r="C42" s="2" t="s">
        <v>9</v>
      </c>
      <c r="D42" s="2" t="str">
        <f>VLOOKUP($C42,Sheet1!$A$2:$B$10,2,0)</f>
        <v>141120-14600</v>
      </c>
      <c r="E42" s="8" t="s">
        <v>47</v>
      </c>
      <c r="F42" s="12">
        <v>46015</v>
      </c>
      <c r="G42" s="13">
        <v>0.60416666666666663</v>
      </c>
      <c r="H42" s="2" t="s">
        <v>41</v>
      </c>
      <c r="I42" s="2" t="s">
        <v>42</v>
      </c>
      <c r="J42" s="2">
        <v>36</v>
      </c>
      <c r="K42" s="14">
        <f>VLOOKUP($C42,Sheet1!$A$2:$D$10,4,0)</f>
        <v>18</v>
      </c>
      <c r="L42" s="14" t="str">
        <f>VLOOKUP($C42,Sheet1!$A$2:$E$10,5,0)</f>
        <v>Trolley (H)</v>
      </c>
      <c r="M42" s="14"/>
      <c r="N42" s="52"/>
      <c r="O42" s="2" t="s">
        <v>1202</v>
      </c>
      <c r="P42" s="2" t="s">
        <v>1519</v>
      </c>
    </row>
    <row r="43" spans="1:16" x14ac:dyDescent="0.25">
      <c r="A43" s="15" t="s">
        <v>1405</v>
      </c>
      <c r="B43" s="18" t="s">
        <v>1367</v>
      </c>
      <c r="C43" s="2" t="s">
        <v>12</v>
      </c>
      <c r="D43" s="2" t="str">
        <f>VLOOKUP($C43,Sheet1!$A$2:$B$10,2,0)</f>
        <v>141185-74670</v>
      </c>
      <c r="E43" s="8" t="s">
        <v>52</v>
      </c>
      <c r="F43" s="12">
        <v>46015</v>
      </c>
      <c r="G43" s="13">
        <v>0.60416666666666663</v>
      </c>
      <c r="H43" s="2" t="s">
        <v>41</v>
      </c>
      <c r="I43" s="2" t="s">
        <v>42</v>
      </c>
      <c r="J43" s="2">
        <v>80</v>
      </c>
      <c r="K43" s="14">
        <f>VLOOKUP($C43,Sheet1!$A$2:$D$10,4,0)</f>
        <v>40</v>
      </c>
      <c r="L43" s="14" t="str">
        <f>VLOOKUP($C43,Sheet1!$A$2:$E$10,5,0)</f>
        <v>Trolley</v>
      </c>
      <c r="M43" s="14"/>
      <c r="N43" s="2">
        <f>J43/K43</f>
        <v>2</v>
      </c>
      <c r="O43" s="2" t="s">
        <v>1202</v>
      </c>
      <c r="P43" s="2" t="s">
        <v>1501</v>
      </c>
    </row>
    <row r="44" spans="1:16" x14ac:dyDescent="0.25">
      <c r="A44" s="15" t="s">
        <v>1405</v>
      </c>
      <c r="B44" s="18" t="s">
        <v>1372</v>
      </c>
      <c r="C44" s="2" t="s">
        <v>16</v>
      </c>
      <c r="D44" s="2" t="str">
        <f>VLOOKUP($C44,Sheet1!$A$2:$B$10,2,0)</f>
        <v>141140-91211</v>
      </c>
      <c r="E44" s="8" t="s">
        <v>57</v>
      </c>
      <c r="F44" s="12">
        <v>46015</v>
      </c>
      <c r="G44" s="13">
        <v>0.60416666666666663</v>
      </c>
      <c r="H44" s="2" t="s">
        <v>58</v>
      </c>
      <c r="I44" s="2" t="s">
        <v>42</v>
      </c>
      <c r="J44" s="2">
        <v>40</v>
      </c>
      <c r="K44" s="14">
        <f>VLOOKUP($C44,Sheet1!$A$2:$D$10,4,0)</f>
        <v>2</v>
      </c>
      <c r="L44" s="14" t="str">
        <f>VLOOKUP($C44,Sheet1!$A$2:$E$10,5,0)</f>
        <v>Bin</v>
      </c>
      <c r="M44" s="14">
        <f t="shared" ref="M44:M45" si="6">J44/K44</f>
        <v>20</v>
      </c>
      <c r="N44" s="2"/>
      <c r="O44" s="2" t="s">
        <v>1202</v>
      </c>
      <c r="P44" s="2" t="s">
        <v>1123</v>
      </c>
    </row>
    <row r="45" spans="1:16" x14ac:dyDescent="0.25">
      <c r="A45" s="15" t="s">
        <v>1405</v>
      </c>
      <c r="B45" s="18" t="s">
        <v>1377</v>
      </c>
      <c r="C45" s="2" t="s">
        <v>20</v>
      </c>
      <c r="D45" s="2" t="str">
        <f>VLOOKUP($C45,Sheet1!$A$2:$B$10,2,0)</f>
        <v>141150-91211</v>
      </c>
      <c r="E45" s="8" t="s">
        <v>64</v>
      </c>
      <c r="F45" s="12">
        <v>46015</v>
      </c>
      <c r="G45" s="13">
        <v>0.60416666666666663</v>
      </c>
      <c r="H45" s="2" t="s">
        <v>58</v>
      </c>
      <c r="I45" s="2" t="s">
        <v>42</v>
      </c>
      <c r="J45" s="2">
        <v>40</v>
      </c>
      <c r="K45" s="14">
        <f>VLOOKUP($C45,Sheet1!$A$2:$D$10,4,0)</f>
        <v>2</v>
      </c>
      <c r="L45" s="14" t="str">
        <f>VLOOKUP($C45,Sheet1!$A$2:$E$10,5,0)</f>
        <v>Bin</v>
      </c>
      <c r="M45" s="14">
        <f t="shared" si="6"/>
        <v>20</v>
      </c>
      <c r="N45" s="2"/>
      <c r="O45" s="2" t="s">
        <v>1202</v>
      </c>
      <c r="P45" s="2" t="s">
        <v>1496</v>
      </c>
    </row>
    <row r="46" spans="1:16" x14ac:dyDescent="0.25">
      <c r="A46" s="15" t="s">
        <v>1405</v>
      </c>
      <c r="B46" s="18" t="s">
        <v>1382</v>
      </c>
      <c r="C46" s="2" t="s">
        <v>23</v>
      </c>
      <c r="D46" s="2" t="str">
        <f>VLOOKUP($C46,Sheet1!$A$2:$B$10,2,0)</f>
        <v>141186-74360</v>
      </c>
      <c r="E46" s="8" t="s">
        <v>70</v>
      </c>
      <c r="F46" s="12">
        <v>46015</v>
      </c>
      <c r="G46" s="13">
        <v>0.60416666666666663</v>
      </c>
      <c r="H46" s="2" t="s">
        <v>58</v>
      </c>
      <c r="I46" s="2" t="s">
        <v>42</v>
      </c>
      <c r="J46" s="2">
        <v>80</v>
      </c>
      <c r="K46" s="14">
        <f>VLOOKUP($C46,Sheet1!$A$2:$D$10,4,0)</f>
        <v>40</v>
      </c>
      <c r="L46" s="14" t="str">
        <f>VLOOKUP($C46,Sheet1!$A$2:$E$10,5,0)</f>
        <v>Trolley</v>
      </c>
      <c r="M46" s="14"/>
      <c r="N46" s="2">
        <f>J46/K46</f>
        <v>2</v>
      </c>
      <c r="O46" s="2" t="s">
        <v>1202</v>
      </c>
      <c r="P46" s="2" t="s">
        <v>1505</v>
      </c>
    </row>
    <row r="47" spans="1:16" x14ac:dyDescent="0.25">
      <c r="A47" s="15" t="s">
        <v>1406</v>
      </c>
      <c r="B47" s="18" t="s">
        <v>1387</v>
      </c>
      <c r="C47" s="2" t="s">
        <v>26</v>
      </c>
      <c r="D47" s="2" t="str">
        <f>VLOOKUP($C47,Sheet1!$A$2:$B$10,2,0)</f>
        <v>116040-92240</v>
      </c>
      <c r="E47" s="8" t="s">
        <v>75</v>
      </c>
      <c r="F47" s="12">
        <v>46015</v>
      </c>
      <c r="G47" s="13">
        <v>0.60416666666666663</v>
      </c>
      <c r="H47" s="2" t="s">
        <v>76</v>
      </c>
      <c r="I47" s="2" t="s">
        <v>42</v>
      </c>
      <c r="J47" s="2">
        <v>36</v>
      </c>
      <c r="K47" s="14">
        <f>VLOOKUP($C47,Sheet1!$A$2:$D$10,4,0)</f>
        <v>6</v>
      </c>
      <c r="L47" s="14" t="str">
        <f>VLOOKUP($C47,Sheet1!$A$2:$E$10,5,0)</f>
        <v>Bin</v>
      </c>
      <c r="M47" s="14">
        <f t="shared" ref="M47:M50" si="7">J47/K47</f>
        <v>6</v>
      </c>
      <c r="N47" s="2"/>
      <c r="O47" s="2" t="s">
        <v>1202</v>
      </c>
      <c r="P47" s="2" t="s">
        <v>1502</v>
      </c>
    </row>
    <row r="48" spans="1:16" x14ac:dyDescent="0.25">
      <c r="A48" s="15" t="s">
        <v>1406</v>
      </c>
      <c r="B48" s="18" t="s">
        <v>1392</v>
      </c>
      <c r="C48" s="2" t="s">
        <v>32</v>
      </c>
      <c r="D48" s="2" t="str">
        <f>VLOOKUP($C48,Sheet1!$A$2:$B$10,2,0)</f>
        <v>114010-50820</v>
      </c>
      <c r="E48" s="8" t="s">
        <v>82</v>
      </c>
      <c r="F48" s="12">
        <v>46015</v>
      </c>
      <c r="G48" s="13">
        <v>0.60416666666666663</v>
      </c>
      <c r="H48" s="2" t="s">
        <v>76</v>
      </c>
      <c r="I48" s="2" t="s">
        <v>42</v>
      </c>
      <c r="J48" s="2">
        <v>9</v>
      </c>
      <c r="K48" s="14">
        <f>VLOOKUP($C48,Sheet1!$A$2:$D$10,4,0)</f>
        <v>1</v>
      </c>
      <c r="L48" s="14" t="str">
        <f>VLOOKUP($C48,Sheet1!$A$2:$E$10,5,0)</f>
        <v>Bin</v>
      </c>
      <c r="M48" s="14">
        <f t="shared" si="7"/>
        <v>9</v>
      </c>
      <c r="N48" s="2"/>
      <c r="O48" s="2" t="s">
        <v>1202</v>
      </c>
      <c r="P48" s="2" t="s">
        <v>171</v>
      </c>
    </row>
    <row r="49" spans="1:16" ht="15.75" thickBot="1" x14ac:dyDescent="0.3">
      <c r="A49" s="15" t="s">
        <v>1406</v>
      </c>
      <c r="B49" s="18" t="s">
        <v>1397</v>
      </c>
      <c r="C49" s="2" t="s">
        <v>29</v>
      </c>
      <c r="D49" s="2" t="str">
        <f>VLOOKUP($C49,Sheet1!$A$2:$B$10,2,0)</f>
        <v>114010-50830</v>
      </c>
      <c r="E49" s="8" t="s">
        <v>82</v>
      </c>
      <c r="F49" s="12">
        <v>46015</v>
      </c>
      <c r="G49" s="17">
        <v>0.60416666666666663</v>
      </c>
      <c r="H49" s="2" t="s">
        <v>76</v>
      </c>
      <c r="I49" s="2" t="s">
        <v>42</v>
      </c>
      <c r="J49" s="2">
        <v>28</v>
      </c>
      <c r="K49" s="14">
        <f>VLOOKUP($C49,Sheet1!$A$2:$D$10,4,0)</f>
        <v>1</v>
      </c>
      <c r="L49" s="14" t="str">
        <f>VLOOKUP($C49,Sheet1!$A$2:$E$10,5,0)</f>
        <v>Bin</v>
      </c>
      <c r="M49" s="14">
        <f t="shared" si="7"/>
        <v>28</v>
      </c>
      <c r="N49" s="2"/>
      <c r="O49" s="2" t="s">
        <v>1202</v>
      </c>
      <c r="P49" s="2" t="s">
        <v>453</v>
      </c>
    </row>
    <row r="50" spans="1:16" ht="15.75" thickTop="1" x14ac:dyDescent="0.25">
      <c r="A50" s="15" t="s">
        <v>1407</v>
      </c>
      <c r="B50" s="18" t="s">
        <v>1398</v>
      </c>
      <c r="C50" s="2" t="s">
        <v>29</v>
      </c>
      <c r="D50" s="2" t="str">
        <f>VLOOKUP($C50,Sheet1!$A$2:$B$10,2,0)</f>
        <v>114010-50830</v>
      </c>
      <c r="E50" s="8" t="s">
        <v>82</v>
      </c>
      <c r="F50" s="12">
        <v>46015</v>
      </c>
      <c r="G50" s="29">
        <v>0.6875</v>
      </c>
      <c r="H50" s="2" t="s">
        <v>76</v>
      </c>
      <c r="I50" s="2" t="s">
        <v>42</v>
      </c>
      <c r="J50" s="2">
        <v>11</v>
      </c>
      <c r="K50" s="14">
        <f>VLOOKUP($C50,Sheet1!$A$2:$D$10,4,0)</f>
        <v>1</v>
      </c>
      <c r="L50" s="14" t="str">
        <f>VLOOKUP($C50,Sheet1!$A$2:$E$10,5,0)</f>
        <v>Bin</v>
      </c>
      <c r="M50" s="14">
        <f t="shared" si="7"/>
        <v>11</v>
      </c>
      <c r="N50" s="2"/>
      <c r="O50" s="2" t="s">
        <v>1202</v>
      </c>
      <c r="P50" s="2" t="s">
        <v>453</v>
      </c>
    </row>
    <row r="51" spans="1:16" s="11" customForma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>
        <v>94</v>
      </c>
      <c r="N51" s="10">
        <v>6</v>
      </c>
      <c r="O51" s="10"/>
      <c r="P51" s="10"/>
    </row>
  </sheetData>
  <mergeCells count="8">
    <mergeCell ref="N31:N32"/>
    <mergeCell ref="N41:N42"/>
    <mergeCell ref="N23:N24"/>
    <mergeCell ref="A1:F1"/>
    <mergeCell ref="J1:N1"/>
    <mergeCell ref="L2:N2"/>
    <mergeCell ref="N17:N18"/>
    <mergeCell ref="N4:N5"/>
  </mergeCells>
  <phoneticPr fontId="5" type="noConversion"/>
  <conditionalFormatting sqref="B2">
    <cfRule type="duplicateValues" dxfId="19" priority="2"/>
    <cfRule type="duplicateValues" dxfId="18" priority="3"/>
  </conditionalFormatting>
  <conditionalFormatting sqref="B4:B15 B41:B50 B31:B39 B17:B29">
    <cfRule type="duplicateValues" dxfId="17" priority="28"/>
  </conditionalFormatting>
  <conditionalFormatting sqref="C2:D2">
    <cfRule type="duplicateValues" dxfId="16" priority="4"/>
    <cfRule type="duplicateValues" dxfId="15" priority="5"/>
  </conditionalFormatting>
  <pageMargins left="0.17" right="0.17" top="0.28000000000000003" bottom="0.17" header="0.17" footer="0.17"/>
  <pageSetup paperSize="9" scale="64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P34"/>
  <sheetViews>
    <sheetView workbookViewId="0">
      <selection activeCell="P22" sqref="P22"/>
    </sheetView>
  </sheetViews>
  <sheetFormatPr defaultColWidth="21.140625" defaultRowHeight="15" x14ac:dyDescent="0.25"/>
  <cols>
    <col min="1" max="1" width="15.140625" bestFit="1" customWidth="1"/>
    <col min="2" max="2" width="17.28515625" customWidth="1"/>
    <col min="3" max="3" width="14.140625" bestFit="1" customWidth="1"/>
    <col min="4" max="4" width="14.140625" customWidth="1"/>
    <col min="5" max="5" width="32.5703125" bestFit="1" customWidth="1"/>
    <col min="6" max="6" width="12.7109375" bestFit="1" customWidth="1"/>
    <col min="7" max="7" width="7.7109375" bestFit="1" customWidth="1"/>
    <col min="8" max="8" width="12.140625" bestFit="1" customWidth="1"/>
    <col min="9" max="9" width="4.7109375" bestFit="1" customWidth="1"/>
    <col min="10" max="10" width="8" bestFit="1" customWidth="1"/>
    <col min="11" max="11" width="9" customWidth="1"/>
    <col min="12" max="12" width="10.28515625" customWidth="1"/>
    <col min="13" max="13" width="7.140625" bestFit="1" customWidth="1"/>
    <col min="14" max="14" width="7.85546875" bestFit="1" customWidth="1"/>
    <col min="15" max="15" width="10.7109375" customWidth="1"/>
    <col min="16" max="16" width="44.7109375" customWidth="1"/>
  </cols>
  <sheetData>
    <row r="1" spans="1:16" ht="23.25" x14ac:dyDescent="0.25">
      <c r="A1" s="53" t="s">
        <v>93</v>
      </c>
      <c r="B1" s="53"/>
      <c r="C1" s="53"/>
      <c r="D1" s="53"/>
      <c r="E1" s="53"/>
      <c r="F1" s="53"/>
      <c r="G1" s="2"/>
      <c r="H1" s="2"/>
      <c r="I1" s="2"/>
      <c r="J1" s="54" t="s">
        <v>94</v>
      </c>
      <c r="K1" s="55"/>
      <c r="L1" s="55"/>
      <c r="M1" s="55"/>
      <c r="N1" s="55"/>
      <c r="O1" s="3"/>
      <c r="P1" s="4"/>
    </row>
    <row r="2" spans="1:16" ht="15.75" x14ac:dyDescent="0.25">
      <c r="A2" s="5" t="s">
        <v>95</v>
      </c>
      <c r="B2" s="6">
        <v>46016</v>
      </c>
      <c r="C2" s="7"/>
      <c r="D2" s="7"/>
      <c r="E2" s="2"/>
      <c r="F2" s="8"/>
      <c r="G2" s="2"/>
      <c r="H2" s="2"/>
      <c r="I2" s="2"/>
      <c r="J2" s="2"/>
      <c r="K2" s="2"/>
      <c r="L2" s="56" t="s">
        <v>96</v>
      </c>
      <c r="M2" s="57"/>
      <c r="N2" s="58"/>
      <c r="O2" s="2"/>
      <c r="P2" s="2"/>
    </row>
    <row r="3" spans="1:16" s="11" customFormat="1" ht="30" x14ac:dyDescent="0.25">
      <c r="A3" s="10" t="s">
        <v>97</v>
      </c>
      <c r="B3" s="10" t="s">
        <v>35</v>
      </c>
      <c r="C3" s="10" t="s">
        <v>0</v>
      </c>
      <c r="D3" s="10" t="s">
        <v>98</v>
      </c>
      <c r="E3" s="10" t="s">
        <v>2</v>
      </c>
      <c r="F3" s="10" t="s">
        <v>36</v>
      </c>
      <c r="G3" s="10" t="s">
        <v>37</v>
      </c>
      <c r="H3" s="10" t="s">
        <v>38</v>
      </c>
      <c r="I3" s="10" t="s">
        <v>99</v>
      </c>
      <c r="J3" s="10" t="s">
        <v>100</v>
      </c>
      <c r="K3" s="10" t="s">
        <v>101</v>
      </c>
      <c r="L3" s="10" t="s">
        <v>102</v>
      </c>
      <c r="M3" s="10" t="s">
        <v>103</v>
      </c>
      <c r="N3" s="10" t="s">
        <v>104</v>
      </c>
      <c r="O3" s="10" t="s">
        <v>96</v>
      </c>
      <c r="P3" s="10" t="s">
        <v>105</v>
      </c>
    </row>
    <row r="4" spans="1:16" x14ac:dyDescent="0.25">
      <c r="A4" s="15" t="s">
        <v>1436</v>
      </c>
      <c r="B4" s="18" t="s">
        <v>1417</v>
      </c>
      <c r="C4" s="2" t="s">
        <v>5</v>
      </c>
      <c r="D4" s="2" t="str">
        <f>VLOOKUP($C4,Sheet1!$A$2:$B$10,2,0)</f>
        <v>141110-14600</v>
      </c>
      <c r="E4" s="8" t="s">
        <v>40</v>
      </c>
      <c r="F4" s="12">
        <v>46016</v>
      </c>
      <c r="G4" s="13">
        <v>0.27083333333333331</v>
      </c>
      <c r="H4" s="2" t="s">
        <v>41</v>
      </c>
      <c r="I4" s="2" t="s">
        <v>42</v>
      </c>
      <c r="J4" s="2">
        <v>54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1">
        <v>3</v>
      </c>
      <c r="O4" s="2" t="s">
        <v>1001</v>
      </c>
      <c r="P4" s="2" t="s">
        <v>1519</v>
      </c>
    </row>
    <row r="5" spans="1:16" x14ac:dyDescent="0.25">
      <c r="A5" s="15" t="s">
        <v>1436</v>
      </c>
      <c r="B5" s="18" t="s">
        <v>1419</v>
      </c>
      <c r="C5" s="2" t="s">
        <v>9</v>
      </c>
      <c r="D5" s="2" t="str">
        <f>VLOOKUP($C5,Sheet1!$A$2:$B$10,2,0)</f>
        <v>141120-14600</v>
      </c>
      <c r="E5" s="8" t="s">
        <v>47</v>
      </c>
      <c r="F5" s="12">
        <v>46016</v>
      </c>
      <c r="G5" s="13">
        <v>0.27083333333333331</v>
      </c>
      <c r="H5" s="2" t="s">
        <v>41</v>
      </c>
      <c r="I5" s="2" t="s">
        <v>42</v>
      </c>
      <c r="J5" s="2">
        <v>54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2"/>
      <c r="O5" s="2" t="s">
        <v>1001</v>
      </c>
      <c r="P5" s="2" t="s">
        <v>1519</v>
      </c>
    </row>
    <row r="6" spans="1:16" x14ac:dyDescent="0.25">
      <c r="A6" s="15" t="s">
        <v>1436</v>
      </c>
      <c r="B6" s="18" t="s">
        <v>1421</v>
      </c>
      <c r="C6" s="2" t="s">
        <v>12</v>
      </c>
      <c r="D6" s="2" t="str">
        <f>VLOOKUP($C6,Sheet1!$A$2:$B$10,2,0)</f>
        <v>141185-74670</v>
      </c>
      <c r="E6" s="8" t="s">
        <v>52</v>
      </c>
      <c r="F6" s="12">
        <v>46016</v>
      </c>
      <c r="G6" s="13">
        <v>0.27083333333333331</v>
      </c>
      <c r="H6" s="2" t="s">
        <v>41</v>
      </c>
      <c r="I6" s="2" t="s">
        <v>42</v>
      </c>
      <c r="J6" s="2">
        <v>120</v>
      </c>
      <c r="K6" s="14">
        <f>VLOOKUP($C6,Sheet1!$A$2:$D$10,4,0)</f>
        <v>40</v>
      </c>
      <c r="L6" s="14" t="str">
        <f>VLOOKUP($C6,Sheet1!$A$2:$E$10,5,0)</f>
        <v>Trolley</v>
      </c>
      <c r="M6" s="14"/>
      <c r="N6" s="2">
        <f>J6/K6</f>
        <v>3</v>
      </c>
      <c r="O6" s="2" t="s">
        <v>1001</v>
      </c>
      <c r="P6" s="2" t="s">
        <v>1513</v>
      </c>
    </row>
    <row r="7" spans="1:16" x14ac:dyDescent="0.25">
      <c r="A7" s="15" t="s">
        <v>1436</v>
      </c>
      <c r="B7" s="18" t="s">
        <v>1423</v>
      </c>
      <c r="C7" s="2" t="s">
        <v>16</v>
      </c>
      <c r="D7" s="2" t="str">
        <f>VLOOKUP($C7,Sheet1!$A$2:$B$10,2,0)</f>
        <v>141140-91211</v>
      </c>
      <c r="E7" s="8" t="s">
        <v>57</v>
      </c>
      <c r="F7" s="12">
        <v>46016</v>
      </c>
      <c r="G7" s="13">
        <v>0.27083333333333331</v>
      </c>
      <c r="H7" s="2" t="s">
        <v>58</v>
      </c>
      <c r="I7" s="2" t="s">
        <v>42</v>
      </c>
      <c r="J7" s="2">
        <v>52</v>
      </c>
      <c r="K7" s="14">
        <f>VLOOKUP($C7,Sheet1!$A$2:$D$10,4,0)</f>
        <v>2</v>
      </c>
      <c r="L7" s="14" t="str">
        <f>VLOOKUP($C7,Sheet1!$A$2:$E$10,5,0)</f>
        <v>Bin</v>
      </c>
      <c r="M7" s="14">
        <f t="shared" ref="M7:M8" si="0">J7/K7</f>
        <v>26</v>
      </c>
      <c r="N7" s="2"/>
      <c r="O7" s="2" t="s">
        <v>1001</v>
      </c>
      <c r="P7" s="2" t="s">
        <v>453</v>
      </c>
    </row>
    <row r="8" spans="1:16" x14ac:dyDescent="0.25">
      <c r="A8" s="15" t="s">
        <v>1436</v>
      </c>
      <c r="B8" s="18" t="s">
        <v>1425</v>
      </c>
      <c r="C8" s="2" t="s">
        <v>20</v>
      </c>
      <c r="D8" s="2" t="str">
        <f>VLOOKUP($C8,Sheet1!$A$2:$B$10,2,0)</f>
        <v>141150-91211</v>
      </c>
      <c r="E8" s="8" t="s">
        <v>64</v>
      </c>
      <c r="F8" s="12">
        <v>46016</v>
      </c>
      <c r="G8" s="13">
        <v>0.27083333333333331</v>
      </c>
      <c r="H8" s="2" t="s">
        <v>58</v>
      </c>
      <c r="I8" s="2" t="s">
        <v>42</v>
      </c>
      <c r="J8" s="2">
        <v>52</v>
      </c>
      <c r="K8" s="14">
        <f>VLOOKUP($C8,Sheet1!$A$2:$D$10,4,0)</f>
        <v>2</v>
      </c>
      <c r="L8" s="14" t="str">
        <f>VLOOKUP($C8,Sheet1!$A$2:$E$10,5,0)</f>
        <v>Bin</v>
      </c>
      <c r="M8" s="14">
        <f t="shared" si="0"/>
        <v>26</v>
      </c>
      <c r="N8" s="2"/>
      <c r="O8" s="2" t="s">
        <v>1001</v>
      </c>
      <c r="P8" s="2" t="s">
        <v>1496</v>
      </c>
    </row>
    <row r="9" spans="1:16" x14ac:dyDescent="0.25">
      <c r="A9" s="15" t="s">
        <v>1436</v>
      </c>
      <c r="B9" s="18" t="s">
        <v>1427</v>
      </c>
      <c r="C9" s="18" t="s">
        <v>23</v>
      </c>
      <c r="D9" s="2" t="str">
        <f>VLOOKUP($C9,Sheet1!$A$2:$B$10,2,0)</f>
        <v>141186-74360</v>
      </c>
      <c r="E9" s="8" t="s">
        <v>70</v>
      </c>
      <c r="F9" s="12">
        <v>46016</v>
      </c>
      <c r="G9" s="13">
        <v>0.27083333333333331</v>
      </c>
      <c r="H9" s="2" t="s">
        <v>58</v>
      </c>
      <c r="I9" s="2" t="s">
        <v>42</v>
      </c>
      <c r="J9" s="2">
        <v>80</v>
      </c>
      <c r="K9" s="14">
        <f>VLOOKUP($C9,Sheet1!$A$2:$D$10,4,0)</f>
        <v>40</v>
      </c>
      <c r="L9" s="14" t="str">
        <f>VLOOKUP($C9,Sheet1!$A$2:$E$10,5,0)</f>
        <v>Trolley</v>
      </c>
      <c r="M9" s="14"/>
      <c r="N9" s="2">
        <f t="shared" ref="N9" si="1">J9/K9</f>
        <v>2</v>
      </c>
      <c r="O9" s="2" t="s">
        <v>1001</v>
      </c>
      <c r="P9" s="2" t="s">
        <v>1505</v>
      </c>
    </row>
    <row r="10" spans="1:16" x14ac:dyDescent="0.25">
      <c r="A10" s="15" t="s">
        <v>1437</v>
      </c>
      <c r="B10" s="18" t="s">
        <v>1429</v>
      </c>
      <c r="C10" s="2" t="s">
        <v>26</v>
      </c>
      <c r="D10" s="2" t="str">
        <f>VLOOKUP($C10,Sheet1!$A$2:$B$10,2,0)</f>
        <v>116040-92240</v>
      </c>
      <c r="E10" s="8" t="s">
        <v>75</v>
      </c>
      <c r="F10" s="12">
        <v>46016</v>
      </c>
      <c r="G10" s="13">
        <v>0.27083333333333331</v>
      </c>
      <c r="H10" s="2" t="s">
        <v>76</v>
      </c>
      <c r="I10" s="2" t="s">
        <v>42</v>
      </c>
      <c r="J10" s="2">
        <v>54</v>
      </c>
      <c r="K10" s="14">
        <f>VLOOKUP($C10,Sheet1!$A$2:$D$10,4,0)</f>
        <v>6</v>
      </c>
      <c r="L10" s="14" t="str">
        <f>VLOOKUP($C10,Sheet1!$A$2:$E$10,5,0)</f>
        <v>Bin</v>
      </c>
      <c r="M10" s="14">
        <f t="shared" ref="M10:M15" si="2">J10/K10</f>
        <v>9</v>
      </c>
      <c r="N10" s="2"/>
      <c r="O10" s="2" t="s">
        <v>1001</v>
      </c>
      <c r="P10" s="2" t="s">
        <v>1502</v>
      </c>
    </row>
    <row r="11" spans="1:16" x14ac:dyDescent="0.25">
      <c r="A11" s="15" t="s">
        <v>1437</v>
      </c>
      <c r="B11" s="18" t="s">
        <v>1388</v>
      </c>
      <c r="C11" s="2" t="s">
        <v>26</v>
      </c>
      <c r="D11" s="2" t="str">
        <f>VLOOKUP($C11,Sheet1!$A$2:$B$10,2,0)</f>
        <v>116040-92240</v>
      </c>
      <c r="E11" s="8" t="s">
        <v>75</v>
      </c>
      <c r="F11" s="12">
        <v>46016</v>
      </c>
      <c r="G11" s="13">
        <v>0.27083333333333331</v>
      </c>
      <c r="H11" s="2" t="s">
        <v>76</v>
      </c>
      <c r="I11" s="2" t="s">
        <v>42</v>
      </c>
      <c r="J11" s="2">
        <v>18</v>
      </c>
      <c r="K11" s="14">
        <f>VLOOKUP($C11,Sheet1!$A$2:$D$10,4,0)</f>
        <v>6</v>
      </c>
      <c r="L11" s="14" t="str">
        <f>VLOOKUP($C11,Sheet1!$A$2:$E$10,5,0)</f>
        <v>Bin</v>
      </c>
      <c r="M11" s="14">
        <f>J11/K11</f>
        <v>3</v>
      </c>
      <c r="N11" s="2"/>
      <c r="O11" s="2" t="s">
        <v>1001</v>
      </c>
      <c r="P11" s="2" t="s">
        <v>1502</v>
      </c>
    </row>
    <row r="12" spans="1:16" x14ac:dyDescent="0.25">
      <c r="A12" s="15" t="s">
        <v>1437</v>
      </c>
      <c r="B12" s="18" t="s">
        <v>1431</v>
      </c>
      <c r="C12" s="2" t="s">
        <v>32</v>
      </c>
      <c r="D12" s="2" t="str">
        <f>VLOOKUP($C12,Sheet1!$A$2:$B$10,2,0)</f>
        <v>114010-50820</v>
      </c>
      <c r="E12" s="8" t="s">
        <v>82</v>
      </c>
      <c r="F12" s="12">
        <v>46016</v>
      </c>
      <c r="G12" s="13">
        <v>0.27083333333333331</v>
      </c>
      <c r="H12" s="2" t="s">
        <v>76</v>
      </c>
      <c r="I12" s="2" t="s">
        <v>42</v>
      </c>
      <c r="J12" s="2">
        <v>26</v>
      </c>
      <c r="K12" s="14">
        <f>VLOOKUP($C12,Sheet1!$A$2:$D$10,4,0)</f>
        <v>1</v>
      </c>
      <c r="L12" s="14" t="str">
        <f>VLOOKUP($C12,Sheet1!$A$2:$E$10,5,0)</f>
        <v>Bin</v>
      </c>
      <c r="M12" s="14">
        <f t="shared" si="2"/>
        <v>26</v>
      </c>
      <c r="N12" s="2"/>
      <c r="O12" s="2" t="s">
        <v>1001</v>
      </c>
      <c r="P12" s="51" t="s">
        <v>1514</v>
      </c>
    </row>
    <row r="13" spans="1:16" x14ac:dyDescent="0.25">
      <c r="A13" s="15" t="s">
        <v>1437</v>
      </c>
      <c r="B13" s="18" t="s">
        <v>1393</v>
      </c>
      <c r="C13" s="2" t="s">
        <v>32</v>
      </c>
      <c r="D13" s="2" t="str">
        <f>VLOOKUP($C13,Sheet1!$A$2:$B$10,2,0)</f>
        <v>114010-50820</v>
      </c>
      <c r="E13" s="8" t="s">
        <v>82</v>
      </c>
      <c r="F13" s="12">
        <v>46016</v>
      </c>
      <c r="G13" s="13">
        <v>0.27083333333333331</v>
      </c>
      <c r="H13" s="2" t="s">
        <v>76</v>
      </c>
      <c r="I13" s="2" t="s">
        <v>42</v>
      </c>
      <c r="J13" s="2">
        <v>5</v>
      </c>
      <c r="K13" s="14">
        <f>VLOOKUP($C13,Sheet1!$A$2:$D$10,4,0)</f>
        <v>1</v>
      </c>
      <c r="L13" s="14" t="str">
        <f>VLOOKUP($C13,Sheet1!$A$2:$E$10,5,0)</f>
        <v>Bin</v>
      </c>
      <c r="M13" s="14">
        <f>J13/K13</f>
        <v>5</v>
      </c>
      <c r="N13" s="2"/>
      <c r="O13" s="2" t="s">
        <v>1001</v>
      </c>
      <c r="P13" s="52"/>
    </row>
    <row r="14" spans="1:16" x14ac:dyDescent="0.25">
      <c r="A14" s="15" t="s">
        <v>1437</v>
      </c>
      <c r="B14" s="18" t="s">
        <v>1399</v>
      </c>
      <c r="C14" s="2" t="s">
        <v>29</v>
      </c>
      <c r="D14" s="2" t="str">
        <f>VLOOKUP($C14,Sheet1!$A$2:$B$10,2,0)</f>
        <v>114010-50830</v>
      </c>
      <c r="E14" s="8" t="s">
        <v>82</v>
      </c>
      <c r="F14" s="12">
        <v>46016</v>
      </c>
      <c r="G14" s="13">
        <v>0.27083333333333331</v>
      </c>
      <c r="H14" s="2" t="s">
        <v>76</v>
      </c>
      <c r="I14" s="2" t="s">
        <v>42</v>
      </c>
      <c r="J14" s="2">
        <v>3</v>
      </c>
      <c r="K14" s="14">
        <f>VLOOKUP($C14,Sheet1!$A$2:$D$10,4,0)</f>
        <v>1</v>
      </c>
      <c r="L14" s="14" t="str">
        <f>VLOOKUP($C14,Sheet1!$A$2:$E$10,5,0)</f>
        <v>Bin</v>
      </c>
      <c r="M14" s="14">
        <f>J14/K14</f>
        <v>3</v>
      </c>
      <c r="N14" s="2"/>
      <c r="O14" s="2" t="s">
        <v>1001</v>
      </c>
      <c r="P14" s="2" t="s">
        <v>453</v>
      </c>
    </row>
    <row r="15" spans="1:16" x14ac:dyDescent="0.25">
      <c r="A15" s="15" t="s">
        <v>1437</v>
      </c>
      <c r="B15" s="18" t="s">
        <v>1433</v>
      </c>
      <c r="C15" s="2" t="s">
        <v>29</v>
      </c>
      <c r="D15" s="2" t="str">
        <f>VLOOKUP($C15,Sheet1!$A$2:$B$10,2,0)</f>
        <v>114010-50830</v>
      </c>
      <c r="E15" s="8" t="s">
        <v>82</v>
      </c>
      <c r="F15" s="12">
        <v>46016</v>
      </c>
      <c r="G15" s="13">
        <v>0.27083333333333331</v>
      </c>
      <c r="H15" s="2" t="s">
        <v>76</v>
      </c>
      <c r="I15" s="2" t="s">
        <v>42</v>
      </c>
      <c r="J15" s="2">
        <v>26</v>
      </c>
      <c r="K15" s="14">
        <f>VLOOKUP($C15,Sheet1!$A$2:$D$10,4,0)</f>
        <v>1</v>
      </c>
      <c r="L15" s="14" t="str">
        <f>VLOOKUP($C15,Sheet1!$A$2:$E$10,5,0)</f>
        <v>Bin</v>
      </c>
      <c r="M15" s="14">
        <f t="shared" si="2"/>
        <v>26</v>
      </c>
      <c r="N15" s="2"/>
      <c r="O15" s="2" t="s">
        <v>1001</v>
      </c>
      <c r="P15" s="2" t="s">
        <v>453</v>
      </c>
    </row>
    <row r="16" spans="1:16" s="11" customFormat="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>
        <v>124</v>
      </c>
      <c r="N16" s="10">
        <v>8</v>
      </c>
      <c r="O16" s="10"/>
      <c r="P16" s="10"/>
    </row>
    <row r="17" spans="1:16" x14ac:dyDescent="0.25">
      <c r="A17" s="15" t="s">
        <v>1438</v>
      </c>
      <c r="B17" s="18" t="s">
        <v>1358</v>
      </c>
      <c r="C17" s="2" t="s">
        <v>5</v>
      </c>
      <c r="D17" s="2" t="str">
        <f>VLOOKUP($C17,Sheet1!$A$2:$B$10,2,0)</f>
        <v>141110-14600</v>
      </c>
      <c r="E17" s="8" t="s">
        <v>40</v>
      </c>
      <c r="F17" s="12">
        <v>46016</v>
      </c>
      <c r="G17" s="13">
        <v>0.27083333333333331</v>
      </c>
      <c r="H17" s="2" t="s">
        <v>41</v>
      </c>
      <c r="I17" s="2" t="s">
        <v>42</v>
      </c>
      <c r="J17" s="2">
        <v>18</v>
      </c>
      <c r="K17" s="14">
        <f>VLOOKUP($C17,Sheet1!$A$2:$D$10,4,0)</f>
        <v>18</v>
      </c>
      <c r="L17" s="14" t="str">
        <f>VLOOKUP($C17,Sheet1!$A$2:$E$10,5,0)</f>
        <v>Trolley (H)</v>
      </c>
      <c r="M17" s="14"/>
      <c r="N17" s="51">
        <v>1</v>
      </c>
      <c r="O17" s="2" t="s">
        <v>112</v>
      </c>
      <c r="P17" s="2" t="s">
        <v>1519</v>
      </c>
    </row>
    <row r="18" spans="1:16" x14ac:dyDescent="0.25">
      <c r="A18" s="15" t="s">
        <v>1438</v>
      </c>
      <c r="B18" s="18" t="s">
        <v>1363</v>
      </c>
      <c r="C18" s="2" t="s">
        <v>9</v>
      </c>
      <c r="D18" s="2" t="str">
        <f>VLOOKUP($C18,Sheet1!$A$2:$B$10,2,0)</f>
        <v>141120-14600</v>
      </c>
      <c r="E18" s="8" t="s">
        <v>47</v>
      </c>
      <c r="F18" s="12">
        <v>46016</v>
      </c>
      <c r="G18" s="13">
        <v>0.27083333333333331</v>
      </c>
      <c r="H18" s="2" t="s">
        <v>41</v>
      </c>
      <c r="I18" s="2" t="s">
        <v>42</v>
      </c>
      <c r="J18" s="2">
        <v>18</v>
      </c>
      <c r="K18" s="14">
        <f>VLOOKUP($C18,Sheet1!$A$2:$D$10,4,0)</f>
        <v>18</v>
      </c>
      <c r="L18" s="14" t="str">
        <f>VLOOKUP($C18,Sheet1!$A$2:$E$10,5,0)</f>
        <v>Trolley (H)</v>
      </c>
      <c r="M18" s="14"/>
      <c r="N18" s="52"/>
      <c r="O18" s="2" t="s">
        <v>112</v>
      </c>
      <c r="P18" s="2" t="s">
        <v>1519</v>
      </c>
    </row>
    <row r="19" spans="1:16" x14ac:dyDescent="0.25">
      <c r="A19" s="15" t="s">
        <v>1438</v>
      </c>
      <c r="B19" s="18" t="s">
        <v>1368</v>
      </c>
      <c r="C19" s="2" t="s">
        <v>12</v>
      </c>
      <c r="D19" s="2" t="str">
        <f>VLOOKUP($C19,Sheet1!$A$2:$B$10,2,0)</f>
        <v>141185-74670</v>
      </c>
      <c r="E19" s="8" t="s">
        <v>52</v>
      </c>
      <c r="F19" s="12">
        <v>46016</v>
      </c>
      <c r="G19" s="13">
        <v>0.27083333333333331</v>
      </c>
      <c r="H19" s="2" t="s">
        <v>41</v>
      </c>
      <c r="I19" s="2" t="s">
        <v>42</v>
      </c>
      <c r="J19" s="2">
        <v>40</v>
      </c>
      <c r="K19" s="14">
        <f>VLOOKUP($C19,Sheet1!$A$2:$D$10,4,0)</f>
        <v>40</v>
      </c>
      <c r="L19" s="14" t="str">
        <f>VLOOKUP($C19,Sheet1!$A$2:$E$10,5,0)</f>
        <v>Trolley</v>
      </c>
      <c r="M19" s="14"/>
      <c r="N19" s="2">
        <f>J19/K19</f>
        <v>1</v>
      </c>
      <c r="O19" s="2" t="s">
        <v>112</v>
      </c>
      <c r="P19" s="2">
        <v>910104289</v>
      </c>
    </row>
    <row r="20" spans="1:16" x14ac:dyDescent="0.25">
      <c r="A20" s="15" t="s">
        <v>1438</v>
      </c>
      <c r="B20" s="18" t="s">
        <v>1373</v>
      </c>
      <c r="C20" s="2" t="s">
        <v>16</v>
      </c>
      <c r="D20" s="2" t="str">
        <f>VLOOKUP($C20,Sheet1!$A$2:$B$10,2,0)</f>
        <v>141140-91211</v>
      </c>
      <c r="E20" s="8" t="s">
        <v>57</v>
      </c>
      <c r="F20" s="12">
        <v>46016</v>
      </c>
      <c r="G20" s="13">
        <v>0.27083333333333331</v>
      </c>
      <c r="H20" s="2" t="s">
        <v>58</v>
      </c>
      <c r="I20" s="2" t="s">
        <v>42</v>
      </c>
      <c r="J20" s="2">
        <v>16</v>
      </c>
      <c r="K20" s="14">
        <f>VLOOKUP($C20,Sheet1!$A$2:$D$10,4,0)</f>
        <v>2</v>
      </c>
      <c r="L20" s="14" t="str">
        <f>VLOOKUP($C20,Sheet1!$A$2:$E$10,5,0)</f>
        <v>Bin</v>
      </c>
      <c r="M20" s="14">
        <f>J20/K20</f>
        <v>8</v>
      </c>
      <c r="N20" s="2"/>
      <c r="O20" s="2" t="s">
        <v>112</v>
      </c>
      <c r="P20" s="2" t="s">
        <v>1496</v>
      </c>
    </row>
    <row r="21" spans="1:16" x14ac:dyDescent="0.25">
      <c r="A21" s="15" t="s">
        <v>1438</v>
      </c>
      <c r="B21" s="18" t="s">
        <v>1378</v>
      </c>
      <c r="C21" s="2" t="s">
        <v>20</v>
      </c>
      <c r="D21" s="2" t="str">
        <f>VLOOKUP($C21,Sheet1!$A$2:$B$10,2,0)</f>
        <v>141150-91211</v>
      </c>
      <c r="E21" s="8" t="s">
        <v>64</v>
      </c>
      <c r="F21" s="12">
        <v>46016</v>
      </c>
      <c r="G21" s="13">
        <v>0.27083333333333331</v>
      </c>
      <c r="H21" s="2" t="s">
        <v>58</v>
      </c>
      <c r="I21" s="2" t="s">
        <v>42</v>
      </c>
      <c r="J21" s="2">
        <v>16</v>
      </c>
      <c r="K21" s="14">
        <f>VLOOKUP($C21,Sheet1!$A$2:$D$10,4,0)</f>
        <v>2</v>
      </c>
      <c r="L21" s="14" t="str">
        <f>VLOOKUP($C21,Sheet1!$A$2:$E$10,5,0)</f>
        <v>Bin</v>
      </c>
      <c r="M21" s="14">
        <f>J21/K21</f>
        <v>8</v>
      </c>
      <c r="N21" s="2"/>
      <c r="O21" s="2" t="s">
        <v>112</v>
      </c>
      <c r="P21" s="2" t="s">
        <v>453</v>
      </c>
    </row>
    <row r="22" spans="1:16" x14ac:dyDescent="0.25">
      <c r="A22" s="15" t="s">
        <v>1438</v>
      </c>
      <c r="B22" s="18" t="s">
        <v>1427</v>
      </c>
      <c r="C22" s="18" t="s">
        <v>23</v>
      </c>
      <c r="D22" s="2" t="str">
        <f>VLOOKUP($C22,Sheet1!$A$2:$B$10,2,0)</f>
        <v>141186-74360</v>
      </c>
      <c r="E22" s="8" t="s">
        <v>70</v>
      </c>
      <c r="F22" s="12">
        <v>46016</v>
      </c>
      <c r="G22" s="13">
        <v>0.27083333333333331</v>
      </c>
      <c r="H22" s="2" t="s">
        <v>58</v>
      </c>
      <c r="I22" s="2" t="s">
        <v>42</v>
      </c>
      <c r="J22" s="2">
        <v>40</v>
      </c>
      <c r="K22" s="14">
        <f>VLOOKUP($C22,Sheet1!$A$2:$D$10,4,0)</f>
        <v>40</v>
      </c>
      <c r="L22" s="14" t="str">
        <f>VLOOKUP($C22,Sheet1!$A$2:$E$10,5,0)</f>
        <v>Trolley</v>
      </c>
      <c r="M22" s="14"/>
      <c r="N22" s="2">
        <f t="shared" ref="N22" si="3">J22/K22</f>
        <v>1</v>
      </c>
      <c r="O22" s="2" t="s">
        <v>112</v>
      </c>
      <c r="P22" s="2">
        <v>910104269</v>
      </c>
    </row>
    <row r="23" spans="1:16" ht="15.75" thickBot="1" x14ac:dyDescent="0.3">
      <c r="A23" s="15" t="s">
        <v>1441</v>
      </c>
      <c r="B23" s="18" t="s">
        <v>1383</v>
      </c>
      <c r="C23" s="2" t="s">
        <v>23</v>
      </c>
      <c r="D23" s="2" t="str">
        <f>VLOOKUP($C23,Sheet1!$A$2:$B$10,2,0)</f>
        <v>141186-74360</v>
      </c>
      <c r="E23" s="8" t="s">
        <v>70</v>
      </c>
      <c r="F23" s="12">
        <v>46016</v>
      </c>
      <c r="G23" s="17">
        <v>0.27083333333333331</v>
      </c>
      <c r="H23" s="2" t="s">
        <v>58</v>
      </c>
      <c r="I23" s="2" t="s">
        <v>42</v>
      </c>
      <c r="J23" s="2">
        <v>40</v>
      </c>
      <c r="K23" s="14">
        <f>VLOOKUP($C23,Sheet1!$A$2:$D$10,4,0)</f>
        <v>40</v>
      </c>
      <c r="L23" s="14" t="str">
        <f>VLOOKUP($C23,Sheet1!$A$2:$E$10,5,0)</f>
        <v>Trolley</v>
      </c>
      <c r="M23" s="14"/>
      <c r="N23" s="2">
        <f>J23/K23</f>
        <v>1</v>
      </c>
      <c r="O23" s="2" t="s">
        <v>112</v>
      </c>
      <c r="P23" s="2">
        <v>910103978</v>
      </c>
    </row>
    <row r="24" spans="1:16" ht="15.75" thickTop="1" x14ac:dyDescent="0.25">
      <c r="A24" s="15" t="s">
        <v>1439</v>
      </c>
      <c r="B24" s="18" t="s">
        <v>1418</v>
      </c>
      <c r="C24" s="2" t="s">
        <v>5</v>
      </c>
      <c r="D24" s="2" t="str">
        <f>VLOOKUP($C24,Sheet1!$A$2:$B$10,2,0)</f>
        <v>141110-14600</v>
      </c>
      <c r="E24" s="8" t="s">
        <v>40</v>
      </c>
      <c r="F24" s="12">
        <v>46016</v>
      </c>
      <c r="G24" s="16">
        <v>0.47916666666666669</v>
      </c>
      <c r="H24" s="2" t="s">
        <v>41</v>
      </c>
      <c r="I24" s="2" t="s">
        <v>42</v>
      </c>
      <c r="J24" s="2">
        <v>18</v>
      </c>
      <c r="K24" s="14">
        <f>VLOOKUP($C24,Sheet1!$A$2:$D$10,4,0)</f>
        <v>18</v>
      </c>
      <c r="L24" s="14" t="str">
        <f>VLOOKUP($C24,Sheet1!$A$2:$E$10,5,0)</f>
        <v>Trolley (H)</v>
      </c>
      <c r="M24" s="14"/>
      <c r="N24" s="51">
        <v>1</v>
      </c>
      <c r="O24" s="2" t="s">
        <v>112</v>
      </c>
      <c r="P24" s="2" t="s">
        <v>1509</v>
      </c>
    </row>
    <row r="25" spans="1:16" x14ac:dyDescent="0.25">
      <c r="A25" s="15" t="s">
        <v>1439</v>
      </c>
      <c r="B25" s="18" t="s">
        <v>1420</v>
      </c>
      <c r="C25" s="2" t="s">
        <v>9</v>
      </c>
      <c r="D25" s="2" t="str">
        <f>VLOOKUP($C25,Sheet1!$A$2:$B$10,2,0)</f>
        <v>141120-14600</v>
      </c>
      <c r="E25" s="8" t="s">
        <v>47</v>
      </c>
      <c r="F25" s="12">
        <v>46016</v>
      </c>
      <c r="G25" s="13">
        <v>0.47916666666666669</v>
      </c>
      <c r="H25" s="2" t="s">
        <v>41</v>
      </c>
      <c r="I25" s="2" t="s">
        <v>42</v>
      </c>
      <c r="J25" s="2">
        <v>18</v>
      </c>
      <c r="K25" s="14">
        <f>VLOOKUP($C25,Sheet1!$A$2:$D$10,4,0)</f>
        <v>18</v>
      </c>
      <c r="L25" s="14" t="str">
        <f>VLOOKUP($C25,Sheet1!$A$2:$E$10,5,0)</f>
        <v>Trolley (H)</v>
      </c>
      <c r="M25" s="14"/>
      <c r="N25" s="52"/>
      <c r="O25" s="2" t="s">
        <v>112</v>
      </c>
      <c r="P25" s="2" t="s">
        <v>1509</v>
      </c>
    </row>
    <row r="26" spans="1:16" x14ac:dyDescent="0.25">
      <c r="A26" s="15" t="s">
        <v>1439</v>
      </c>
      <c r="B26" s="18" t="s">
        <v>1422</v>
      </c>
      <c r="C26" s="2" t="s">
        <v>12</v>
      </c>
      <c r="D26" s="2" t="str">
        <f>VLOOKUP($C26,Sheet1!$A$2:$B$10,2,0)</f>
        <v>141185-74670</v>
      </c>
      <c r="E26" s="8" t="s">
        <v>52</v>
      </c>
      <c r="F26" s="12">
        <v>46016</v>
      </c>
      <c r="G26" s="13">
        <v>0.47916666666666669</v>
      </c>
      <c r="H26" s="2" t="s">
        <v>41</v>
      </c>
      <c r="I26" s="2" t="s">
        <v>42</v>
      </c>
      <c r="J26" s="2">
        <v>40</v>
      </c>
      <c r="K26" s="14">
        <f>VLOOKUP($C26,Sheet1!$A$2:$D$10,4,0)</f>
        <v>40</v>
      </c>
      <c r="L26" s="14" t="str">
        <f>VLOOKUP($C26,Sheet1!$A$2:$E$10,5,0)</f>
        <v>Trolley</v>
      </c>
      <c r="M26" s="14"/>
      <c r="N26" s="2">
        <f>J26/K26</f>
        <v>1</v>
      </c>
      <c r="O26" s="2" t="s">
        <v>112</v>
      </c>
      <c r="P26" s="2">
        <v>910104289</v>
      </c>
    </row>
    <row r="27" spans="1:16" x14ac:dyDescent="0.25">
      <c r="A27" s="15" t="s">
        <v>1439</v>
      </c>
      <c r="B27" s="18" t="s">
        <v>1424</v>
      </c>
      <c r="C27" s="2" t="s">
        <v>16</v>
      </c>
      <c r="D27" s="2" t="str">
        <f>VLOOKUP($C27,Sheet1!$A$2:$B$10,2,0)</f>
        <v>141140-91211</v>
      </c>
      <c r="E27" s="8" t="s">
        <v>57</v>
      </c>
      <c r="F27" s="12">
        <v>46016</v>
      </c>
      <c r="G27" s="13">
        <v>0.47916666666666669</v>
      </c>
      <c r="H27" s="2" t="s">
        <v>58</v>
      </c>
      <c r="I27" s="2" t="s">
        <v>42</v>
      </c>
      <c r="J27" s="2">
        <v>28</v>
      </c>
      <c r="K27" s="14">
        <f>VLOOKUP($C27,Sheet1!$A$2:$D$10,4,0)</f>
        <v>2</v>
      </c>
      <c r="L27" s="14" t="str">
        <f>VLOOKUP($C27,Sheet1!$A$2:$E$10,5,0)</f>
        <v>Bin</v>
      </c>
      <c r="M27" s="14">
        <f t="shared" ref="M27:M28" si="4">J27/K27</f>
        <v>14</v>
      </c>
      <c r="N27" s="2"/>
      <c r="O27" s="2" t="s">
        <v>112</v>
      </c>
      <c r="P27" s="2" t="s">
        <v>1496</v>
      </c>
    </row>
    <row r="28" spans="1:16" x14ac:dyDescent="0.25">
      <c r="A28" s="15" t="s">
        <v>1439</v>
      </c>
      <c r="B28" s="18" t="s">
        <v>1426</v>
      </c>
      <c r="C28" s="2" t="s">
        <v>20</v>
      </c>
      <c r="D28" s="2" t="str">
        <f>VLOOKUP($C28,Sheet1!$A$2:$B$10,2,0)</f>
        <v>141150-91211</v>
      </c>
      <c r="E28" s="8" t="s">
        <v>64</v>
      </c>
      <c r="F28" s="12">
        <v>46016</v>
      </c>
      <c r="G28" s="13">
        <v>0.47916666666666669</v>
      </c>
      <c r="H28" s="2" t="s">
        <v>58</v>
      </c>
      <c r="I28" s="2" t="s">
        <v>42</v>
      </c>
      <c r="J28" s="2">
        <v>30</v>
      </c>
      <c r="K28" s="14">
        <f>VLOOKUP($C28,Sheet1!$A$2:$D$10,4,0)</f>
        <v>2</v>
      </c>
      <c r="L28" s="14" t="str">
        <f>VLOOKUP($C28,Sheet1!$A$2:$E$10,5,0)</f>
        <v>Bin</v>
      </c>
      <c r="M28" s="14">
        <f t="shared" si="4"/>
        <v>15</v>
      </c>
      <c r="N28" s="2"/>
      <c r="O28" s="2" t="s">
        <v>112</v>
      </c>
      <c r="P28" s="2" t="s">
        <v>453</v>
      </c>
    </row>
    <row r="29" spans="1:16" x14ac:dyDescent="0.25">
      <c r="A29" s="15" t="s">
        <v>1439</v>
      </c>
      <c r="B29" s="18" t="s">
        <v>1428</v>
      </c>
      <c r="C29" s="2" t="s">
        <v>23</v>
      </c>
      <c r="D29" s="2" t="str">
        <f>VLOOKUP($C29,Sheet1!$A$2:$B$10,2,0)</f>
        <v>141186-74360</v>
      </c>
      <c r="E29" s="8" t="s">
        <v>70</v>
      </c>
      <c r="F29" s="12">
        <v>46016</v>
      </c>
      <c r="G29" s="13">
        <v>0.47916666666666669</v>
      </c>
      <c r="H29" s="2" t="s">
        <v>58</v>
      </c>
      <c r="I29" s="2" t="s">
        <v>42</v>
      </c>
      <c r="J29" s="2">
        <v>40</v>
      </c>
      <c r="K29" s="14">
        <f>VLOOKUP($C29,Sheet1!$A$2:$D$10,4,0)</f>
        <v>40</v>
      </c>
      <c r="L29" s="14" t="str">
        <f>VLOOKUP($C29,Sheet1!$A$2:$E$10,5,0)</f>
        <v>Trolley</v>
      </c>
      <c r="M29" s="14"/>
      <c r="N29" s="2">
        <f>J29/K29</f>
        <v>1</v>
      </c>
      <c r="O29" s="2" t="s">
        <v>112</v>
      </c>
      <c r="P29" s="2">
        <v>910104269</v>
      </c>
    </row>
    <row r="30" spans="1:16" x14ac:dyDescent="0.25">
      <c r="A30" s="15" t="s">
        <v>1440</v>
      </c>
      <c r="B30" s="18" t="s">
        <v>1430</v>
      </c>
      <c r="C30" s="2" t="s">
        <v>26</v>
      </c>
      <c r="D30" s="2" t="str">
        <f>VLOOKUP($C30,Sheet1!$A$2:$B$10,2,0)</f>
        <v>116040-92240</v>
      </c>
      <c r="E30" s="8" t="s">
        <v>75</v>
      </c>
      <c r="F30" s="12">
        <v>46016</v>
      </c>
      <c r="G30" s="13">
        <v>0.47916666666666669</v>
      </c>
      <c r="H30" s="2" t="s">
        <v>76</v>
      </c>
      <c r="I30" s="2" t="s">
        <v>42</v>
      </c>
      <c r="J30" s="2">
        <v>30</v>
      </c>
      <c r="K30" s="14">
        <f>VLOOKUP($C30,Sheet1!$A$2:$D$10,4,0)</f>
        <v>6</v>
      </c>
      <c r="L30" s="14" t="str">
        <f>VLOOKUP($C30,Sheet1!$A$2:$E$10,5,0)</f>
        <v>Bin</v>
      </c>
      <c r="M30" s="14">
        <f t="shared" ref="M30:M32" si="5">J30/K30</f>
        <v>5</v>
      </c>
      <c r="N30" s="2"/>
      <c r="O30" s="2" t="s">
        <v>112</v>
      </c>
      <c r="P30" s="2" t="s">
        <v>1502</v>
      </c>
    </row>
    <row r="31" spans="1:16" x14ac:dyDescent="0.25">
      <c r="A31" s="15" t="s">
        <v>1440</v>
      </c>
      <c r="B31" s="18" t="s">
        <v>1432</v>
      </c>
      <c r="C31" s="2" t="s">
        <v>32</v>
      </c>
      <c r="D31" s="2" t="str">
        <f>VLOOKUP($C31,Sheet1!$A$2:$B$10,2,0)</f>
        <v>114010-50820</v>
      </c>
      <c r="E31" s="8" t="s">
        <v>82</v>
      </c>
      <c r="F31" s="12">
        <v>46016</v>
      </c>
      <c r="G31" s="13">
        <v>0.47916666666666669</v>
      </c>
      <c r="H31" s="2" t="s">
        <v>76</v>
      </c>
      <c r="I31" s="2" t="s">
        <v>42</v>
      </c>
      <c r="J31" s="2">
        <v>10</v>
      </c>
      <c r="K31" s="14">
        <f>VLOOKUP($C31,Sheet1!$A$2:$D$10,4,0)</f>
        <v>1</v>
      </c>
      <c r="L31" s="14" t="str">
        <f>VLOOKUP($C31,Sheet1!$A$2:$E$10,5,0)</f>
        <v>Bin</v>
      </c>
      <c r="M31" s="14">
        <f t="shared" si="5"/>
        <v>10</v>
      </c>
      <c r="N31" s="2"/>
      <c r="O31" s="2" t="s">
        <v>112</v>
      </c>
      <c r="P31" s="2" t="s">
        <v>1514</v>
      </c>
    </row>
    <row r="32" spans="1:16" x14ac:dyDescent="0.25">
      <c r="A32" s="15" t="s">
        <v>1440</v>
      </c>
      <c r="B32" s="18" t="s">
        <v>1434</v>
      </c>
      <c r="C32" s="2" t="s">
        <v>29</v>
      </c>
      <c r="D32" s="2" t="str">
        <f>VLOOKUP($C32,Sheet1!$A$2:$B$10,2,0)</f>
        <v>114010-50830</v>
      </c>
      <c r="E32" s="8" t="s">
        <v>82</v>
      </c>
      <c r="F32" s="12">
        <v>46016</v>
      </c>
      <c r="G32" s="13">
        <v>0.47916666666666669</v>
      </c>
      <c r="H32" s="2" t="s">
        <v>76</v>
      </c>
      <c r="I32" s="2" t="s">
        <v>42</v>
      </c>
      <c r="J32" s="2">
        <v>19</v>
      </c>
      <c r="K32" s="14">
        <f>VLOOKUP($C32,Sheet1!$A$2:$D$10,4,0)</f>
        <v>1</v>
      </c>
      <c r="L32" s="14" t="str">
        <f>VLOOKUP($C32,Sheet1!$A$2:$E$10,5,0)</f>
        <v>Bin</v>
      </c>
      <c r="M32" s="14">
        <f t="shared" si="5"/>
        <v>19</v>
      </c>
      <c r="N32" s="2"/>
      <c r="O32" s="2" t="s">
        <v>112</v>
      </c>
      <c r="P32" s="2" t="s">
        <v>453</v>
      </c>
    </row>
    <row r="33" spans="1:16" s="11" customForma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>
        <v>79</v>
      </c>
      <c r="N33" s="10">
        <v>7</v>
      </c>
      <c r="O33" s="10"/>
      <c r="P33" s="10"/>
    </row>
    <row r="34" spans="1:16" x14ac:dyDescent="0.25">
      <c r="B34" t="s">
        <v>1435</v>
      </c>
    </row>
  </sheetData>
  <mergeCells count="7">
    <mergeCell ref="P12:P13"/>
    <mergeCell ref="N24:N25"/>
    <mergeCell ref="A1:F1"/>
    <mergeCell ref="J1:N1"/>
    <mergeCell ref="L2:N2"/>
    <mergeCell ref="N17:N18"/>
    <mergeCell ref="N4:N5"/>
  </mergeCells>
  <conditionalFormatting sqref="B2">
    <cfRule type="duplicateValues" dxfId="14" priority="2"/>
    <cfRule type="duplicateValues" dxfId="13" priority="3"/>
  </conditionalFormatting>
  <conditionalFormatting sqref="B17:B32 B4:B15">
    <cfRule type="duplicateValues" dxfId="12" priority="27"/>
  </conditionalFormatting>
  <conditionalFormatting sqref="C2:D2">
    <cfRule type="duplicateValues" dxfId="11" priority="4"/>
    <cfRule type="duplicateValues" dxfId="10" priority="5"/>
  </conditionalFormatting>
  <hyperlinks>
    <hyperlink ref="B34" r:id="rId1" display="http://192.168.1.248/downloads/temp/X539_eNagare_20251224.log" xr:uid="{00000000-0004-0000-1B00-000000000000}"/>
  </hyperlinks>
  <pageMargins left="0.17" right="0.17" top="0.75" bottom="0.36" header="0.3" footer="0.3"/>
  <pageSetup paperSize="9" scale="69" orientation="landscape"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8"/>
  <sheetViews>
    <sheetView workbookViewId="0">
      <selection activeCell="F37" sqref="F37"/>
    </sheetView>
  </sheetViews>
  <sheetFormatPr defaultColWidth="49.85546875" defaultRowHeight="15" x14ac:dyDescent="0.25"/>
  <cols>
    <col min="1" max="1" width="12.28515625" bestFit="1" customWidth="1"/>
    <col min="2" max="2" width="17.85546875" bestFit="1" customWidth="1"/>
    <col min="3" max="3" width="18" bestFit="1" customWidth="1"/>
    <col min="4" max="4" width="14.7109375" bestFit="1" customWidth="1"/>
    <col min="5" max="5" width="17.28515625" bestFit="1" customWidth="1"/>
    <col min="6" max="6" width="16.140625" bestFit="1" customWidth="1"/>
    <col min="7" max="7" width="22" bestFit="1" customWidth="1"/>
    <col min="8" max="8" width="20.5703125" customWidth="1"/>
    <col min="9" max="9" width="20.28515625" bestFit="1" customWidth="1"/>
    <col min="10" max="10" width="20.28515625" hidden="1" customWidth="1"/>
    <col min="11" max="11" width="10.140625" bestFit="1" customWidth="1"/>
    <col min="12" max="12" width="11" bestFit="1" customWidth="1"/>
    <col min="13" max="13" width="20.140625" bestFit="1" customWidth="1"/>
    <col min="14" max="14" width="20.5703125" bestFit="1" customWidth="1"/>
    <col min="15" max="15" width="8.42578125" bestFit="1" customWidth="1"/>
    <col min="16" max="16" width="9.5703125" bestFit="1" customWidth="1"/>
    <col min="17" max="17" width="10.140625" bestFit="1" customWidth="1"/>
    <col min="18" max="18" width="26.140625" bestFit="1" customWidth="1"/>
  </cols>
  <sheetData>
    <row r="1" spans="1:18" ht="15.75" thickBot="1" x14ac:dyDescent="0.3">
      <c r="A1" s="25" t="s">
        <v>505</v>
      </c>
      <c r="B1" s="25" t="s">
        <v>506</v>
      </c>
      <c r="C1" s="25" t="s">
        <v>507</v>
      </c>
      <c r="D1" s="25" t="s">
        <v>508</v>
      </c>
      <c r="E1" s="25" t="s">
        <v>514</v>
      </c>
      <c r="F1" s="25" t="s">
        <v>509</v>
      </c>
      <c r="G1" s="25" t="s">
        <v>510</v>
      </c>
      <c r="H1" s="10" t="s">
        <v>101</v>
      </c>
      <c r="I1" s="10" t="s">
        <v>96</v>
      </c>
      <c r="J1" s="43"/>
      <c r="K1" s="25" t="s">
        <v>513</v>
      </c>
      <c r="L1" s="25" t="s">
        <v>515</v>
      </c>
      <c r="M1" s="25" t="s">
        <v>516</v>
      </c>
      <c r="N1" s="25" t="s">
        <v>517</v>
      </c>
      <c r="O1" s="25" t="s">
        <v>518</v>
      </c>
      <c r="P1" s="25" t="s">
        <v>519</v>
      </c>
      <c r="Q1" s="25" t="s">
        <v>520</v>
      </c>
      <c r="R1" s="25" t="s">
        <v>521</v>
      </c>
    </row>
    <row r="2" spans="1:18" ht="15.75" thickBot="1" x14ac:dyDescent="0.3">
      <c r="A2" s="26" t="s">
        <v>522</v>
      </c>
      <c r="B2" s="27">
        <v>46017</v>
      </c>
      <c r="C2" s="26"/>
      <c r="D2" s="26" t="s">
        <v>458</v>
      </c>
      <c r="E2" s="26" t="s">
        <v>1462</v>
      </c>
      <c r="F2" s="26" t="s">
        <v>1142</v>
      </c>
      <c r="G2" s="26">
        <v>40</v>
      </c>
      <c r="H2" s="26">
        <v>10</v>
      </c>
      <c r="I2" s="2" t="s">
        <v>1001</v>
      </c>
      <c r="J2" s="44">
        <v>1</v>
      </c>
      <c r="K2" s="26" t="s">
        <v>524</v>
      </c>
      <c r="L2" s="26" t="s">
        <v>526</v>
      </c>
      <c r="M2" s="26" t="s">
        <v>527</v>
      </c>
      <c r="N2" s="26" t="s">
        <v>528</v>
      </c>
      <c r="O2" s="26">
        <v>3917.5</v>
      </c>
      <c r="P2" s="26"/>
      <c r="Q2" s="26"/>
      <c r="R2" s="28" t="s">
        <v>529</v>
      </c>
    </row>
    <row r="3" spans="1:18" ht="15.75" thickBot="1" x14ac:dyDescent="0.3">
      <c r="A3" s="26" t="s">
        <v>522</v>
      </c>
      <c r="B3" s="27">
        <v>46017</v>
      </c>
      <c r="C3" s="26"/>
      <c r="D3" s="26" t="s">
        <v>458</v>
      </c>
      <c r="E3" s="26" t="s">
        <v>1458</v>
      </c>
      <c r="F3" s="26" t="s">
        <v>1457</v>
      </c>
      <c r="G3" s="26">
        <v>20</v>
      </c>
      <c r="H3" s="26">
        <v>20</v>
      </c>
      <c r="I3" s="2" t="s">
        <v>1001</v>
      </c>
      <c r="J3" s="44">
        <v>2</v>
      </c>
      <c r="K3" s="26" t="s">
        <v>524</v>
      </c>
      <c r="L3" s="26" t="s">
        <v>526</v>
      </c>
      <c r="M3" s="26" t="s">
        <v>527</v>
      </c>
      <c r="N3" s="26" t="s">
        <v>528</v>
      </c>
      <c r="O3" s="26">
        <v>89</v>
      </c>
      <c r="P3" s="26"/>
      <c r="Q3" s="26"/>
      <c r="R3" s="28" t="s">
        <v>529</v>
      </c>
    </row>
    <row r="4" spans="1:18" ht="15.75" thickBot="1" x14ac:dyDescent="0.3">
      <c r="A4" s="26" t="s">
        <v>522</v>
      </c>
      <c r="B4" s="27">
        <v>46017</v>
      </c>
      <c r="C4" s="26"/>
      <c r="D4" s="26" t="s">
        <v>458</v>
      </c>
      <c r="E4" s="26" t="s">
        <v>1459</v>
      </c>
      <c r="F4" s="26" t="s">
        <v>12</v>
      </c>
      <c r="G4" s="26">
        <v>30</v>
      </c>
      <c r="H4" s="26">
        <v>1</v>
      </c>
      <c r="I4" s="2" t="s">
        <v>1001</v>
      </c>
      <c r="J4" s="44">
        <v>3</v>
      </c>
      <c r="K4" s="26" t="s">
        <v>524</v>
      </c>
      <c r="L4" s="26" t="s">
        <v>526</v>
      </c>
      <c r="M4" s="26" t="s">
        <v>527</v>
      </c>
      <c r="N4" s="26" t="s">
        <v>528</v>
      </c>
      <c r="O4" s="26">
        <v>4259</v>
      </c>
      <c r="P4" s="26"/>
      <c r="Q4" s="26"/>
      <c r="R4" s="28" t="s">
        <v>529</v>
      </c>
    </row>
    <row r="5" spans="1:18" ht="15.75" thickBot="1" x14ac:dyDescent="0.3">
      <c r="A5" s="26" t="s">
        <v>522</v>
      </c>
      <c r="B5" s="27">
        <v>46017</v>
      </c>
      <c r="C5" s="26"/>
      <c r="D5" s="26" t="s">
        <v>458</v>
      </c>
      <c r="E5" s="26" t="s">
        <v>1460</v>
      </c>
      <c r="F5" s="26" t="s">
        <v>23</v>
      </c>
      <c r="G5" s="26">
        <v>30</v>
      </c>
      <c r="H5" s="26">
        <v>1</v>
      </c>
      <c r="I5" s="2" t="s">
        <v>1001</v>
      </c>
      <c r="J5" s="44">
        <v>4</v>
      </c>
      <c r="K5" s="26" t="s">
        <v>524</v>
      </c>
      <c r="L5" s="26" t="s">
        <v>526</v>
      </c>
      <c r="M5" s="26" t="s">
        <v>527</v>
      </c>
      <c r="N5" s="26" t="s">
        <v>528</v>
      </c>
      <c r="O5" s="26">
        <v>3733.5</v>
      </c>
      <c r="P5" s="26"/>
      <c r="Q5" s="26"/>
      <c r="R5" s="28" t="s">
        <v>529</v>
      </c>
    </row>
    <row r="6" spans="1:18" ht="15.75" thickBot="1" x14ac:dyDescent="0.3">
      <c r="A6" s="26" t="s">
        <v>522</v>
      </c>
      <c r="B6" s="27">
        <v>46017</v>
      </c>
      <c r="C6" s="26"/>
      <c r="D6" s="26" t="s">
        <v>458</v>
      </c>
      <c r="E6" s="26" t="s">
        <v>1461</v>
      </c>
      <c r="F6" s="26" t="s">
        <v>1039</v>
      </c>
      <c r="G6" s="26">
        <v>30</v>
      </c>
      <c r="H6" s="26">
        <v>6</v>
      </c>
      <c r="I6" s="2" t="s">
        <v>1001</v>
      </c>
      <c r="J6" s="44">
        <v>5</v>
      </c>
      <c r="K6" s="26" t="s">
        <v>524</v>
      </c>
      <c r="L6" s="26" t="s">
        <v>526</v>
      </c>
      <c r="M6" s="26" t="s">
        <v>527</v>
      </c>
      <c r="N6" s="26" t="s">
        <v>528</v>
      </c>
      <c r="O6" s="26">
        <v>7144.5</v>
      </c>
      <c r="P6" s="26"/>
      <c r="Q6" s="26"/>
      <c r="R6" s="28" t="s">
        <v>529</v>
      </c>
    </row>
    <row r="7" spans="1:18" ht="15.75" thickBot="1" x14ac:dyDescent="0.3">
      <c r="A7" s="26" t="s">
        <v>522</v>
      </c>
      <c r="B7" s="27">
        <v>46017</v>
      </c>
      <c r="C7" s="26"/>
      <c r="D7" s="26" t="s">
        <v>458</v>
      </c>
      <c r="E7" s="26" t="s">
        <v>1463</v>
      </c>
      <c r="F7" s="26" t="s">
        <v>530</v>
      </c>
      <c r="G7" s="26">
        <v>20</v>
      </c>
      <c r="H7" s="26">
        <v>10</v>
      </c>
      <c r="I7" s="2" t="s">
        <v>1001</v>
      </c>
      <c r="J7" s="44">
        <v>6</v>
      </c>
      <c r="K7" s="26" t="s">
        <v>524</v>
      </c>
      <c r="L7" s="26" t="s">
        <v>526</v>
      </c>
      <c r="M7" s="26" t="s">
        <v>527</v>
      </c>
      <c r="N7" s="26" t="s">
        <v>528</v>
      </c>
      <c r="O7" s="26">
        <v>920.5</v>
      </c>
      <c r="P7" s="26"/>
      <c r="Q7" s="26"/>
      <c r="R7" s="28" t="s">
        <v>529</v>
      </c>
    </row>
    <row r="8" spans="1:18" ht="15.75" thickBot="1" x14ac:dyDescent="0.3">
      <c r="A8" s="26" t="s">
        <v>522</v>
      </c>
      <c r="B8" s="27">
        <v>46017</v>
      </c>
      <c r="C8" s="26"/>
      <c r="D8" s="26" t="s">
        <v>458</v>
      </c>
      <c r="E8" s="26" t="s">
        <v>1465</v>
      </c>
      <c r="F8" s="26" t="s">
        <v>1464</v>
      </c>
      <c r="G8" s="26">
        <v>10</v>
      </c>
      <c r="H8" s="26">
        <v>10</v>
      </c>
      <c r="I8" s="2" t="s">
        <v>1001</v>
      </c>
      <c r="J8" s="44">
        <v>7</v>
      </c>
      <c r="K8" s="26" t="s">
        <v>524</v>
      </c>
      <c r="L8" s="26" t="s">
        <v>526</v>
      </c>
      <c r="M8" s="26" t="s">
        <v>527</v>
      </c>
      <c r="N8" s="26" t="s">
        <v>528</v>
      </c>
      <c r="O8" s="26">
        <v>1350.5</v>
      </c>
      <c r="P8" s="26"/>
      <c r="Q8" s="26"/>
      <c r="R8" s="28" t="s">
        <v>529</v>
      </c>
    </row>
  </sheetData>
  <autoFilter ref="A1:R1" xr:uid="{00000000-0009-0000-0000-00001C000000}">
    <sortState xmlns:xlrd2="http://schemas.microsoft.com/office/spreadsheetml/2017/richdata2" ref="A2:R8">
      <sortCondition ref="J1"/>
    </sortState>
  </autoFilter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P24"/>
  <sheetViews>
    <sheetView workbookViewId="0">
      <selection activeCell="P10" sqref="P10:P12"/>
    </sheetView>
  </sheetViews>
  <sheetFormatPr defaultColWidth="16.5703125" defaultRowHeight="15" x14ac:dyDescent="0.25"/>
  <cols>
    <col min="1" max="1" width="15.42578125" bestFit="1" customWidth="1"/>
    <col min="3" max="4" width="14.140625" bestFit="1" customWidth="1"/>
    <col min="5" max="5" width="32.5703125" bestFit="1" customWidth="1"/>
    <col min="6" max="6" width="12.7109375" bestFit="1" customWidth="1"/>
    <col min="7" max="7" width="7.7109375" bestFit="1" customWidth="1"/>
    <col min="8" max="8" width="12.140625" bestFit="1" customWidth="1"/>
    <col min="9" max="9" width="4.7109375" bestFit="1" customWidth="1"/>
    <col min="10" max="10" width="8" bestFit="1" customWidth="1"/>
    <col min="11" max="11" width="9" bestFit="1" customWidth="1"/>
    <col min="12" max="12" width="10.28515625" bestFit="1" customWidth="1"/>
    <col min="13" max="13" width="7.140625" bestFit="1" customWidth="1"/>
    <col min="14" max="14" width="7.85546875" bestFit="1" customWidth="1"/>
    <col min="15" max="15" width="10.7109375" bestFit="1" customWidth="1"/>
    <col min="16" max="16" width="43.5703125" bestFit="1" customWidth="1"/>
  </cols>
  <sheetData>
    <row r="1" spans="1:16" ht="23.25" x14ac:dyDescent="0.25">
      <c r="A1" s="53" t="s">
        <v>93</v>
      </c>
      <c r="B1" s="53"/>
      <c r="C1" s="53"/>
      <c r="D1" s="53"/>
      <c r="E1" s="53"/>
      <c r="F1" s="53"/>
      <c r="G1" s="2"/>
      <c r="H1" s="2"/>
      <c r="I1" s="2"/>
      <c r="J1" s="54" t="s">
        <v>94</v>
      </c>
      <c r="K1" s="55"/>
      <c r="L1" s="55"/>
      <c r="M1" s="55"/>
      <c r="N1" s="55"/>
      <c r="O1" s="3"/>
      <c r="P1" s="4"/>
    </row>
    <row r="2" spans="1:16" ht="15.75" x14ac:dyDescent="0.25">
      <c r="A2" s="5" t="s">
        <v>95</v>
      </c>
      <c r="B2" s="6">
        <v>46016</v>
      </c>
      <c r="C2" s="7"/>
      <c r="D2" s="7"/>
      <c r="E2" s="2"/>
      <c r="F2" s="8"/>
      <c r="G2" s="2"/>
      <c r="H2" s="2"/>
      <c r="I2" s="2"/>
      <c r="J2" s="2"/>
      <c r="K2" s="2"/>
      <c r="L2" s="56" t="s">
        <v>96</v>
      </c>
      <c r="M2" s="57"/>
      <c r="N2" s="58"/>
      <c r="O2" s="2"/>
      <c r="P2" s="2"/>
    </row>
    <row r="3" spans="1:16" s="11" customFormat="1" ht="31.5" customHeight="1" x14ac:dyDescent="0.25">
      <c r="A3" s="10" t="s">
        <v>97</v>
      </c>
      <c r="B3" s="10" t="s">
        <v>35</v>
      </c>
      <c r="C3" s="10" t="s">
        <v>0</v>
      </c>
      <c r="D3" s="10" t="s">
        <v>98</v>
      </c>
      <c r="E3" s="10" t="s">
        <v>2</v>
      </c>
      <c r="F3" s="10" t="s">
        <v>36</v>
      </c>
      <c r="G3" s="10" t="s">
        <v>37</v>
      </c>
      <c r="H3" s="10" t="s">
        <v>38</v>
      </c>
      <c r="I3" s="10" t="s">
        <v>99</v>
      </c>
      <c r="J3" s="10" t="s">
        <v>100</v>
      </c>
      <c r="K3" s="10" t="s">
        <v>101</v>
      </c>
      <c r="L3" s="10" t="s">
        <v>102</v>
      </c>
      <c r="M3" s="10" t="s">
        <v>103</v>
      </c>
      <c r="N3" s="10" t="s">
        <v>104</v>
      </c>
      <c r="O3" s="10" t="s">
        <v>96</v>
      </c>
      <c r="P3" s="10" t="s">
        <v>105</v>
      </c>
    </row>
    <row r="4" spans="1:16" x14ac:dyDescent="0.25">
      <c r="A4" s="15" t="s">
        <v>1453</v>
      </c>
      <c r="B4" s="2" t="s">
        <v>1442</v>
      </c>
      <c r="C4" s="18" t="s">
        <v>5</v>
      </c>
      <c r="D4" s="2" t="str">
        <f>VLOOKUP($C4,Sheet1!$A$2:$B$10,2,0)</f>
        <v>141110-14600</v>
      </c>
      <c r="E4" s="8" t="s">
        <v>40</v>
      </c>
      <c r="F4" s="12">
        <v>46017</v>
      </c>
      <c r="G4" s="13">
        <v>0.35416666666666669</v>
      </c>
      <c r="H4" s="2" t="s">
        <v>41</v>
      </c>
      <c r="I4" s="2" t="s">
        <v>42</v>
      </c>
      <c r="J4" s="2">
        <v>18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51">
        <v>1</v>
      </c>
      <c r="O4" s="2" t="s">
        <v>1202</v>
      </c>
      <c r="P4" s="2" t="s">
        <v>1519</v>
      </c>
    </row>
    <row r="5" spans="1:16" x14ac:dyDescent="0.25">
      <c r="A5" s="15" t="s">
        <v>1453</v>
      </c>
      <c r="B5" s="2" t="s">
        <v>1443</v>
      </c>
      <c r="C5" s="18" t="s">
        <v>9</v>
      </c>
      <c r="D5" s="2" t="str">
        <f>VLOOKUP($C5,Sheet1!$A$2:$B$10,2,0)</f>
        <v>141120-14600</v>
      </c>
      <c r="E5" s="8" t="s">
        <v>47</v>
      </c>
      <c r="F5" s="12">
        <v>46017</v>
      </c>
      <c r="G5" s="13">
        <v>0.35416666666666669</v>
      </c>
      <c r="H5" s="2" t="s">
        <v>41</v>
      </c>
      <c r="I5" s="2" t="s">
        <v>42</v>
      </c>
      <c r="J5" s="2">
        <v>18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52"/>
      <c r="O5" s="2" t="s">
        <v>1202</v>
      </c>
      <c r="P5" s="2" t="s">
        <v>1519</v>
      </c>
    </row>
    <row r="6" spans="1:16" x14ac:dyDescent="0.25">
      <c r="A6" s="15" t="s">
        <v>1453</v>
      </c>
      <c r="B6" s="2" t="s">
        <v>1444</v>
      </c>
      <c r="C6" s="18" t="s">
        <v>12</v>
      </c>
      <c r="D6" s="2" t="str">
        <f>VLOOKUP($C6,Sheet1!$A$2:$B$10,2,0)</f>
        <v>141185-74670</v>
      </c>
      <c r="E6" s="8" t="s">
        <v>52</v>
      </c>
      <c r="F6" s="12">
        <v>46017</v>
      </c>
      <c r="G6" s="13">
        <v>0.35416666666666669</v>
      </c>
      <c r="H6" s="2" t="s">
        <v>41</v>
      </c>
      <c r="I6" s="2" t="s">
        <v>42</v>
      </c>
      <c r="J6" s="2">
        <v>40</v>
      </c>
      <c r="K6" s="14">
        <f>VLOOKUP($C6,Sheet1!$A$2:$D$10,4,0)</f>
        <v>40</v>
      </c>
      <c r="L6" s="14" t="str">
        <f>VLOOKUP($C6,Sheet1!$A$2:$E$10,5,0)</f>
        <v>Trolley</v>
      </c>
      <c r="M6" s="14"/>
      <c r="N6" s="2">
        <f>J6/K6</f>
        <v>1</v>
      </c>
      <c r="O6" s="2" t="s">
        <v>1202</v>
      </c>
      <c r="P6" s="2">
        <v>910104284</v>
      </c>
    </row>
    <row r="7" spans="1:16" x14ac:dyDescent="0.25">
      <c r="A7" s="15" t="s">
        <v>1453</v>
      </c>
      <c r="B7" s="2" t="s">
        <v>1445</v>
      </c>
      <c r="C7" s="18" t="s">
        <v>16</v>
      </c>
      <c r="D7" s="2" t="str">
        <f>VLOOKUP($C7,Sheet1!$A$2:$B$10,2,0)</f>
        <v>141140-91211</v>
      </c>
      <c r="E7" s="8" t="s">
        <v>57</v>
      </c>
      <c r="F7" s="12">
        <v>46017</v>
      </c>
      <c r="G7" s="13">
        <v>0.35416666666666669</v>
      </c>
      <c r="H7" s="2" t="s">
        <v>58</v>
      </c>
      <c r="I7" s="2" t="s">
        <v>42</v>
      </c>
      <c r="J7" s="2">
        <v>16</v>
      </c>
      <c r="K7" s="14">
        <f>VLOOKUP($C7,Sheet1!$A$2:$D$10,4,0)</f>
        <v>2</v>
      </c>
      <c r="L7" s="14" t="str">
        <f>VLOOKUP($C7,Sheet1!$A$2:$E$10,5,0)</f>
        <v>Bin</v>
      </c>
      <c r="M7" s="14">
        <f>J7/K7</f>
        <v>8</v>
      </c>
      <c r="N7" s="2"/>
      <c r="O7" s="2" t="s">
        <v>1202</v>
      </c>
      <c r="P7" s="2" t="s">
        <v>1496</v>
      </c>
    </row>
    <row r="8" spans="1:16" x14ac:dyDescent="0.25">
      <c r="A8" s="15" t="s">
        <v>1453</v>
      </c>
      <c r="B8" s="2" t="s">
        <v>1446</v>
      </c>
      <c r="C8" s="18" t="s">
        <v>20</v>
      </c>
      <c r="D8" s="2" t="str">
        <f>VLOOKUP($C8,Sheet1!$A$2:$B$10,2,0)</f>
        <v>141150-91211</v>
      </c>
      <c r="E8" s="8" t="s">
        <v>64</v>
      </c>
      <c r="F8" s="12">
        <v>46017</v>
      </c>
      <c r="G8" s="13">
        <v>0.35416666666666669</v>
      </c>
      <c r="H8" s="2" t="s">
        <v>58</v>
      </c>
      <c r="I8" s="2" t="s">
        <v>42</v>
      </c>
      <c r="J8" s="2">
        <v>16</v>
      </c>
      <c r="K8" s="14">
        <f>VLOOKUP($C8,Sheet1!$A$2:$D$10,4,0)</f>
        <v>2</v>
      </c>
      <c r="L8" s="14" t="str">
        <f>VLOOKUP($C8,Sheet1!$A$2:$E$10,5,0)</f>
        <v>Bin</v>
      </c>
      <c r="M8" s="14">
        <f>J8/K8</f>
        <v>8</v>
      </c>
      <c r="N8" s="2"/>
      <c r="O8" s="2" t="s">
        <v>1202</v>
      </c>
      <c r="P8" s="2" t="s">
        <v>453</v>
      </c>
    </row>
    <row r="9" spans="1:16" x14ac:dyDescent="0.25">
      <c r="A9" s="15" t="s">
        <v>1453</v>
      </c>
      <c r="B9" s="2" t="s">
        <v>1447</v>
      </c>
      <c r="C9" s="18" t="s">
        <v>23</v>
      </c>
      <c r="D9" s="2" t="str">
        <f>VLOOKUP($C9,Sheet1!$A$2:$B$10,2,0)</f>
        <v>141186-74360</v>
      </c>
      <c r="E9" s="8" t="s">
        <v>70</v>
      </c>
      <c r="F9" s="12">
        <v>46017</v>
      </c>
      <c r="G9" s="13">
        <v>0.35416666666666669</v>
      </c>
      <c r="H9" s="2" t="s">
        <v>58</v>
      </c>
      <c r="I9" s="2" t="s">
        <v>42</v>
      </c>
      <c r="J9" s="2">
        <v>40</v>
      </c>
      <c r="K9" s="14">
        <f>VLOOKUP($C9,Sheet1!$A$2:$D$10,4,0)</f>
        <v>40</v>
      </c>
      <c r="L9" s="14" t="str">
        <f>VLOOKUP($C9,Sheet1!$A$2:$E$10,5,0)</f>
        <v>Trolley</v>
      </c>
      <c r="M9" s="14"/>
      <c r="N9" s="2">
        <f>J9/K9</f>
        <v>1</v>
      </c>
      <c r="O9" s="2" t="s">
        <v>1202</v>
      </c>
      <c r="P9" s="2">
        <v>910104269</v>
      </c>
    </row>
    <row r="10" spans="1:16" x14ac:dyDescent="0.25">
      <c r="A10" s="15" t="s">
        <v>1454</v>
      </c>
      <c r="B10" s="2" t="s">
        <v>1448</v>
      </c>
      <c r="C10" s="18" t="s">
        <v>26</v>
      </c>
      <c r="D10" s="2" t="str">
        <f>VLOOKUP($C10,Sheet1!$A$2:$B$10,2,0)</f>
        <v>116040-92240</v>
      </c>
      <c r="E10" s="8" t="s">
        <v>75</v>
      </c>
      <c r="F10" s="12">
        <v>46017</v>
      </c>
      <c r="G10" s="13">
        <v>0.35416666666666669</v>
      </c>
      <c r="H10" s="2" t="s">
        <v>76</v>
      </c>
      <c r="I10" s="2" t="s">
        <v>42</v>
      </c>
      <c r="J10" s="2">
        <v>18</v>
      </c>
      <c r="K10" s="14">
        <f>VLOOKUP($C10,Sheet1!$A$2:$D$10,4,0)</f>
        <v>6</v>
      </c>
      <c r="L10" s="14" t="str">
        <f>VLOOKUP($C10,Sheet1!$A$2:$E$10,5,0)</f>
        <v>Bin</v>
      </c>
      <c r="M10" s="14">
        <f t="shared" ref="M10:M12" si="0">J10/K10</f>
        <v>3</v>
      </c>
      <c r="N10" s="2"/>
      <c r="O10" s="2" t="s">
        <v>1202</v>
      </c>
      <c r="P10" s="2" t="s">
        <v>1502</v>
      </c>
    </row>
    <row r="11" spans="1:16" x14ac:dyDescent="0.25">
      <c r="A11" s="15" t="s">
        <v>1454</v>
      </c>
      <c r="B11" s="2" t="s">
        <v>1450</v>
      </c>
      <c r="C11" s="18" t="s">
        <v>32</v>
      </c>
      <c r="D11" s="2" t="str">
        <f>VLOOKUP($C11,Sheet1!$A$2:$B$10,2,0)</f>
        <v>114010-50820</v>
      </c>
      <c r="E11" s="8" t="s">
        <v>82</v>
      </c>
      <c r="F11" s="12">
        <v>46017</v>
      </c>
      <c r="G11" s="13">
        <v>0.35416666666666669</v>
      </c>
      <c r="H11" s="2" t="s">
        <v>76</v>
      </c>
      <c r="I11" s="2" t="s">
        <v>42</v>
      </c>
      <c r="J11" s="2">
        <v>5</v>
      </c>
      <c r="K11" s="14">
        <f>VLOOKUP($C11,Sheet1!$A$2:$D$10,4,0)</f>
        <v>1</v>
      </c>
      <c r="L11" s="14" t="str">
        <f>VLOOKUP($C11,Sheet1!$A$2:$E$10,5,0)</f>
        <v>Bin</v>
      </c>
      <c r="M11" s="14">
        <f t="shared" si="0"/>
        <v>5</v>
      </c>
      <c r="N11" s="2"/>
      <c r="O11" s="2" t="s">
        <v>1202</v>
      </c>
      <c r="P11" s="2" t="s">
        <v>1056</v>
      </c>
    </row>
    <row r="12" spans="1:16" x14ac:dyDescent="0.25">
      <c r="A12" s="15" t="s">
        <v>1454</v>
      </c>
      <c r="B12" s="2" t="s">
        <v>1451</v>
      </c>
      <c r="C12" s="18" t="s">
        <v>29</v>
      </c>
      <c r="D12" s="2" t="str">
        <f>VLOOKUP($C12,Sheet1!$A$2:$B$10,2,0)</f>
        <v>114010-50830</v>
      </c>
      <c r="E12" s="8" t="s">
        <v>82</v>
      </c>
      <c r="F12" s="12">
        <v>46017</v>
      </c>
      <c r="G12" s="13">
        <v>0.35416666666666669</v>
      </c>
      <c r="H12" s="2" t="s">
        <v>76</v>
      </c>
      <c r="I12" s="2" t="s">
        <v>42</v>
      </c>
      <c r="J12" s="2">
        <v>3</v>
      </c>
      <c r="K12" s="14">
        <f>VLOOKUP($C12,Sheet1!$A$2:$D$10,4,0)</f>
        <v>1</v>
      </c>
      <c r="L12" s="14" t="str">
        <f>VLOOKUP($C12,Sheet1!$A$2:$E$10,5,0)</f>
        <v>Bin</v>
      </c>
      <c r="M12" s="14">
        <f t="shared" si="0"/>
        <v>3</v>
      </c>
      <c r="N12" s="2"/>
      <c r="O12" s="2" t="s">
        <v>1202</v>
      </c>
      <c r="P12" s="2" t="s">
        <v>453</v>
      </c>
    </row>
    <row r="13" spans="1:16" x14ac:dyDescent="0.25">
      <c r="A13" s="15" t="s">
        <v>1455</v>
      </c>
      <c r="B13" s="2" t="s">
        <v>1442</v>
      </c>
      <c r="C13" s="18" t="s">
        <v>5</v>
      </c>
      <c r="D13" s="2" t="str">
        <f>VLOOKUP($C13,Sheet1!$A$2:$B$10,2,0)</f>
        <v>141110-14600</v>
      </c>
      <c r="E13" s="8" t="s">
        <v>40</v>
      </c>
      <c r="F13" s="12">
        <v>46017</v>
      </c>
      <c r="G13" s="13">
        <v>0.35416666666666669</v>
      </c>
      <c r="H13" s="2" t="s">
        <v>41</v>
      </c>
      <c r="I13" s="2" t="s">
        <v>42</v>
      </c>
      <c r="J13" s="2">
        <v>36</v>
      </c>
      <c r="K13" s="14">
        <f>VLOOKUP($C13,Sheet1!$A$2:$D$10,4,0)</f>
        <v>18</v>
      </c>
      <c r="L13" s="14" t="str">
        <f>VLOOKUP($C13,Sheet1!$A$2:$E$10,5,0)</f>
        <v>Trolley (H)</v>
      </c>
      <c r="M13" s="14"/>
      <c r="N13" s="51">
        <v>2</v>
      </c>
      <c r="O13" s="2" t="s">
        <v>1202</v>
      </c>
      <c r="P13" s="2" t="s">
        <v>1520</v>
      </c>
    </row>
    <row r="14" spans="1:16" x14ac:dyDescent="0.25">
      <c r="A14" s="15" t="s">
        <v>1455</v>
      </c>
      <c r="B14" s="2" t="s">
        <v>1443</v>
      </c>
      <c r="C14" s="18" t="s">
        <v>9</v>
      </c>
      <c r="D14" s="2" t="str">
        <f>VLOOKUP($C14,Sheet1!$A$2:$B$10,2,0)</f>
        <v>141120-14600</v>
      </c>
      <c r="E14" s="8" t="s">
        <v>47</v>
      </c>
      <c r="F14" s="12">
        <v>46017</v>
      </c>
      <c r="G14" s="13">
        <v>0.35416666666666669</v>
      </c>
      <c r="H14" s="2" t="s">
        <v>41</v>
      </c>
      <c r="I14" s="2" t="s">
        <v>42</v>
      </c>
      <c r="J14" s="2">
        <v>36</v>
      </c>
      <c r="K14" s="14">
        <f>VLOOKUP($C14,Sheet1!$A$2:$D$10,4,0)</f>
        <v>18</v>
      </c>
      <c r="L14" s="14" t="str">
        <f>VLOOKUP($C14,Sheet1!$A$2:$E$10,5,0)</f>
        <v>Trolley (H)</v>
      </c>
      <c r="M14" s="14"/>
      <c r="N14" s="52"/>
      <c r="O14" s="2" t="s">
        <v>1202</v>
      </c>
      <c r="P14" s="2" t="s">
        <v>1521</v>
      </c>
    </row>
    <row r="15" spans="1:16" x14ac:dyDescent="0.25">
      <c r="A15" s="15" t="s">
        <v>1455</v>
      </c>
      <c r="B15" s="2" t="s">
        <v>1444</v>
      </c>
      <c r="C15" s="18" t="s">
        <v>12</v>
      </c>
      <c r="D15" s="2" t="str">
        <f>VLOOKUP($C15,Sheet1!$A$2:$B$10,2,0)</f>
        <v>141185-74670</v>
      </c>
      <c r="E15" s="8" t="s">
        <v>52</v>
      </c>
      <c r="F15" s="12">
        <v>46017</v>
      </c>
      <c r="G15" s="13">
        <v>0.35416666666666669</v>
      </c>
      <c r="H15" s="2" t="s">
        <v>41</v>
      </c>
      <c r="I15" s="2" t="s">
        <v>42</v>
      </c>
      <c r="J15" s="2">
        <v>40</v>
      </c>
      <c r="K15" s="14">
        <f>VLOOKUP($C15,Sheet1!$A$2:$D$10,4,0)</f>
        <v>40</v>
      </c>
      <c r="L15" s="14" t="str">
        <f>VLOOKUP($C15,Sheet1!$A$2:$E$10,5,0)</f>
        <v>Trolley</v>
      </c>
      <c r="M15" s="14"/>
      <c r="N15" s="2">
        <f>J15/K15</f>
        <v>1</v>
      </c>
      <c r="O15" s="2" t="s">
        <v>1202</v>
      </c>
      <c r="P15" s="2">
        <v>910104284</v>
      </c>
    </row>
    <row r="16" spans="1:16" x14ac:dyDescent="0.25">
      <c r="A16" s="15" t="s">
        <v>1455</v>
      </c>
      <c r="B16" s="2" t="s">
        <v>1445</v>
      </c>
      <c r="C16" s="18" t="s">
        <v>16</v>
      </c>
      <c r="D16" s="2" t="str">
        <f>VLOOKUP($C16,Sheet1!$A$2:$B$10,2,0)</f>
        <v>141140-91211</v>
      </c>
      <c r="E16" s="8" t="s">
        <v>57</v>
      </c>
      <c r="F16" s="12">
        <v>46017</v>
      </c>
      <c r="G16" s="13">
        <v>0.35416666666666669</v>
      </c>
      <c r="H16" s="2" t="s">
        <v>58</v>
      </c>
      <c r="I16" s="2" t="s">
        <v>42</v>
      </c>
      <c r="J16" s="2">
        <v>26</v>
      </c>
      <c r="K16" s="14">
        <f>VLOOKUP($C16,Sheet1!$A$2:$D$10,4,0)</f>
        <v>2</v>
      </c>
      <c r="L16" s="14" t="str">
        <f>VLOOKUP($C16,Sheet1!$A$2:$E$10,5,0)</f>
        <v>Bin</v>
      </c>
      <c r="M16" s="14">
        <f>J16/K16</f>
        <v>13</v>
      </c>
      <c r="N16" s="2"/>
      <c r="O16" s="2" t="s">
        <v>1202</v>
      </c>
      <c r="P16" s="2" t="s">
        <v>1496</v>
      </c>
    </row>
    <row r="17" spans="1:16" x14ac:dyDescent="0.25">
      <c r="A17" s="15" t="s">
        <v>1455</v>
      </c>
      <c r="B17" s="2" t="s">
        <v>1446</v>
      </c>
      <c r="C17" s="18" t="s">
        <v>20</v>
      </c>
      <c r="D17" s="2" t="str">
        <f>VLOOKUP($C17,Sheet1!$A$2:$B$10,2,0)</f>
        <v>141150-91211</v>
      </c>
      <c r="E17" s="8" t="s">
        <v>64</v>
      </c>
      <c r="F17" s="12">
        <v>46017</v>
      </c>
      <c r="G17" s="13">
        <v>0.35416666666666669</v>
      </c>
      <c r="H17" s="2" t="s">
        <v>58</v>
      </c>
      <c r="I17" s="2" t="s">
        <v>42</v>
      </c>
      <c r="J17" s="2">
        <v>24</v>
      </c>
      <c r="K17" s="14">
        <f>VLOOKUP($C17,Sheet1!$A$2:$D$10,4,0)</f>
        <v>2</v>
      </c>
      <c r="L17" s="14" t="str">
        <f>VLOOKUP($C17,Sheet1!$A$2:$E$10,5,0)</f>
        <v>Bin</v>
      </c>
      <c r="M17" s="14">
        <f>J17/K17</f>
        <v>12</v>
      </c>
      <c r="N17" s="2"/>
      <c r="O17" s="2" t="s">
        <v>1202</v>
      </c>
      <c r="P17" s="2" t="s">
        <v>453</v>
      </c>
    </row>
    <row r="18" spans="1:16" x14ac:dyDescent="0.25">
      <c r="A18" s="15" t="s">
        <v>1455</v>
      </c>
      <c r="B18" s="2" t="s">
        <v>1447</v>
      </c>
      <c r="C18" s="18" t="s">
        <v>23</v>
      </c>
      <c r="D18" s="2" t="str">
        <f>VLOOKUP($C18,Sheet1!$A$2:$B$10,2,0)</f>
        <v>141186-74360</v>
      </c>
      <c r="E18" s="8" t="s">
        <v>70</v>
      </c>
      <c r="F18" s="12">
        <v>46017</v>
      </c>
      <c r="G18" s="13">
        <v>0.35416666666666669</v>
      </c>
      <c r="H18" s="2" t="s">
        <v>58</v>
      </c>
      <c r="I18" s="2" t="s">
        <v>42</v>
      </c>
      <c r="J18" s="2">
        <v>40</v>
      </c>
      <c r="K18" s="14">
        <f>VLOOKUP($C18,Sheet1!$A$2:$D$10,4,0)</f>
        <v>40</v>
      </c>
      <c r="L18" s="14" t="str">
        <f>VLOOKUP($C18,Sheet1!$A$2:$E$10,5,0)</f>
        <v>Trolley</v>
      </c>
      <c r="M18" s="14"/>
      <c r="N18" s="2">
        <f>J18/K18</f>
        <v>1</v>
      </c>
      <c r="O18" s="2" t="s">
        <v>1202</v>
      </c>
      <c r="P18" s="2">
        <v>910104269</v>
      </c>
    </row>
    <row r="19" spans="1:16" x14ac:dyDescent="0.25">
      <c r="A19" s="15" t="s">
        <v>1456</v>
      </c>
      <c r="B19" s="2" t="s">
        <v>1448</v>
      </c>
      <c r="C19" s="18" t="s">
        <v>26</v>
      </c>
      <c r="D19" s="2" t="str">
        <f>VLOOKUP($C19,Sheet1!$A$2:$B$10,2,0)</f>
        <v>116040-92240</v>
      </c>
      <c r="E19" s="8" t="s">
        <v>75</v>
      </c>
      <c r="F19" s="12">
        <v>46017</v>
      </c>
      <c r="G19" s="13">
        <v>0.35416666666666669</v>
      </c>
      <c r="H19" s="2" t="s">
        <v>76</v>
      </c>
      <c r="I19" s="2" t="s">
        <v>42</v>
      </c>
      <c r="J19" s="2">
        <v>24</v>
      </c>
      <c r="K19" s="14">
        <f>VLOOKUP($C19,Sheet1!$A$2:$D$10,4,0)</f>
        <v>6</v>
      </c>
      <c r="L19" s="14" t="str">
        <f>VLOOKUP($C19,Sheet1!$A$2:$E$10,5,0)</f>
        <v>Bin</v>
      </c>
      <c r="M19" s="14">
        <f t="shared" ref="M19:M22" si="1">J19/K19</f>
        <v>4</v>
      </c>
      <c r="N19" s="2"/>
      <c r="O19" s="2" t="s">
        <v>1202</v>
      </c>
      <c r="P19" s="2" t="s">
        <v>1502</v>
      </c>
    </row>
    <row r="20" spans="1:16" x14ac:dyDescent="0.25">
      <c r="A20" s="15" t="s">
        <v>1456</v>
      </c>
      <c r="B20" s="2" t="s">
        <v>1449</v>
      </c>
      <c r="C20" s="18" t="s">
        <v>32</v>
      </c>
      <c r="D20" s="2" t="str">
        <f>VLOOKUP($C20,Sheet1!$A$2:$B$10,2,0)</f>
        <v>114010-50820</v>
      </c>
      <c r="E20" s="8" t="s">
        <v>82</v>
      </c>
      <c r="F20" s="12">
        <v>46017</v>
      </c>
      <c r="G20" s="13">
        <v>0.35416666666666669</v>
      </c>
      <c r="H20" s="2" t="s">
        <v>76</v>
      </c>
      <c r="I20" s="2" t="s">
        <v>42</v>
      </c>
      <c r="J20" s="2">
        <v>1</v>
      </c>
      <c r="K20" s="14">
        <f>VLOOKUP($C20,Sheet1!$A$2:$D$10,4,0)</f>
        <v>1</v>
      </c>
      <c r="L20" s="14" t="str">
        <f>VLOOKUP($C20,Sheet1!$A$2:$E$10,5,0)</f>
        <v>Bin</v>
      </c>
      <c r="M20" s="14">
        <f t="shared" si="1"/>
        <v>1</v>
      </c>
      <c r="N20" s="2"/>
      <c r="O20" s="2" t="s">
        <v>1202</v>
      </c>
      <c r="P20" s="2" t="s">
        <v>1056</v>
      </c>
    </row>
    <row r="21" spans="1:16" x14ac:dyDescent="0.25">
      <c r="A21" s="15" t="s">
        <v>1456</v>
      </c>
      <c r="B21" s="2" t="s">
        <v>1450</v>
      </c>
      <c r="C21" s="18" t="s">
        <v>32</v>
      </c>
      <c r="D21" s="2" t="str">
        <f>VLOOKUP($C21,Sheet1!$A$2:$B$10,2,0)</f>
        <v>114010-50820</v>
      </c>
      <c r="E21" s="8" t="s">
        <v>82</v>
      </c>
      <c r="F21" s="12">
        <v>46017</v>
      </c>
      <c r="G21" s="13">
        <v>0.35416666666666669</v>
      </c>
      <c r="H21" s="2" t="s">
        <v>76</v>
      </c>
      <c r="I21" s="2" t="s">
        <v>42</v>
      </c>
      <c r="J21" s="2">
        <v>12</v>
      </c>
      <c r="K21" s="14">
        <f>VLOOKUP($C21,Sheet1!$A$2:$D$10,4,0)</f>
        <v>1</v>
      </c>
      <c r="L21" s="14" t="str">
        <f>VLOOKUP($C21,Sheet1!$A$2:$E$10,5,0)</f>
        <v>Bin</v>
      </c>
      <c r="M21" s="14">
        <f t="shared" si="1"/>
        <v>12</v>
      </c>
      <c r="N21" s="2"/>
      <c r="O21" s="2" t="s">
        <v>1202</v>
      </c>
      <c r="P21" s="2" t="s">
        <v>1056</v>
      </c>
    </row>
    <row r="22" spans="1:16" x14ac:dyDescent="0.25">
      <c r="A22" s="15" t="s">
        <v>1456</v>
      </c>
      <c r="B22" s="2" t="s">
        <v>1451</v>
      </c>
      <c r="C22" s="18" t="s">
        <v>29</v>
      </c>
      <c r="D22" s="2" t="str">
        <f>VLOOKUP($C22,Sheet1!$A$2:$B$10,2,0)</f>
        <v>114010-50830</v>
      </c>
      <c r="E22" s="8" t="s">
        <v>82</v>
      </c>
      <c r="F22" s="12">
        <v>46017</v>
      </c>
      <c r="G22" s="13">
        <v>0.35416666666666669</v>
      </c>
      <c r="H22" s="2" t="s">
        <v>76</v>
      </c>
      <c r="I22" s="2" t="s">
        <v>42</v>
      </c>
      <c r="J22" s="2">
        <v>21</v>
      </c>
      <c r="K22" s="14">
        <f>VLOOKUP($C22,Sheet1!$A$2:$D$10,4,0)</f>
        <v>1</v>
      </c>
      <c r="L22" s="14" t="str">
        <f>VLOOKUP($C22,Sheet1!$A$2:$E$10,5,0)</f>
        <v>Bin</v>
      </c>
      <c r="M22" s="14">
        <f t="shared" si="1"/>
        <v>21</v>
      </c>
      <c r="N22" s="2"/>
      <c r="O22" s="2" t="s">
        <v>1202</v>
      </c>
      <c r="P22" s="2" t="s">
        <v>453</v>
      </c>
    </row>
    <row r="23" spans="1:16" s="11" customForma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>
        <v>90</v>
      </c>
      <c r="N23" s="10">
        <v>7</v>
      </c>
      <c r="O23" s="10"/>
      <c r="P23" s="10"/>
    </row>
    <row r="24" spans="1:16" x14ac:dyDescent="0.25">
      <c r="B24" s="59" t="s">
        <v>1452</v>
      </c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1"/>
    </row>
  </sheetData>
  <mergeCells count="6">
    <mergeCell ref="B24:M24"/>
    <mergeCell ref="A1:F1"/>
    <mergeCell ref="J1:N1"/>
    <mergeCell ref="L2:N2"/>
    <mergeCell ref="N4:N5"/>
    <mergeCell ref="N13:N14"/>
  </mergeCells>
  <conditionalFormatting sqref="B2">
    <cfRule type="duplicateValues" dxfId="9" priority="2"/>
    <cfRule type="duplicateValues" dxfId="8" priority="3"/>
  </conditionalFormatting>
  <conditionalFormatting sqref="B4:B22">
    <cfRule type="duplicateValues" dxfId="7" priority="30"/>
  </conditionalFormatting>
  <conditionalFormatting sqref="C2:D2">
    <cfRule type="duplicateValues" dxfId="6" priority="4"/>
    <cfRule type="duplicateValues" dxfId="5" priority="5"/>
  </conditionalFormatting>
  <hyperlinks>
    <hyperlink ref="B24" r:id="rId1" display="http://192.168.1.248/downloads/temp/X539_eNagare_20251225.log" xr:uid="{00000000-0004-0000-1D00-000000000000}"/>
  </hyperlinks>
  <pageMargins left="0.17" right="0.17" top="0.28999999999999998" bottom="0.75" header="0.3" footer="0.3"/>
  <pageSetup paperSize="9" scale="75" orientation="landscape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P26"/>
  <sheetViews>
    <sheetView tabSelected="1" workbookViewId="0">
      <selection activeCell="Q10" sqref="Q10"/>
    </sheetView>
  </sheetViews>
  <sheetFormatPr defaultColWidth="39.42578125" defaultRowHeight="15" x14ac:dyDescent="0.25"/>
  <cols>
    <col min="1" max="1" width="15.140625" bestFit="1" customWidth="1"/>
    <col min="2" max="2" width="16.5703125" bestFit="1" customWidth="1"/>
    <col min="3" max="3" width="14.140625" bestFit="1" customWidth="1"/>
    <col min="4" max="4" width="14.140625" hidden="1" customWidth="1"/>
    <col min="5" max="5" width="32.5703125" bestFit="1" customWidth="1"/>
    <col min="6" max="6" width="9.7109375" bestFit="1" customWidth="1"/>
    <col min="7" max="7" width="7.7109375" bestFit="1" customWidth="1"/>
    <col min="8" max="8" width="12.140625" bestFit="1" customWidth="1"/>
    <col min="9" max="9" width="4.7109375" bestFit="1" customWidth="1"/>
    <col min="10" max="10" width="8" bestFit="1" customWidth="1"/>
    <col min="11" max="11" width="12.140625" hidden="1" customWidth="1"/>
    <col min="12" max="12" width="10.42578125" hidden="1" customWidth="1"/>
    <col min="13" max="13" width="7.140625" bestFit="1" customWidth="1"/>
    <col min="14" max="14" width="7.85546875" bestFit="1" customWidth="1"/>
    <col min="15" max="15" width="10.7109375" customWidth="1"/>
    <col min="16" max="16" width="44" customWidth="1"/>
  </cols>
  <sheetData>
    <row r="1" spans="1:16" ht="23.25" x14ac:dyDescent="0.25">
      <c r="A1" s="53" t="s">
        <v>93</v>
      </c>
      <c r="B1" s="53"/>
      <c r="C1" s="53"/>
      <c r="D1" s="53"/>
      <c r="E1" s="53"/>
      <c r="F1" s="53"/>
      <c r="G1" s="2"/>
      <c r="H1" s="2"/>
      <c r="I1" s="2"/>
      <c r="J1" s="54" t="s">
        <v>94</v>
      </c>
      <c r="K1" s="55"/>
      <c r="L1" s="55"/>
      <c r="M1" s="55"/>
      <c r="N1" s="55"/>
      <c r="O1" s="3"/>
      <c r="P1" s="4"/>
    </row>
    <row r="2" spans="1:16" ht="15.75" x14ac:dyDescent="0.25">
      <c r="A2" s="5" t="s">
        <v>95</v>
      </c>
      <c r="B2" s="6">
        <v>46016</v>
      </c>
      <c r="C2" s="7"/>
      <c r="D2" s="7"/>
      <c r="E2" s="2"/>
      <c r="F2" s="8"/>
      <c r="G2" s="2"/>
      <c r="H2" s="2"/>
      <c r="I2" s="2"/>
      <c r="J2" s="2"/>
      <c r="K2" s="2"/>
      <c r="L2" s="56" t="s">
        <v>96</v>
      </c>
      <c r="M2" s="57"/>
      <c r="N2" s="58"/>
      <c r="O2" s="2"/>
      <c r="P2" s="2"/>
    </row>
    <row r="3" spans="1:16" s="11" customFormat="1" ht="31.5" customHeight="1" x14ac:dyDescent="0.25">
      <c r="A3" s="10" t="s">
        <v>97</v>
      </c>
      <c r="B3" s="10" t="s">
        <v>35</v>
      </c>
      <c r="C3" s="10" t="s">
        <v>0</v>
      </c>
      <c r="D3" s="10" t="s">
        <v>98</v>
      </c>
      <c r="E3" s="10" t="s">
        <v>2</v>
      </c>
      <c r="F3" s="10" t="s">
        <v>36</v>
      </c>
      <c r="G3" s="10" t="s">
        <v>37</v>
      </c>
      <c r="H3" s="10" t="s">
        <v>38</v>
      </c>
      <c r="I3" s="10" t="s">
        <v>99</v>
      </c>
      <c r="J3" s="10" t="s">
        <v>100</v>
      </c>
      <c r="K3" s="10" t="s">
        <v>101</v>
      </c>
      <c r="L3" s="10" t="s">
        <v>102</v>
      </c>
      <c r="M3" s="10" t="s">
        <v>103</v>
      </c>
      <c r="N3" s="10" t="s">
        <v>104</v>
      </c>
      <c r="O3" s="10" t="s">
        <v>96</v>
      </c>
      <c r="P3" s="10" t="s">
        <v>105</v>
      </c>
    </row>
    <row r="4" spans="1:16" x14ac:dyDescent="0.25">
      <c r="A4" s="15" t="s">
        <v>1485</v>
      </c>
      <c r="B4" s="18" t="s">
        <v>1466</v>
      </c>
      <c r="C4" s="2" t="s">
        <v>5</v>
      </c>
      <c r="D4" s="2" t="str">
        <f>VLOOKUP($C4,Sheet1!$A$2:$B$10,2,0)</f>
        <v>141110-14600</v>
      </c>
      <c r="E4" s="8" t="s">
        <v>40</v>
      </c>
      <c r="F4" s="12">
        <v>46018</v>
      </c>
      <c r="G4" s="13">
        <v>0.27083333333333331</v>
      </c>
      <c r="H4" s="2" t="s">
        <v>41</v>
      </c>
      <c r="I4" s="2" t="s">
        <v>42</v>
      </c>
      <c r="J4" s="2">
        <v>18</v>
      </c>
      <c r="K4" s="14">
        <f>VLOOKUP($C4,Sheet1!$A$2:$D$10,4,0)</f>
        <v>18</v>
      </c>
      <c r="L4" s="14" t="str">
        <f>VLOOKUP($C4,Sheet1!$A$2:$E$10,5,0)</f>
        <v>Trolley (H)</v>
      </c>
      <c r="M4" s="14"/>
      <c r="N4" s="45"/>
      <c r="O4" s="2" t="s">
        <v>112</v>
      </c>
      <c r="P4" s="2" t="s">
        <v>1522</v>
      </c>
    </row>
    <row r="5" spans="1:16" x14ac:dyDescent="0.25">
      <c r="A5" s="15" t="s">
        <v>1485</v>
      </c>
      <c r="B5" s="18" t="s">
        <v>1468</v>
      </c>
      <c r="C5" s="2" t="s">
        <v>9</v>
      </c>
      <c r="D5" s="2" t="str">
        <f>VLOOKUP($C5,Sheet1!$A$2:$B$10,2,0)</f>
        <v>141120-14600</v>
      </c>
      <c r="E5" s="8" t="s">
        <v>47</v>
      </c>
      <c r="F5" s="12">
        <v>46018</v>
      </c>
      <c r="G5" s="13">
        <v>0.27083333333333331</v>
      </c>
      <c r="H5" s="2" t="s">
        <v>41</v>
      </c>
      <c r="I5" s="2" t="s">
        <v>42</v>
      </c>
      <c r="J5" s="2">
        <v>18</v>
      </c>
      <c r="K5" s="14">
        <f>VLOOKUP($C5,Sheet1!$A$2:$D$10,4,0)</f>
        <v>18</v>
      </c>
      <c r="L5" s="14" t="str">
        <f>VLOOKUP($C5,Sheet1!$A$2:$E$10,5,0)</f>
        <v>Trolley (H)</v>
      </c>
      <c r="M5" s="14"/>
      <c r="N5" s="47"/>
      <c r="O5" s="2" t="s">
        <v>112</v>
      </c>
      <c r="P5" s="2" t="s">
        <v>1523</v>
      </c>
    </row>
    <row r="6" spans="1:16" x14ac:dyDescent="0.25">
      <c r="A6" s="15" t="s">
        <v>1485</v>
      </c>
      <c r="B6" s="18" t="s">
        <v>1470</v>
      </c>
      <c r="C6" s="2" t="s">
        <v>12</v>
      </c>
      <c r="D6" s="2" t="str">
        <f>VLOOKUP($C6,Sheet1!$A$2:$B$10,2,0)</f>
        <v>141185-74670</v>
      </c>
      <c r="E6" s="8" t="s">
        <v>52</v>
      </c>
      <c r="F6" s="12">
        <v>46018</v>
      </c>
      <c r="G6" s="13">
        <v>0.27083333333333331</v>
      </c>
      <c r="H6" s="2" t="s">
        <v>41</v>
      </c>
      <c r="I6" s="2" t="s">
        <v>42</v>
      </c>
      <c r="J6" s="2">
        <v>80</v>
      </c>
      <c r="K6" s="14">
        <f>VLOOKUP($C6,Sheet1!$A$2:$D$10,4,0)</f>
        <v>40</v>
      </c>
      <c r="L6" s="14" t="str">
        <f>VLOOKUP($C6,Sheet1!$A$2:$E$10,5,0)</f>
        <v>Trolley</v>
      </c>
      <c r="M6" s="14"/>
      <c r="N6" s="46">
        <f>J6/K6</f>
        <v>2</v>
      </c>
      <c r="O6" s="2" t="s">
        <v>112</v>
      </c>
      <c r="P6" s="2">
        <v>910104284</v>
      </c>
    </row>
    <row r="7" spans="1:16" x14ac:dyDescent="0.25">
      <c r="A7" s="15" t="s">
        <v>1485</v>
      </c>
      <c r="B7" s="18" t="s">
        <v>1472</v>
      </c>
      <c r="C7" s="2" t="s">
        <v>16</v>
      </c>
      <c r="D7" s="2" t="str">
        <f>VLOOKUP($C7,Sheet1!$A$2:$B$10,2,0)</f>
        <v>141140-91211</v>
      </c>
      <c r="E7" s="8" t="s">
        <v>57</v>
      </c>
      <c r="F7" s="12">
        <v>46018</v>
      </c>
      <c r="G7" s="13">
        <v>0.27083333333333331</v>
      </c>
      <c r="H7" s="2" t="s">
        <v>58</v>
      </c>
      <c r="I7" s="2" t="s">
        <v>42</v>
      </c>
      <c r="J7" s="2">
        <v>26</v>
      </c>
      <c r="K7" s="14">
        <f>VLOOKUP($C7,Sheet1!$A$2:$D$10,4,0)</f>
        <v>2</v>
      </c>
      <c r="L7" s="14" t="str">
        <f>VLOOKUP($C7,Sheet1!$A$2:$E$10,5,0)</f>
        <v>Bin</v>
      </c>
      <c r="M7" s="14">
        <f>J7/K7</f>
        <v>13</v>
      </c>
      <c r="N7" s="42"/>
      <c r="O7" s="2" t="s">
        <v>112</v>
      </c>
      <c r="P7" s="2" t="s">
        <v>453</v>
      </c>
    </row>
    <row r="8" spans="1:16" x14ac:dyDescent="0.25">
      <c r="A8" s="15" t="s">
        <v>1485</v>
      </c>
      <c r="B8" s="18" t="s">
        <v>1474</v>
      </c>
      <c r="C8" s="2" t="s">
        <v>20</v>
      </c>
      <c r="D8" s="2" t="str">
        <f>VLOOKUP($C8,Sheet1!$A$2:$B$10,2,0)</f>
        <v>141150-91211</v>
      </c>
      <c r="E8" s="8" t="s">
        <v>64</v>
      </c>
      <c r="F8" s="12">
        <v>46018</v>
      </c>
      <c r="G8" s="13">
        <v>0.27083333333333331</v>
      </c>
      <c r="H8" s="2" t="s">
        <v>58</v>
      </c>
      <c r="I8" s="2" t="s">
        <v>42</v>
      </c>
      <c r="J8" s="2">
        <v>28</v>
      </c>
      <c r="K8" s="14">
        <f>VLOOKUP($C8,Sheet1!$A$2:$D$10,4,0)</f>
        <v>2</v>
      </c>
      <c r="L8" s="14" t="str">
        <f>VLOOKUP($C8,Sheet1!$A$2:$E$10,5,0)</f>
        <v>Bin</v>
      </c>
      <c r="M8" s="14">
        <f>J8/K8</f>
        <v>14</v>
      </c>
      <c r="N8" s="2"/>
      <c r="O8" s="2" t="s">
        <v>112</v>
      </c>
      <c r="P8" s="2" t="s">
        <v>453</v>
      </c>
    </row>
    <row r="9" spans="1:16" x14ac:dyDescent="0.25">
      <c r="A9" s="15" t="s">
        <v>1485</v>
      </c>
      <c r="B9" s="18" t="s">
        <v>1476</v>
      </c>
      <c r="C9" s="2" t="s">
        <v>23</v>
      </c>
      <c r="D9" s="2" t="str">
        <f>VLOOKUP($C9,Sheet1!$A$2:$B$10,2,0)</f>
        <v>141186-74360</v>
      </c>
      <c r="E9" s="8" t="s">
        <v>70</v>
      </c>
      <c r="F9" s="12">
        <v>46018</v>
      </c>
      <c r="G9" s="13">
        <v>0.27083333333333331</v>
      </c>
      <c r="H9" s="2" t="s">
        <v>58</v>
      </c>
      <c r="I9" s="2" t="s">
        <v>42</v>
      </c>
      <c r="J9" s="2">
        <v>40</v>
      </c>
      <c r="K9" s="14">
        <f>VLOOKUP($C9,Sheet1!$A$2:$D$10,4,0)</f>
        <v>40</v>
      </c>
      <c r="L9" s="14" t="str">
        <f>VLOOKUP($C9,Sheet1!$A$2:$E$10,5,0)</f>
        <v>Trolley</v>
      </c>
      <c r="M9" s="14"/>
      <c r="N9" s="2">
        <f>J9/K9</f>
        <v>1</v>
      </c>
      <c r="O9" s="2" t="s">
        <v>112</v>
      </c>
      <c r="P9" s="2">
        <v>910104269</v>
      </c>
    </row>
    <row r="10" spans="1:16" x14ac:dyDescent="0.25">
      <c r="A10" s="15" t="s">
        <v>1486</v>
      </c>
      <c r="B10" s="18" t="s">
        <v>1478</v>
      </c>
      <c r="C10" s="2" t="s">
        <v>26</v>
      </c>
      <c r="D10" s="2" t="str">
        <f>VLOOKUP($C10,Sheet1!$A$2:$B$10,2,0)</f>
        <v>116040-92240</v>
      </c>
      <c r="E10" s="8" t="s">
        <v>75</v>
      </c>
      <c r="F10" s="12">
        <v>46018</v>
      </c>
      <c r="G10" s="13">
        <v>0.27083333333333331</v>
      </c>
      <c r="H10" s="2" t="s">
        <v>76</v>
      </c>
      <c r="I10" s="2" t="s">
        <v>42</v>
      </c>
      <c r="J10" s="2">
        <v>24</v>
      </c>
      <c r="K10" s="14">
        <f>VLOOKUP($C10,Sheet1!$A$2:$D$10,4,0)</f>
        <v>6</v>
      </c>
      <c r="L10" s="14" t="str">
        <f>VLOOKUP($C10,Sheet1!$A$2:$E$10,5,0)</f>
        <v>Bin</v>
      </c>
      <c r="M10" s="14">
        <f>J10/K10</f>
        <v>4</v>
      </c>
      <c r="N10" s="2"/>
      <c r="O10" s="2" t="s">
        <v>112</v>
      </c>
      <c r="P10" s="2" t="s">
        <v>1502</v>
      </c>
    </row>
    <row r="11" spans="1:16" x14ac:dyDescent="0.25">
      <c r="A11" s="15" t="s">
        <v>1486</v>
      </c>
      <c r="B11" s="18" t="s">
        <v>1480</v>
      </c>
      <c r="C11" s="2" t="s">
        <v>32</v>
      </c>
      <c r="D11" s="2" t="str">
        <f>VLOOKUP($C11,Sheet1!$A$2:$B$10,2,0)</f>
        <v>114010-50820</v>
      </c>
      <c r="E11" s="8" t="s">
        <v>82</v>
      </c>
      <c r="F11" s="12">
        <v>46018</v>
      </c>
      <c r="G11" s="13">
        <v>0.27083333333333331</v>
      </c>
      <c r="H11" s="2" t="s">
        <v>76</v>
      </c>
      <c r="I11" s="2" t="s">
        <v>42</v>
      </c>
      <c r="J11" s="2">
        <v>12</v>
      </c>
      <c r="K11" s="14">
        <f>VLOOKUP($C11,Sheet1!$A$2:$D$10,4,0)</f>
        <v>1</v>
      </c>
      <c r="L11" s="14" t="str">
        <f>VLOOKUP($C11,Sheet1!$A$2:$E$10,5,0)</f>
        <v>Bin</v>
      </c>
      <c r="M11" s="14">
        <f>J11/K11</f>
        <v>12</v>
      </c>
      <c r="N11" s="2"/>
      <c r="O11" s="2" t="s">
        <v>112</v>
      </c>
      <c r="P11" s="2" t="s">
        <v>1056</v>
      </c>
    </row>
    <row r="12" spans="1:16" ht="15.75" thickBot="1" x14ac:dyDescent="0.3">
      <c r="A12" s="15" t="s">
        <v>1486</v>
      </c>
      <c r="B12" s="18" t="s">
        <v>1482</v>
      </c>
      <c r="C12" s="2" t="s">
        <v>29</v>
      </c>
      <c r="D12" s="2" t="str">
        <f>VLOOKUP($C12,Sheet1!$A$2:$B$10,2,0)</f>
        <v>114010-50830</v>
      </c>
      <c r="E12" s="8" t="s">
        <v>82</v>
      </c>
      <c r="F12" s="12">
        <v>46018</v>
      </c>
      <c r="G12" s="17">
        <v>0.27083333333333331</v>
      </c>
      <c r="H12" s="2" t="s">
        <v>76</v>
      </c>
      <c r="I12" s="2" t="s">
        <v>42</v>
      </c>
      <c r="J12" s="2">
        <v>15</v>
      </c>
      <c r="K12" s="14">
        <f>VLOOKUP($C12,Sheet1!$A$2:$D$10,4,0)</f>
        <v>1</v>
      </c>
      <c r="L12" s="14" t="str">
        <f>VLOOKUP($C12,Sheet1!$A$2:$E$10,5,0)</f>
        <v>Bin</v>
      </c>
      <c r="M12" s="14">
        <f>J12/K12</f>
        <v>15</v>
      </c>
      <c r="N12" s="2"/>
      <c r="O12" s="2" t="s">
        <v>112</v>
      </c>
      <c r="P12" s="2" t="s">
        <v>453</v>
      </c>
    </row>
    <row r="13" spans="1:16" ht="15.75" thickTop="1" x14ac:dyDescent="0.25">
      <c r="A13" s="15" t="s">
        <v>1487</v>
      </c>
      <c r="B13" s="18" t="s">
        <v>1467</v>
      </c>
      <c r="C13" s="2" t="s">
        <v>5</v>
      </c>
      <c r="D13" s="2" t="str">
        <f>VLOOKUP($C13,Sheet1!$A$2:$B$10,2,0)</f>
        <v>141110-14600</v>
      </c>
      <c r="E13" s="8" t="s">
        <v>40</v>
      </c>
      <c r="F13" s="12">
        <v>46018</v>
      </c>
      <c r="G13" s="16">
        <v>0.3125</v>
      </c>
      <c r="H13" s="2" t="s">
        <v>41</v>
      </c>
      <c r="I13" s="2" t="s">
        <v>42</v>
      </c>
      <c r="J13" s="2">
        <v>18</v>
      </c>
      <c r="K13" s="14">
        <f>VLOOKUP($C13,Sheet1!$A$2:$D$10,4,0)</f>
        <v>18</v>
      </c>
      <c r="L13" s="14" t="str">
        <f>VLOOKUP($C13,Sheet1!$A$2:$E$10,5,0)</f>
        <v>Trolley (H)</v>
      </c>
      <c r="M13" s="14"/>
      <c r="N13" s="48"/>
      <c r="O13" s="2" t="s">
        <v>112</v>
      </c>
      <c r="P13" s="2" t="s">
        <v>1524</v>
      </c>
    </row>
    <row r="14" spans="1:16" x14ac:dyDescent="0.25">
      <c r="A14" s="15" t="s">
        <v>1487</v>
      </c>
      <c r="B14" s="18" t="s">
        <v>1469</v>
      </c>
      <c r="C14" s="2" t="s">
        <v>9</v>
      </c>
      <c r="D14" s="2" t="str">
        <f>VLOOKUP($C14,Sheet1!$A$2:$B$10,2,0)</f>
        <v>141120-14600</v>
      </c>
      <c r="E14" s="8" t="s">
        <v>47</v>
      </c>
      <c r="F14" s="12">
        <v>46018</v>
      </c>
      <c r="G14" s="13">
        <v>0.3125</v>
      </c>
      <c r="H14" s="2" t="s">
        <v>41</v>
      </c>
      <c r="I14" s="2" t="s">
        <v>42</v>
      </c>
      <c r="J14" s="2">
        <v>18</v>
      </c>
      <c r="K14" s="14">
        <f>VLOOKUP($C14,Sheet1!$A$2:$D$10,4,0)</f>
        <v>18</v>
      </c>
      <c r="L14" s="14" t="str">
        <f>VLOOKUP($C14,Sheet1!$A$2:$E$10,5,0)</f>
        <v>Trolley (H)</v>
      </c>
      <c r="M14" s="14"/>
      <c r="N14" s="48"/>
      <c r="O14" s="2" t="s">
        <v>112</v>
      </c>
      <c r="P14" s="2" t="s">
        <v>1525</v>
      </c>
    </row>
    <row r="15" spans="1:16" x14ac:dyDescent="0.25">
      <c r="A15" s="15" t="s">
        <v>1487</v>
      </c>
      <c r="B15" s="18" t="s">
        <v>1471</v>
      </c>
      <c r="C15" s="2" t="s">
        <v>12</v>
      </c>
      <c r="D15" s="2" t="str">
        <f>VLOOKUP($C15,Sheet1!$A$2:$B$10,2,0)</f>
        <v>141185-74670</v>
      </c>
      <c r="E15" s="8" t="s">
        <v>52</v>
      </c>
      <c r="F15" s="12">
        <v>46018</v>
      </c>
      <c r="G15" s="13">
        <v>0.3125</v>
      </c>
      <c r="H15" s="2" t="s">
        <v>41</v>
      </c>
      <c r="I15" s="2" t="s">
        <v>42</v>
      </c>
      <c r="J15" s="2">
        <v>40</v>
      </c>
      <c r="K15" s="14">
        <f>VLOOKUP($C15,Sheet1!$A$2:$D$10,4,0)</f>
        <v>40</v>
      </c>
      <c r="L15" s="14" t="str">
        <f>VLOOKUP($C15,Sheet1!$A$2:$E$10,5,0)</f>
        <v>Trolley</v>
      </c>
      <c r="M15" s="14"/>
      <c r="N15" s="2">
        <f>J15/K15</f>
        <v>1</v>
      </c>
      <c r="O15" s="2" t="s">
        <v>112</v>
      </c>
      <c r="P15" s="2">
        <v>910104284</v>
      </c>
    </row>
    <row r="16" spans="1:16" x14ac:dyDescent="0.25">
      <c r="A16" s="15" t="s">
        <v>1487</v>
      </c>
      <c r="B16" s="18" t="s">
        <v>1473</v>
      </c>
      <c r="C16" s="2" t="s">
        <v>16</v>
      </c>
      <c r="D16" s="2" t="str">
        <f>VLOOKUP($C16,Sheet1!$A$2:$B$10,2,0)</f>
        <v>141140-91211</v>
      </c>
      <c r="E16" s="8" t="s">
        <v>57</v>
      </c>
      <c r="F16" s="12">
        <v>46018</v>
      </c>
      <c r="G16" s="13">
        <v>0.3125</v>
      </c>
      <c r="H16" s="2" t="s">
        <v>58</v>
      </c>
      <c r="I16" s="2" t="s">
        <v>42</v>
      </c>
      <c r="J16" s="2">
        <v>18</v>
      </c>
      <c r="K16" s="14">
        <f>VLOOKUP($C16,Sheet1!$A$2:$D$10,4,0)</f>
        <v>2</v>
      </c>
      <c r="L16" s="14" t="str">
        <f>VLOOKUP($C16,Sheet1!$A$2:$E$10,5,0)</f>
        <v>Bin</v>
      </c>
      <c r="M16" s="14">
        <f>J16/K16</f>
        <v>9</v>
      </c>
      <c r="N16" s="2"/>
      <c r="O16" s="2" t="s">
        <v>112</v>
      </c>
      <c r="P16" s="2" t="s">
        <v>453</v>
      </c>
    </row>
    <row r="17" spans="1:16" x14ac:dyDescent="0.25">
      <c r="A17" s="15" t="s">
        <v>1487</v>
      </c>
      <c r="B17" s="18" t="s">
        <v>1475</v>
      </c>
      <c r="C17" s="2" t="s">
        <v>20</v>
      </c>
      <c r="D17" s="2" t="str">
        <f>VLOOKUP($C17,Sheet1!$A$2:$B$10,2,0)</f>
        <v>141150-91211</v>
      </c>
      <c r="E17" s="8" t="s">
        <v>64</v>
      </c>
      <c r="F17" s="12">
        <v>46018</v>
      </c>
      <c r="G17" s="13">
        <v>0.3125</v>
      </c>
      <c r="H17" s="2" t="s">
        <v>58</v>
      </c>
      <c r="I17" s="2" t="s">
        <v>42</v>
      </c>
      <c r="J17" s="2">
        <v>18</v>
      </c>
      <c r="K17" s="14">
        <f>VLOOKUP($C17,Sheet1!$A$2:$D$10,4,0)</f>
        <v>2</v>
      </c>
      <c r="L17" s="14" t="str">
        <f>VLOOKUP($C17,Sheet1!$A$2:$E$10,5,0)</f>
        <v>Bin</v>
      </c>
      <c r="M17" s="14">
        <f>J17/K17</f>
        <v>9</v>
      </c>
      <c r="N17" s="2"/>
      <c r="O17" s="2" t="s">
        <v>112</v>
      </c>
      <c r="P17" s="2" t="s">
        <v>453</v>
      </c>
    </row>
    <row r="18" spans="1:16" x14ac:dyDescent="0.25">
      <c r="A18" s="15" t="s">
        <v>1487</v>
      </c>
      <c r="B18" s="18" t="s">
        <v>1477</v>
      </c>
      <c r="C18" s="2" t="s">
        <v>23</v>
      </c>
      <c r="D18" s="2" t="str">
        <f>VLOOKUP($C18,Sheet1!$A$2:$B$10,2,0)</f>
        <v>141186-74360</v>
      </c>
      <c r="E18" s="8" t="s">
        <v>70</v>
      </c>
      <c r="F18" s="12">
        <v>46018</v>
      </c>
      <c r="G18" s="13">
        <v>0.3125</v>
      </c>
      <c r="H18" s="2" t="s">
        <v>58</v>
      </c>
      <c r="I18" s="2" t="s">
        <v>42</v>
      </c>
      <c r="J18" s="2">
        <v>40</v>
      </c>
      <c r="K18" s="14">
        <f>VLOOKUP($C18,Sheet1!$A$2:$D$10,4,0)</f>
        <v>40</v>
      </c>
      <c r="L18" s="14" t="str">
        <f>VLOOKUP($C18,Sheet1!$A$2:$E$10,5,0)</f>
        <v>Trolley</v>
      </c>
      <c r="M18" s="14"/>
      <c r="N18" s="2">
        <f>J18/K18</f>
        <v>1</v>
      </c>
      <c r="O18" s="2" t="s">
        <v>112</v>
      </c>
      <c r="P18" s="2">
        <v>910104269</v>
      </c>
    </row>
    <row r="19" spans="1:16" x14ac:dyDescent="0.25">
      <c r="A19" s="15" t="s">
        <v>1488</v>
      </c>
      <c r="B19" s="18" t="s">
        <v>1479</v>
      </c>
      <c r="C19" s="2" t="s">
        <v>26</v>
      </c>
      <c r="D19" s="2" t="str">
        <f>VLOOKUP($C19,Sheet1!$A$2:$B$10,2,0)</f>
        <v>116040-92240</v>
      </c>
      <c r="E19" s="8" t="s">
        <v>75</v>
      </c>
      <c r="F19" s="12">
        <v>46018</v>
      </c>
      <c r="G19" s="13">
        <v>0.3125</v>
      </c>
      <c r="H19" s="2" t="s">
        <v>76</v>
      </c>
      <c r="I19" s="2" t="s">
        <v>42</v>
      </c>
      <c r="J19" s="2">
        <v>18</v>
      </c>
      <c r="K19" s="14">
        <f>VLOOKUP($C19,Sheet1!$A$2:$D$10,4,0)</f>
        <v>6</v>
      </c>
      <c r="L19" s="14" t="str">
        <f>VLOOKUP($C19,Sheet1!$A$2:$E$10,5,0)</f>
        <v>Bin</v>
      </c>
      <c r="M19" s="14">
        <f>J19/K19</f>
        <v>3</v>
      </c>
      <c r="N19" s="2"/>
      <c r="O19" s="2" t="s">
        <v>112</v>
      </c>
      <c r="P19" s="2" t="s">
        <v>1502</v>
      </c>
    </row>
    <row r="20" spans="1:16" x14ac:dyDescent="0.25">
      <c r="A20" s="15" t="s">
        <v>1488</v>
      </c>
      <c r="B20" s="18" t="s">
        <v>1481</v>
      </c>
      <c r="C20" s="2" t="s">
        <v>32</v>
      </c>
      <c r="D20" s="2" t="str">
        <f>VLOOKUP($C20,Sheet1!$A$2:$B$10,2,0)</f>
        <v>114010-50820</v>
      </c>
      <c r="E20" s="8" t="s">
        <v>82</v>
      </c>
      <c r="F20" s="12">
        <v>46018</v>
      </c>
      <c r="G20" s="13">
        <v>0.3125</v>
      </c>
      <c r="H20" s="2" t="s">
        <v>76</v>
      </c>
      <c r="I20" s="2" t="s">
        <v>42</v>
      </c>
      <c r="J20" s="2">
        <v>9</v>
      </c>
      <c r="K20" s="14">
        <f>VLOOKUP($C20,Sheet1!$A$2:$D$10,4,0)</f>
        <v>1</v>
      </c>
      <c r="L20" s="14" t="str">
        <f>VLOOKUP($C20,Sheet1!$A$2:$E$10,5,0)</f>
        <v>Bin</v>
      </c>
      <c r="M20" s="14">
        <f>J20/K20</f>
        <v>9</v>
      </c>
      <c r="N20" s="2"/>
      <c r="O20" s="2" t="s">
        <v>112</v>
      </c>
      <c r="P20" s="2" t="s">
        <v>1056</v>
      </c>
    </row>
    <row r="21" spans="1:16" x14ac:dyDescent="0.25">
      <c r="A21" s="15" t="s">
        <v>1488</v>
      </c>
      <c r="B21" s="18" t="s">
        <v>1483</v>
      </c>
      <c r="C21" s="2" t="s">
        <v>29</v>
      </c>
      <c r="D21" s="2" t="str">
        <f>VLOOKUP($C21,Sheet1!$A$2:$B$10,2,0)</f>
        <v>114010-50830</v>
      </c>
      <c r="E21" s="8" t="s">
        <v>82</v>
      </c>
      <c r="F21" s="12">
        <v>46018</v>
      </c>
      <c r="G21" s="13">
        <v>0.3125</v>
      </c>
      <c r="H21" s="2" t="s">
        <v>76</v>
      </c>
      <c r="I21" s="2" t="s">
        <v>42</v>
      </c>
      <c r="J21" s="2">
        <v>8</v>
      </c>
      <c r="K21" s="14">
        <f>VLOOKUP($C21,Sheet1!$A$2:$D$10,4,0)</f>
        <v>1</v>
      </c>
      <c r="L21" s="14" t="str">
        <f>VLOOKUP($C21,Sheet1!$A$2:$E$10,5,0)</f>
        <v>Bin</v>
      </c>
      <c r="M21" s="14">
        <f>J21/K21</f>
        <v>8</v>
      </c>
      <c r="N21" s="2"/>
      <c r="O21" s="2" t="s">
        <v>112</v>
      </c>
      <c r="P21" s="2" t="s">
        <v>453</v>
      </c>
    </row>
    <row r="22" spans="1:16" s="11" customForma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>
        <v>96</v>
      </c>
      <c r="N22" s="10">
        <v>7</v>
      </c>
      <c r="O22" s="10"/>
      <c r="P22" s="10"/>
    </row>
    <row r="23" spans="1:16" x14ac:dyDescent="0.25">
      <c r="B23" t="s">
        <v>1484</v>
      </c>
    </row>
    <row r="26" spans="1:16" x14ac:dyDescent="0.25">
      <c r="F26" t="s">
        <v>533</v>
      </c>
    </row>
  </sheetData>
  <autoFilter ref="A3:P23" xr:uid="{00000000-0009-0000-0000-00001E000000}">
    <sortState xmlns:xlrd2="http://schemas.microsoft.com/office/spreadsheetml/2017/richdata2" ref="A4:P23">
      <sortCondition ref="G3"/>
    </sortState>
  </autoFilter>
  <mergeCells count="3">
    <mergeCell ref="A1:F1"/>
    <mergeCell ref="J1:N1"/>
    <mergeCell ref="L2:N2"/>
  </mergeCells>
  <conditionalFormatting sqref="B2">
    <cfRule type="duplicateValues" dxfId="4" priority="2"/>
    <cfRule type="duplicateValues" dxfId="3" priority="3"/>
  </conditionalFormatting>
  <conditionalFormatting sqref="B4:B21">
    <cfRule type="duplicateValues" dxfId="2" priority="1"/>
  </conditionalFormatting>
  <conditionalFormatting sqref="C2:D2">
    <cfRule type="duplicateValues" dxfId="1" priority="4"/>
    <cfRule type="duplicateValues" dxfId="0" priority="5"/>
  </conditionalFormatting>
  <hyperlinks>
    <hyperlink ref="B23" r:id="rId1" display="http://192.168.1.248/downloads/temp/X539_eNagare_20251226.log" xr:uid="{00000000-0004-0000-1E00-000000000000}"/>
  </hyperlinks>
  <pageMargins left="0.17" right="0.17" top="0.2" bottom="0.75" header="0.3" footer="0.3"/>
  <pageSetup paperSize="9" scale="77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Sheet1</vt:lpstr>
      <vt:lpstr>01-12-2025</vt:lpstr>
      <vt:lpstr>02-12-2025</vt:lpstr>
      <vt:lpstr>03-12-2025</vt:lpstr>
      <vt:lpstr>04-12-2025</vt:lpstr>
      <vt:lpstr>05-12-2025</vt:lpstr>
      <vt:lpstr>06-12-2025</vt:lpstr>
      <vt:lpstr>08-12-2025</vt:lpstr>
      <vt:lpstr>09-12-2025</vt:lpstr>
      <vt:lpstr>09-12-2025 RPDC</vt:lpstr>
      <vt:lpstr>10-12-2025</vt:lpstr>
      <vt:lpstr>11-12-2025</vt:lpstr>
      <vt:lpstr>11-12-2025 EXPORT</vt:lpstr>
      <vt:lpstr>12-12-2025</vt:lpstr>
      <vt:lpstr>13-12-2025</vt:lpstr>
      <vt:lpstr>15-12-2025</vt:lpstr>
      <vt:lpstr>15-12-2025 RPDC</vt:lpstr>
      <vt:lpstr>16-12-2025</vt:lpstr>
      <vt:lpstr>17-12-2025</vt:lpstr>
      <vt:lpstr>18-12-2025</vt:lpstr>
      <vt:lpstr>18-12-2025 RPDC</vt:lpstr>
      <vt:lpstr>19-12-2025</vt:lpstr>
      <vt:lpstr>20-12-2025 EXPORT</vt:lpstr>
      <vt:lpstr>20-12-2025</vt:lpstr>
      <vt:lpstr>22-12-2025</vt:lpstr>
      <vt:lpstr>23-12-2025</vt:lpstr>
      <vt:lpstr>24-12-2025</vt:lpstr>
      <vt:lpstr>25-12-2025</vt:lpstr>
      <vt:lpstr>26-12-2025 EXPORT</vt:lpstr>
      <vt:lpstr>26-12-2025</vt:lpstr>
      <vt:lpstr>27-12-2025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GJ1 Warehouse Ops</cp:lastModifiedBy>
  <cp:lastPrinted>2025-12-26T13:33:40Z</cp:lastPrinted>
  <dcterms:created xsi:type="dcterms:W3CDTF">2015-06-05T18:17:20Z</dcterms:created>
  <dcterms:modified xsi:type="dcterms:W3CDTF">2026-01-09T09:55:24Z</dcterms:modified>
</cp:coreProperties>
</file>